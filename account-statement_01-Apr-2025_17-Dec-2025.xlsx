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F5491F-298C-454A-A0F7-8F81EBCAB962}" xr6:coauthVersionLast="47" xr6:coauthVersionMax="47" xr10:uidLastSave="{00000000-0000-0000-0000-000000000000}"/>
  <bookViews>
    <workbookView xWindow="-108" yWindow="-108" windowWidth="23256" windowHeight="12456" tabRatio="974" firstSheet="19" activeTab="19" xr2:uid="{00000000-000D-0000-FFFF-FFFF00000000}"/>
  </bookViews>
  <sheets>
    <sheet name="RAW_IMPORT" sheetId="1" r:id="rId1"/>
    <sheet name="Dashboard" sheetId="2" r:id="rId2"/>
    <sheet name="Incoming" sheetId="3" r:id="rId3"/>
    <sheet name="Outgoing" sheetId="4" r:id="rId4"/>
    <sheet name="Move_Log" sheetId="5" r:id="rId5"/>
    <sheet name="JOBS IN" sheetId="6" r:id="rId6"/>
    <sheet name="JOBS OUT" sheetId="7" r:id="rId7"/>
    <sheet name="MISC PAYMENT IN" sheetId="8" r:id="rId8"/>
    <sheet name="EXPENSES" sheetId="9" r:id="rId9"/>
    <sheet name="MISC PAYMENT OUT" sheetId="10" r:id="rId10"/>
    <sheet name="FUEL" sheetId="11" r:id="rId11"/>
    <sheet name="WALEED EXPENSE" sheetId="12" r:id="rId12"/>
    <sheet name="IMRAN EXPENSE" sheetId="13" r:id="rId13"/>
    <sheet name="WX21VZN IN" sheetId="14" r:id="rId14"/>
    <sheet name="EQV IN" sheetId="15" r:id="rId15"/>
    <sheet name="KM20YYX IN" sheetId="16" r:id="rId16"/>
    <sheet name="WX21VZN OUT" sheetId="17" r:id="rId17"/>
    <sheet name="EQV OUT" sheetId="18" r:id="rId18"/>
    <sheet name="PARKING" sheetId="19" r:id="rId19"/>
    <sheet name="WATER + OTHER" sheetId="20" r:id="rId20"/>
    <sheet name="WAYZ MOTORS" sheetId="21" r:id="rId21"/>
    <sheet name="1ST NATIONWIDE" sheetId="22" r:id="rId22"/>
  </sheets>
  <definedNames>
    <definedName name="_xlnm._FilterDatabase" localSheetId="17" hidden="1">'EQV OUT'!$D$1:$D$959</definedName>
    <definedName name="_xlnm._FilterDatabase" localSheetId="8" hidden="1">EXPENSES!$D$1:$D$811</definedName>
    <definedName name="_xlnm._FilterDatabase" localSheetId="10" hidden="1">FUEL!$D$1:$D$968</definedName>
    <definedName name="_xlnm._FilterDatabase" localSheetId="2" hidden="1">Incoming!$D$1:$D$933</definedName>
    <definedName name="_xlnm._FilterDatabase" localSheetId="5" hidden="1">'JOBS IN'!$D$1:$D$919</definedName>
    <definedName name="_xlnm._FilterDatabase" localSheetId="6" hidden="1">'JOBS OUT'!$D$1:$D$958</definedName>
    <definedName name="_xlnm._FilterDatabase" localSheetId="9" hidden="1">'MISC PAYMENT OUT'!$D$1:$D$954</definedName>
    <definedName name="_xlnm._FilterDatabase" localSheetId="3" hidden="1">Outgoing!$D$1:$D$380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F14" i="2"/>
  <c r="C14" i="2"/>
  <c r="D14" i="2" s="1"/>
  <c r="H13" i="2"/>
  <c r="F13" i="2"/>
  <c r="C13" i="2"/>
  <c r="D13" i="2" s="1"/>
  <c r="H12" i="2"/>
  <c r="F12" i="2"/>
  <c r="C12" i="2"/>
  <c r="D12" i="2" s="1"/>
  <c r="H11" i="2"/>
  <c r="F11" i="2"/>
  <c r="C11" i="2"/>
  <c r="D11" i="2" s="1"/>
  <c r="H10" i="2"/>
  <c r="F10" i="2"/>
  <c r="C10" i="2"/>
  <c r="D10" i="2" s="1"/>
  <c r="H9" i="2"/>
  <c r="G9" i="2"/>
  <c r="F9" i="2"/>
  <c r="E9" i="2"/>
  <c r="D9" i="2"/>
  <c r="C9" i="2"/>
  <c r="B9" i="2"/>
  <c r="H8" i="2"/>
  <c r="G8" i="2"/>
  <c r="F8" i="2"/>
  <c r="E8" i="2"/>
  <c r="C8" i="2"/>
  <c r="D8" i="2" s="1"/>
  <c r="B8" i="2"/>
  <c r="H7" i="2"/>
  <c r="G7" i="2"/>
  <c r="F7" i="2"/>
  <c r="E7" i="2"/>
  <c r="C7" i="2"/>
  <c r="B7" i="2"/>
  <c r="D7" i="2" s="1"/>
  <c r="H6" i="2"/>
  <c r="G6" i="2"/>
  <c r="F6" i="2"/>
  <c r="E6" i="2"/>
  <c r="C6" i="2"/>
  <c r="B6" i="2"/>
  <c r="AE4" i="2"/>
  <c r="AD4" i="2"/>
  <c r="AC4" i="2"/>
  <c r="AB4" i="2"/>
  <c r="Y4" i="2"/>
  <c r="X4" i="2"/>
  <c r="W4" i="2"/>
  <c r="V4" i="2"/>
  <c r="S4" i="2"/>
  <c r="R4" i="2"/>
  <c r="Q4" i="2"/>
  <c r="P4" i="2"/>
  <c r="M4" i="2"/>
  <c r="L4" i="2"/>
  <c r="K4" i="2"/>
  <c r="J4" i="2"/>
  <c r="D6" i="2" l="1"/>
  <c r="E16" i="2"/>
  <c r="F16" i="2"/>
  <c r="D16" i="2"/>
  <c r="D15" i="2"/>
</calcChain>
</file>

<file path=xl/sharedStrings.xml><?xml version="1.0" encoding="utf-8"?>
<sst xmlns="http://schemas.openxmlformats.org/spreadsheetml/2006/main" count="24615" uniqueCount="3883">
  <si>
    <t>Date started (UTC)</t>
  </si>
  <si>
    <t>Date completed (UTC)</t>
  </si>
  <si>
    <t>ID</t>
  </si>
  <si>
    <t>Type</t>
  </si>
  <si>
    <t>State</t>
  </si>
  <si>
    <t>Description</t>
  </si>
  <si>
    <t>Reference</t>
  </si>
  <si>
    <t>Payer</t>
  </si>
  <si>
    <t>Card number</t>
  </si>
  <si>
    <t>Card label</t>
  </si>
  <si>
    <t>Card state</t>
  </si>
  <si>
    <t>Orig currency</t>
  </si>
  <si>
    <t>Orig amount</t>
  </si>
  <si>
    <t>Payment currency</t>
  </si>
  <si>
    <t>Amount</t>
  </si>
  <si>
    <t>Total amount</t>
  </si>
  <si>
    <t>Exchange rate</t>
  </si>
  <si>
    <t>Fee</t>
  </si>
  <si>
    <t>Fee currency</t>
  </si>
  <si>
    <t>Balance</t>
  </si>
  <si>
    <t>Account</t>
  </si>
  <si>
    <t>Beneficiary account number</t>
  </si>
  <si>
    <t>Beneficiary sort code or routing number</t>
  </si>
  <si>
    <t>Beneficiary IBAN</t>
  </si>
  <si>
    <t>Beneficiary BIC</t>
  </si>
  <si>
    <t>MCC</t>
  </si>
  <si>
    <t>Related transaction id</t>
  </si>
  <si>
    <t>Spend program</t>
  </si>
  <si>
    <t>69961bd7-9c40-afc2-a680-d11b49cab069</t>
  </si>
  <si>
    <t>CARD_PAYMENT</t>
  </si>
  <si>
    <t>COMPLETED</t>
  </si>
  <si>
    <t>London City Airport</t>
  </si>
  <si>
    <t>Waleed Ahmed</t>
  </si>
  <si>
    <t>516760******4844</t>
  </si>
  <si>
    <t>Virtual</t>
  </si>
  <si>
    <t>ACTIVE</t>
  </si>
  <si>
    <t>GBP</t>
  </si>
  <si>
    <t>GBP Main</t>
  </si>
  <si>
    <t>6995984f-3637-ac28-bbed-1e5bc0afb000</t>
  </si>
  <si>
    <t>London Borough Of Camd</t>
  </si>
  <si>
    <t>516760******9898</t>
  </si>
  <si>
    <t>welux chauffeurs ltd</t>
  </si>
  <si>
    <t>69963425-c133-a924-8d81-3002cc7509c8</t>
  </si>
  <si>
    <t>TRANSFER</t>
  </si>
  <si>
    <t>To Sohail Riaz</t>
  </si>
  <si>
    <t>USAJOB</t>
  </si>
  <si>
    <t>69956e15-ffcd-a9ea-bba7-7e702294adab</t>
  </si>
  <si>
    <t>Luxe Shine Car Wash Lt</t>
  </si>
  <si>
    <t>69945c45-0757-a7a5-8648-712b0f846985</t>
  </si>
  <si>
    <t>69943fc6-effe-a120-b0ea-ca4d774ebc01</t>
  </si>
  <si>
    <t>Moorside Legal</t>
  </si>
  <si>
    <t>6994a8c0-b62b-af4b-aa0b-c9cddfeb6b9d</t>
  </si>
  <si>
    <t>TOPUP</t>
  </si>
  <si>
    <t>Money added from WALEED AHMED</t>
  </si>
  <si>
    <t>ZWH</t>
  </si>
  <si>
    <t>69946e81-e666-abb1-b153-c58c3c1a3953</t>
  </si>
  <si>
    <t>To Mr shaukat Hussain</t>
  </si>
  <si>
    <t>Inv</t>
  </si>
  <si>
    <t>69946e5f-b5cc-ad1a-9136-48f6d5632ca4</t>
  </si>
  <si>
    <t>Money added from WELUX CHAUFFEURS LTD</t>
  </si>
  <si>
    <t>S SIAL</t>
  </si>
  <si>
    <t>69932cb5-32df-a144-a90c-f1a5a206c91f</t>
  </si>
  <si>
    <t>6993a51b-a4f4-ac6c-a49f-d480c06e2a58</t>
  </si>
  <si>
    <t>Apcoa Parking Uk</t>
  </si>
  <si>
    <t>69939ab6-2848-adde-97bb-deddfaf5b07e</t>
  </si>
  <si>
    <t>69936d3d-8d1b-a064-a645-6cf8427a11b4</t>
  </si>
  <si>
    <t>To Hafiz Raza</t>
  </si>
  <si>
    <t>Jan wages</t>
  </si>
  <si>
    <t>69936d2a-2a35-a8be-a6da-4c444bc4e6f1</t>
  </si>
  <si>
    <t>To Imran Niazi</t>
  </si>
  <si>
    <t>69936d0f-34d9-a9db-b6c5-43192a2da1c7</t>
  </si>
  <si>
    <t>To Zaryab Rashid</t>
  </si>
  <si>
    <t>Wages</t>
  </si>
  <si>
    <t>69936cfb-bfc0-a6ec-bb4e-679f8f87d725</t>
  </si>
  <si>
    <t>To Waleed Ahmed</t>
  </si>
  <si>
    <t>69936c91-b3ea-a3f6-ad51-30abf470b50a</t>
  </si>
  <si>
    <t>Money added from VINTAGE LUXURY CHAUFFEURS LONDON LTD</t>
  </si>
  <si>
    <t>Loan return</t>
  </si>
  <si>
    <t>6992c670-4f33-ac88-8d11-e1571104f3b4</t>
  </si>
  <si>
    <t>Mbuk</t>
  </si>
  <si>
    <t>6992c66c-1aa1-a7ea-8e66-b8649d32f323</t>
  </si>
  <si>
    <t>6992d7a0-d777-af26-a615-8081c25ccb21</t>
  </si>
  <si>
    <t>Mad Hiba</t>
  </si>
  <si>
    <t>6991cd53-de07-aa97-a669-ba081ce83b65</t>
  </si>
  <si>
    <t>6992333e-5d56-adc3-9c57-cf8c34d10118</t>
  </si>
  <si>
    <t>To Alex Pirjolea</t>
  </si>
  <si>
    <t>Invoice until 15-02-26</t>
  </si>
  <si>
    <t>6992017e-0990-ad10-9a64-75681c1a89bc</t>
  </si>
  <si>
    <t>Electriccharge</t>
  </si>
  <si>
    <t>699018d3-02f8-ad7d-a914-f28326bfeffd</t>
  </si>
  <si>
    <t>69909433-1dd7-ac7c-b754-3dc10d2298c2</t>
  </si>
  <si>
    <t>Lca Drop Off</t>
  </si>
  <si>
    <t>6990d0c4-89a1-a99e-90aa-05422582453b</t>
  </si>
  <si>
    <t>698ee340-7570-a19e-84a9-9a85a8b5e8c4</t>
  </si>
  <si>
    <t>Debt Recovery Plus Ltd</t>
  </si>
  <si>
    <t>69907c38-3467-a32c-be1c-a1367858d63b</t>
  </si>
  <si>
    <t>Money added from HARIS SERVICES LTD</t>
  </si>
  <si>
    <t>Job payment</t>
  </si>
  <si>
    <t>69907c08-81db-a575-bc2c-6ac5427b368a</t>
  </si>
  <si>
    <t>Insurance</t>
  </si>
  <si>
    <t>698f7ef7-a855-a0d7-a253-e7fb98b67b25</t>
  </si>
  <si>
    <t>Advantis Credit</t>
  </si>
  <si>
    <t>698f5950-6b45-a9c2-8ace-4549eed052c8</t>
  </si>
  <si>
    <t>Money added from BLACKLANE HAVN UK</t>
  </si>
  <si>
    <t>BLACKLANE 01/26 C2</t>
  </si>
  <si>
    <t>698f5407-78e5-a951-ad46-10354603c1a0</t>
  </si>
  <si>
    <t>Christo</t>
  </si>
  <si>
    <t>698f4700-9b38-a633-b196-4349a91728cb</t>
  </si>
  <si>
    <t>Money added from NIAZI IAK</t>
  </si>
  <si>
    <t>INVESTMENT</t>
  </si>
  <si>
    <t>698f1c20-061c-a6a8-8c41-8d6e6913ac58</t>
  </si>
  <si>
    <t>To Addison Accounts and buisness consultants</t>
  </si>
  <si>
    <t>Inv-1439 2 months advance payment</t>
  </si>
  <si>
    <t>698d2581-fc41-ace0-b5b1-e5905d4bf853</t>
  </si>
  <si>
    <t>698d95d0-767f-a313-8afa-f530017f9127</t>
  </si>
  <si>
    <t>Nyx*tesco</t>
  </si>
  <si>
    <t>698d949e-1cb5-a166-b6ea-6f82e8b708c9</t>
  </si>
  <si>
    <t>698db7bd-6586-a53a-894c-00296cb51d7c</t>
  </si>
  <si>
    <t>Inv-1435</t>
  </si>
  <si>
    <t>698c83d1-4eec-a65c-96f5-9c0bc71aef7e</t>
  </si>
  <si>
    <t>Ringgo Parking</t>
  </si>
  <si>
    <t>698c8b46-744a-a8ca-b826-b8da147c4cc0</t>
  </si>
  <si>
    <t>698d8274-15ad-af16-b909-889b8534437e</t>
  </si>
  <si>
    <t>Sent from SumUp</t>
  </si>
  <si>
    <t>698d3023-0f45-a1d9-8d63-93a6c6093a6e</t>
  </si>
  <si>
    <t>Money added from Z RASHID</t>
  </si>
  <si>
    <t>accounts</t>
  </si>
  <si>
    <t>698c7dbd-5301-a809-ad28-f0257bc59784</t>
  </si>
  <si>
    <t>Group 1 Jlr</t>
  </si>
  <si>
    <t>698d259f-8c7f-a348-9c9d-bee8b95b6e36</t>
  </si>
  <si>
    <t>Chrsisto</t>
  </si>
  <si>
    <t>698d15bc-371b-a245-8964-cb03128f22a9</t>
  </si>
  <si>
    <t>Money added from ENT MULT SER LTD</t>
  </si>
  <si>
    <t>WX21VZN RENT</t>
  </si>
  <si>
    <t>698c114b-e268-aca4-b5be-b47cc0b6d301</t>
  </si>
  <si>
    <t>Money added from A UDDIN</t>
  </si>
  <si>
    <t>CAR RANT</t>
  </si>
  <si>
    <t>698bba2b-0f63-ac67-aaf8-d28d02466191</t>
  </si>
  <si>
    <t>To Ikram Sheikh</t>
  </si>
  <si>
    <t>Chauffeur Services</t>
  </si>
  <si>
    <t>698bb9f1-71e2-a73f-a52f-a0ca3f2a2b71</t>
  </si>
  <si>
    <t>To BV EXECUTIVE LTD</t>
  </si>
  <si>
    <t>Inv0000038</t>
  </si>
  <si>
    <t>698bb952-44ae-a89d-9e5f-719d1294cc17</t>
  </si>
  <si>
    <t>To Top chauffeuring ltd</t>
  </si>
  <si>
    <t>INV0000022</t>
  </si>
  <si>
    <t>698b6ed3-10c7-a2a2-88fc-2734c727787c</t>
  </si>
  <si>
    <t>To HMRC CUMBERLAUND</t>
  </si>
  <si>
    <t>1448224202A00107A</t>
  </si>
  <si>
    <t>698b6e29-87da-ac22-a822-25e6c59443e4</t>
  </si>
  <si>
    <t>loan return</t>
  </si>
  <si>
    <t>698b0665-5de8-a3ed-875e-93f0355ed30a</t>
  </si>
  <si>
    <t>Cloudflare</t>
  </si>
  <si>
    <t>USD</t>
  </si>
  <si>
    <t>698b2c19-b33c-a77f-88b9-0f523b896177</t>
  </si>
  <si>
    <t>From Rizwan I</t>
  </si>
  <si>
    <t>remaining balance</t>
  </si>
  <si>
    <t>698a8883-8727-a9ad-a08b-356e3db382b8</t>
  </si>
  <si>
    <t>698b06d6-6dbd-a548-989e-07599b98b364</t>
  </si>
  <si>
    <t>To Lyft ltd</t>
  </si>
  <si>
    <t>698adb12-daa5-aaaa-88ff-3c78d7f101d2</t>
  </si>
  <si>
    <t>Hmrc Ndds</t>
  </si>
  <si>
    <t>698a8506-75fa-a6a0-aed7-c5c209794766</t>
  </si>
  <si>
    <t>Nayax **air-serv</t>
  </si>
  <si>
    <t>698a50e8-aa92-ae3a-96cd-5cde9154e706</t>
  </si>
  <si>
    <t>Loan</t>
  </si>
  <si>
    <t>6989bbbd-355f-a73a-92bb-59080ec2ba7d</t>
  </si>
  <si>
    <t>69898be6-7870-aa63-8ed2-cb08d24076e7</t>
  </si>
  <si>
    <t>Uk Fuels Limited</t>
  </si>
  <si>
    <t>69890d7d-a627-afe4-88ac-21ff0e2f82f1</t>
  </si>
  <si>
    <t>Stn Airport Tariff</t>
  </si>
  <si>
    <t>6988dd1c-ffbe-ae53-ba1d-c20b470e7180</t>
  </si>
  <si>
    <t>6986dd25-6ef1-a454-acc9-975519385e3a</t>
  </si>
  <si>
    <t>6986dac9-187b-a02d-8177-98ecdb22750a</t>
  </si>
  <si>
    <t>69885145-75de-a917-97d0-2da253df64c5</t>
  </si>
  <si>
    <t>FEE</t>
  </si>
  <si>
    <t>Revolut Business Fee</t>
  </si>
  <si>
    <t>Basic plan fee</t>
  </si>
  <si>
    <t>69877a30-ca44-a5a7-9e6a-5e80a612df64</t>
  </si>
  <si>
    <t>To INFinitSPACE UK TWO LTD</t>
  </si>
  <si>
    <t>FC-INV-2026.01-0894</t>
  </si>
  <si>
    <t>69862f63-28b8-ae82-b896-51cee08166b0</t>
  </si>
  <si>
    <t>6985f776-5586-a0a8-ae9b-0610e415ba86</t>
  </si>
  <si>
    <t>To SM AUTOS</t>
  </si>
  <si>
    <t>Wr19</t>
  </si>
  <si>
    <t>6985f6f3-0e48-a88e-9bef-4e78b0d563c0</t>
  </si>
  <si>
    <t>To MOUGHEES AFZAL</t>
  </si>
  <si>
    <t>Blacklane</t>
  </si>
  <si>
    <t>698495cc-4d6e-ae43-b092-1002de43c881</t>
  </si>
  <si>
    <t>69845af2-a080-ade1-8e89-c4bd48e388d8</t>
  </si>
  <si>
    <t>69847c68-5aaf-a5ed-82a5-83bfa48723bb</t>
  </si>
  <si>
    <t>Taxi Private Hire</t>
  </si>
  <si>
    <t>698484c2-7e08-a6ba-9e75-5ed484b61fdc</t>
  </si>
  <si>
    <t>To 1st nationwide security Ltd</t>
  </si>
  <si>
    <t>VclassJan</t>
  </si>
  <si>
    <t>69848461-78a2-a9e3-9b1d-2737292d98d6</t>
  </si>
  <si>
    <t>ImrSjan</t>
  </si>
  <si>
    <t>6984843b-d254-ae96-955b-3ee1a8c8b10d</t>
  </si>
  <si>
    <t>Sclass jan</t>
  </si>
  <si>
    <t>6984840a-5513-a149-b9d8-6d8f7efc2a40</t>
  </si>
  <si>
    <t>Zjob</t>
  </si>
  <si>
    <t>69846dcb-617c-ae96-9dad-8658cf7c68bc</t>
  </si>
  <si>
    <t>CHP</t>
  </si>
  <si>
    <t>69836188-e13f-ac20-85f8-350300a26f36</t>
  </si>
  <si>
    <t>Gatwick Drop Off</t>
  </si>
  <si>
    <t>69835d59-10cb-ab83-89e7-88edc822efd2</t>
  </si>
  <si>
    <t>Apcoa-hal-ss T4</t>
  </si>
  <si>
    <t>698369b2-c79e-a7e4-9934-b947b8095018</t>
  </si>
  <si>
    <t>PK</t>
  </si>
  <si>
    <t>69835a3d-d472-a274-9623-51bc01d768c4</t>
  </si>
  <si>
    <t>To Best london chauffeur</t>
  </si>
  <si>
    <t>Inv450</t>
  </si>
  <si>
    <t>698342d6-e864-a5ff-a1ce-08dfde3ad056</t>
  </si>
  <si>
    <t>6982a162-e6c3-aa7e-b2ff-258a8991ac7c</t>
  </si>
  <si>
    <t>Netflix</t>
  </si>
  <si>
    <t>69820011-d10e-a9aa-bb3c-cec77711f120</t>
  </si>
  <si>
    <t>To Rizwan Iqbal</t>
  </si>
  <si>
    <t>Inv180</t>
  </si>
  <si>
    <t>6981ff50-07fb-abf9-8712-2f255780abed</t>
  </si>
  <si>
    <t>To Tamim Ahmed</t>
  </si>
  <si>
    <t>Stans</t>
  </si>
  <si>
    <t>6981fe9c-a712-a5a8-b42a-2f41e13df50a</t>
  </si>
  <si>
    <t>To Kasahun k techema</t>
  </si>
  <si>
    <t>Inv000009</t>
  </si>
  <si>
    <t>6980dcfb-d0dd-a9b5-8402-209e3aeb1994</t>
  </si>
  <si>
    <t>City Of Westminster</t>
  </si>
  <si>
    <t>6980d832-4f7d-a51a-9255-44d42cc216f6</t>
  </si>
  <si>
    <t>6980c7cf-b81c-a004-b102-da05d65fc407</t>
  </si>
  <si>
    <t>698096a8-f797-a5e9-8398-f3755a147269</t>
  </si>
  <si>
    <t>69806b5d-62b8-a504-9b76-bc8194d49dc6</t>
  </si>
  <si>
    <t>United Trust Bk</t>
  </si>
  <si>
    <t>A000015660</t>
  </si>
  <si>
    <t>69806841-fdc2-a945-9ca4-802f271130b8</t>
  </si>
  <si>
    <t>Dvla-wr24mry</t>
  </si>
  <si>
    <t>69806694-26d4-ae65-a0a1-6e631854d856</t>
  </si>
  <si>
    <t>Dvla-wx21vzn</t>
  </si>
  <si>
    <t>698065e7-5a14-a367-814a-e49e53cd0658</t>
  </si>
  <si>
    <t>Dvla-lc24ynh</t>
  </si>
  <si>
    <t>6980615b-5e48-a5b5-be3f-91d6e25b6e83</t>
  </si>
  <si>
    <t>Tfl Congestn Chrge</t>
  </si>
  <si>
    <t>69805755-d6fc-a5ad-a3c4-b27fe054c3db</t>
  </si>
  <si>
    <t>69805661-2676-a523-be96-55e7d1c5c386</t>
  </si>
  <si>
    <t>Dvla-ca71adz</t>
  </si>
  <si>
    <t>698055e4-b2a9-a05e-9c66-20336a243b7c</t>
  </si>
  <si>
    <t>Dvla-wr19eou</t>
  </si>
  <si>
    <t>697f37db-25c7-a0d2-8a1f-7bb91acf51f2</t>
  </si>
  <si>
    <t>Google Workspace_welux</t>
  </si>
  <si>
    <t>697fd46f-b7eb-acdc-a96b-c2023b09f9f1</t>
  </si>
  <si>
    <t>Febinv</t>
  </si>
  <si>
    <t>697f8992-9401-a080-9d33-fb8d255c5c81</t>
  </si>
  <si>
    <t>697de93b-c9b3-aaf9-bb27-5e457aa56133</t>
  </si>
  <si>
    <t>Esb Innovation Uk Ltd</t>
  </si>
  <si>
    <t>697e43ec-cb17-a691-bc59-2ecf019b22d3</t>
  </si>
  <si>
    <t>Wagesuntil31-1</t>
  </si>
  <si>
    <t>697e0c8e-db47-a41b-9cb2-bdc7aeac83ac</t>
  </si>
  <si>
    <t>697df8ad-5372-a1e0-8daa-f06e6f28a189</t>
  </si>
  <si>
    <t>697c16ef-f435-a2e1-a86b-fd9b9938f5ae</t>
  </si>
  <si>
    <t>697cc0a0-85c6-abcd-b3ae-3eba0669c0a4</t>
  </si>
  <si>
    <t>Ee Topup Vesta</t>
  </si>
  <si>
    <t>697cd6c3-be0f-a1a2-a16d-fa279ec80be2</t>
  </si>
  <si>
    <t>To Malik muzamil Haider</t>
  </si>
  <si>
    <t>Sv</t>
  </si>
  <si>
    <t>697bcbf3-05b4-a95a-8420-b46754b2ffdd</t>
  </si>
  <si>
    <t>697b7a47-3d5e-a059-a3a6-af44f7b58177</t>
  </si>
  <si>
    <t>Money added from FT LOGISTICS LTD.</t>
  </si>
  <si>
    <t>Inv29396</t>
  </si>
  <si>
    <t>697b60d5-0ff5-af25-80cc-6de90b044406</t>
  </si>
  <si>
    <t>To TFL</t>
  </si>
  <si>
    <t>697b0865-e1ed-a21e-8d9a-e002e371caa5</t>
  </si>
  <si>
    <t>Chess Ict</t>
  </si>
  <si>
    <t>0324WC05/CH0225/54</t>
  </si>
  <si>
    <t>697b2d09-7f65-afc8-81b6-28edf84386a4</t>
  </si>
  <si>
    <t>Furguson</t>
  </si>
  <si>
    <t>697a2079-a4ec-adad-9e21-7b2f10477339</t>
  </si>
  <si>
    <t>Welux payee tax</t>
  </si>
  <si>
    <t>697a2057-e6d7-ac84-9348-ef4dfbc817fa</t>
  </si>
  <si>
    <t>AML CHEck</t>
  </si>
  <si>
    <t>697a2022-8a4d-a433-8158-d06aebbdb21f</t>
  </si>
  <si>
    <t>zaryab S Lgw</t>
  </si>
  <si>
    <t>697a0af4-99d3-a4d9-9ba8-2af57721e3d0</t>
  </si>
  <si>
    <t>Money added from Z LTD T/AS ZAR V</t>
  </si>
  <si>
    <t>CHAUFFEUR</t>
  </si>
  <si>
    <t>69786547-90a2-a258-baa6-a242ba5d402e</t>
  </si>
  <si>
    <t>Vodafone Ltd</t>
  </si>
  <si>
    <t>7083281886-1005</t>
  </si>
  <si>
    <t>6977cc6a-71f5-a283-96b7-76048f5bab91</t>
  </si>
  <si>
    <t>6977b83e-78ec-ae12-836f-d83a65cf2c1a</t>
  </si>
  <si>
    <t>To Vintage luxury chauffeurs London</t>
  </si>
  <si>
    <t>6977147c-5921-a94e-b19a-41fb6cd12999</t>
  </si>
  <si>
    <t>Haydock Fin Ltd</t>
  </si>
  <si>
    <t>1114553-2-26190</t>
  </si>
  <si>
    <t>697632c2-6ad4-a373-907f-9f7932a6076e</t>
  </si>
  <si>
    <t>Napier Parking Ltd</t>
  </si>
  <si>
    <t>6976a562-ce70-ac4d-aab5-3375cebb317d</t>
  </si>
  <si>
    <t>69744d95-064b-ac2f-a550-15d6a5036301</t>
  </si>
  <si>
    <t>Dart Charge Auto Top</t>
  </si>
  <si>
    <t>69742b8e-9959-a2dd-ac1f-8aa0d682defb</t>
  </si>
  <si>
    <t>6973b3fd-928e-a9c4-bf53-e76f89bc590e</t>
  </si>
  <si>
    <t>Southwark Pay By Phone</t>
  </si>
  <si>
    <t>69735627-7440-a003-8445-eb4115373bad</t>
  </si>
  <si>
    <t>The American Carwash C</t>
  </si>
  <si>
    <t>6973f870-2058-a661-9fae-a16ba0ed4f26</t>
  </si>
  <si>
    <t>Money added from MONTCLARES INTERNA</t>
  </si>
  <si>
    <t>INV-29390</t>
  </si>
  <si>
    <t>6971e035-4478-a6ef-8b1b-56f50066a84c</t>
  </si>
  <si>
    <t>69723b77-c318-af69-9bf3-094a28d9f94c</t>
  </si>
  <si>
    <t>Shell Ev Charging Solu</t>
  </si>
  <si>
    <t>69726950-caee-a5d3-84bb-674862fdd473</t>
  </si>
  <si>
    <t>Money added from AZ LUXE LTD SW</t>
  </si>
  <si>
    <t>AZL</t>
  </si>
  <si>
    <t>697268f8-58f3-a40a-a3a4-3b407632e64f</t>
  </si>
  <si>
    <t>69725e81-89cb-a9a6-9173-3beb02a15aa7</t>
  </si>
  <si>
    <t>6972521a-a415-af43-8369-eed91fef5890</t>
  </si>
  <si>
    <t>6971115c-59d0-abf2-9449-7d9469eb3ac4</t>
  </si>
  <si>
    <t>Source Ev Uk Limited</t>
  </si>
  <si>
    <t>697208fa-f240-ac6c-9760-c4e61b83b439</t>
  </si>
  <si>
    <t>Insurance January</t>
  </si>
  <si>
    <t>6971f4a3-84e1-a73b-9136-2f2e11558a50</t>
  </si>
  <si>
    <t>Vclass</t>
  </si>
  <si>
    <t>6970a830-dd08-ab30-92bb-2a6c6dfe75d2</t>
  </si>
  <si>
    <t>American Express</t>
  </si>
  <si>
    <t>69716b53-1819-a70a-bb98-be334e8215fc</t>
  </si>
  <si>
    <t>To RC SECURITY CHAUFFEURS LTD</t>
  </si>
  <si>
    <t>HUNTINGTOUR3</t>
  </si>
  <si>
    <t>6970d1b0-799b-a8e4-ae17-df456932cb3e</t>
  </si>
  <si>
    <t>Money added from THE PROFESSI</t>
  </si>
  <si>
    <t>Mike Ad</t>
  </si>
  <si>
    <t>696fe791-ef6e-a8d6-884b-e43c1ebbb33f</t>
  </si>
  <si>
    <t>Money added from DARREN PLANGE</t>
  </si>
  <si>
    <t>WeluxService 28-02</t>
  </si>
  <si>
    <t>696fe746-d957-a931-b6a9-2457d850c675</t>
  </si>
  <si>
    <t>To Rafaqat Shehzad</t>
  </si>
  <si>
    <t>V&amp;S class</t>
  </si>
  <si>
    <t>696fb02c-c843-a63b-9e80-ebb9b1bae693</t>
  </si>
  <si>
    <t>From INTEL FM LTD</t>
  </si>
  <si>
    <t>Investment</t>
  </si>
  <si>
    <t>696edff8-cc3e-a292-86f8-354649e321d0</t>
  </si>
  <si>
    <t>To Raza Nasim</t>
  </si>
  <si>
    <t>Inv 30</t>
  </si>
  <si>
    <t>696e66e4-1250-a405-96bc-63ab2fdf691d</t>
  </si>
  <si>
    <t>696e40d6-d664-a936-bb9c-486c21290b42</t>
  </si>
  <si>
    <t>696d20bd-6f95-adfd-b51d-9027103d3728</t>
  </si>
  <si>
    <t>Money added from AHMED SALEM M</t>
  </si>
  <si>
    <t>SALEM LOGO</t>
  </si>
  <si>
    <t>696c1091-6ebd-a90c-be8c-32c7b1c68428</t>
  </si>
  <si>
    <t>Inv29388</t>
  </si>
  <si>
    <t>696a65f3-db29-a8f1-9207-4179e428fb78</t>
  </si>
  <si>
    <t>Apcoa-hal- Ss T1</t>
  </si>
  <si>
    <t>6969b922-89c4-ae57-8415-1bf02c1d593d</t>
  </si>
  <si>
    <t>69684dd0-8686-a6c9-8c1e-8d811746f73b</t>
  </si>
  <si>
    <t>6967ac86-57a4-a978-80e9-a52760e8bbce</t>
  </si>
  <si>
    <t>Tfl Business Bops Web</t>
  </si>
  <si>
    <t>69695931-f7bd-a244-907c-918e22333404</t>
  </si>
  <si>
    <t>To Access to globe ltd</t>
  </si>
  <si>
    <t>Waleed-Welux</t>
  </si>
  <si>
    <t>69693225-2716-a981-afcf-2e4a23393911</t>
  </si>
  <si>
    <t>ZARVI</t>
  </si>
  <si>
    <t>696931ef-04bb-a012-a38c-256880ad1bab</t>
  </si>
  <si>
    <t>2/2 INV- 2026.01-0893 Rent plus deposit</t>
  </si>
  <si>
    <t>696931b2-ee79-ae96-bb97-386559d65a47</t>
  </si>
  <si>
    <t>Deposit plus Set fee</t>
  </si>
  <si>
    <t>696930e1-b29a-a957-9cda-8f99e528aeeb</t>
  </si>
  <si>
    <t>Dec wages</t>
  </si>
  <si>
    <t>696930c3-ac1f-a35b-a6c1-1f2dc01fed58</t>
  </si>
  <si>
    <t>696930a1-6213-aa06-97d5-6bfce4854429</t>
  </si>
  <si>
    <t>69693085-c68d-ad79-8e9c-9c6b476bf966</t>
  </si>
  <si>
    <t>6968d88f-ed42-a959-83dc-a649aba354fc</t>
  </si>
  <si>
    <t>Lhr</t>
  </si>
  <si>
    <t>69689433-5da2-a352-8ad5-b24bb6f2b085</t>
  </si>
  <si>
    <t>69689433-9b36-a572-97e6-d26fcf50ca83</t>
  </si>
  <si>
    <t>69679c33-34c3-a826-a5d7-a290240f3c9a</t>
  </si>
  <si>
    <t>CC</t>
  </si>
  <si>
    <t>69660468-11be-acdd-a84a-aa2ab0cc38b1</t>
  </si>
  <si>
    <t>696608fa-6335-ad11-9475-016108b4388b</t>
  </si>
  <si>
    <t>Tfl Travel Ch</t>
  </si>
  <si>
    <t>696774a7-c00d-af63-84c6-44ea3de638a2</t>
  </si>
  <si>
    <t>696681c0-0fc8-ae57-a8fc-d58c9cc8a529</t>
  </si>
  <si>
    <t>Pension</t>
  </si>
  <si>
    <t>69667a37-a577-a4b8-b51e-b3aa46a0165a</t>
  </si>
  <si>
    <t>BLACKLANE 12/25 C6</t>
  </si>
  <si>
    <t>69647a14-7e2d-a5ee-b108-869682bcf20c</t>
  </si>
  <si>
    <t>6964cd8e-a577-aeea-9979-6705f803b921</t>
  </si>
  <si>
    <t>K 1 Tyres Limited</t>
  </si>
  <si>
    <t>6964a171-6d29-ab3a-b58f-9a886d59d5c6</t>
  </si>
  <si>
    <t>6964a1a7-07d4-a6be-92ef-cda0db1c2dec</t>
  </si>
  <si>
    <t>6963eb79-0f6c-ab9d-95e0-b87cce9dc466</t>
  </si>
  <si>
    <t>696276e5-d2f0-acd7-b711-41cc748d6276</t>
  </si>
  <si>
    <t>696228e8-3bf9-a8bd-8a9c-a259a4a0b78c</t>
  </si>
  <si>
    <t>69613e9d-6415-aedc-a4db-78144b529bcf</t>
  </si>
  <si>
    <t>Monthly installment</t>
  </si>
  <si>
    <t>69600c54-547c-a955-9167-135d5586173e</t>
  </si>
  <si>
    <t>INVE RTN T212</t>
  </si>
  <si>
    <t>69600bdf-d8b9-ad77-bc9a-bff246805d8a</t>
  </si>
  <si>
    <t>To 1st Nationwide Security Ltd</t>
  </si>
  <si>
    <t>KM20</t>
  </si>
  <si>
    <t>696008a1-9145-a61e-af46-aed48acdc9de</t>
  </si>
  <si>
    <t>1stnat Farh</t>
  </si>
  <si>
    <t>695fc431-c86e-a5f4-b436-560618a92cd2</t>
  </si>
  <si>
    <t>loan</t>
  </si>
  <si>
    <t>695f72ce-a207-a700-be7c-a8b6c9569598</t>
  </si>
  <si>
    <t>695db6f2-5a65-acf6-afd7-5e1afa2febf3</t>
  </si>
  <si>
    <t>City Of London Corpora</t>
  </si>
  <si>
    <t>695ee0a1-051e-a058-ac56-38327a732024</t>
  </si>
  <si>
    <t>695d7967-15aa-a7ab-9559-b957bf8840fb</t>
  </si>
  <si>
    <t>695d356d-b67a-afc0-9d26-7a916e108350</t>
  </si>
  <si>
    <t>695d6fb4-1e11-a26c-824c-bd3a1c8b8451</t>
  </si>
  <si>
    <t>695d17ff-ac69-a86e-9cbd-ef5dddf894d4</t>
  </si>
  <si>
    <t>695cb504-3a96-a296-b4af-57e426a26ebc</t>
  </si>
  <si>
    <t>695bdcbc-3ad3-aa70-8c15-980ebd242b25</t>
  </si>
  <si>
    <t>rashidinsurance</t>
  </si>
  <si>
    <t>695bc022-6a51-a768-95e4-3c130a6f14cf</t>
  </si>
  <si>
    <t>Money added from EUI LIMITED</t>
  </si>
  <si>
    <t>695b66c7-785f-a970-abc4-27932c4d097c</t>
  </si>
  <si>
    <t>695b8570-4244-a9b0-be7f-65f4a00a925c</t>
  </si>
  <si>
    <t>6959b5d2-aa61-a446-91c4-fdc60d85d962</t>
  </si>
  <si>
    <t>695a8ac8-4140-a7ad-83e2-a2bb817292a2</t>
  </si>
  <si>
    <t>Sq *the Wash</t>
  </si>
  <si>
    <t>695915a1-39f5-a12f-942c-90f7ae2c1f56</t>
  </si>
  <si>
    <t>Paybyphone Re Rbkc</t>
  </si>
  <si>
    <t>69591aaf-b2ac-a6dd-a36d-251e36afccb0</t>
  </si>
  <si>
    <t>69591232-12a1-a8d6-898a-f6c6441a3eab</t>
  </si>
  <si>
    <t>69591e0f-475d-a7b9-a4c0-d56a8e3fb51b</t>
  </si>
  <si>
    <t>6959ce34-be7e-a1be-97f8-ba06dd2df1be</t>
  </si>
  <si>
    <t>Netflix.com</t>
  </si>
  <si>
    <t>695880cc-19ee-aae1-ac91-663908d36af6</t>
  </si>
  <si>
    <t>695942b9-2b81-a1d1-8691-b779dbce47c8</t>
  </si>
  <si>
    <t>To Patrick Muliira</t>
  </si>
  <si>
    <t>69581068-2dc8-a249-9f26-38d50c3cb545</t>
  </si>
  <si>
    <t>69583a27-3807-a850-af64-56bd9b733f98</t>
  </si>
  <si>
    <t>6957fda9-4996-a64c-b768-3baa3641a5e6</t>
  </si>
  <si>
    <t>Km20vclass</t>
  </si>
  <si>
    <t>6957b659-49cf-aab0-8e2a-66448d975b2f</t>
  </si>
  <si>
    <t>From Mitru R</t>
  </si>
  <si>
    <t>KM20YYS</t>
  </si>
  <si>
    <t>6957814b-5297-adc4-902c-fd6f0c0a7ca4</t>
  </si>
  <si>
    <t>69578022-afe6-a9b8-867b-3abd1e812518</t>
  </si>
  <si>
    <t>695780d6-79c9-a1a0-a098-d76ce94c0ef1</t>
  </si>
  <si>
    <t>695780d3-b002-a1f3-a05c-aaf573b9dbbd</t>
  </si>
  <si>
    <t>695781c6-ab4f-ae77-8f48-7f9e1e322314</t>
  </si>
  <si>
    <t>69561ed9-3064-a938-b7de-01f4dee69ac0</t>
  </si>
  <si>
    <t>Ubitricity.com</t>
  </si>
  <si>
    <t>6956e674-a31a-ad97-b4ef-258ac35e189c</t>
  </si>
  <si>
    <t>69565d5d-f75b-a8f2-b87b-38586c752c86</t>
  </si>
  <si>
    <t>6954aa59-c6dc-ab44-9b31-b648d40a8f0e</t>
  </si>
  <si>
    <t>69556d15-8a5a-a0f8-b71d-57a57866100a</t>
  </si>
  <si>
    <t>DASHBOARD</t>
  </si>
  <si>
    <t>TRANSACTIONS (scroll left → right)</t>
  </si>
  <si>
    <t>Start Date</t>
  </si>
  <si>
    <t>Change B2/B3 to filter period</t>
  </si>
  <si>
    <t>JOBS IN</t>
  </si>
  <si>
    <t>JOBS OUT</t>
  </si>
  <si>
    <t>WX21VZN IN</t>
  </si>
  <si>
    <t>WX21VZN OUT</t>
  </si>
  <si>
    <t>End Date</t>
  </si>
  <si>
    <t>Date</t>
  </si>
  <si>
    <t>VAT</t>
  </si>
  <si>
    <t>Category</t>
  </si>
  <si>
    <t>IN</t>
  </si>
  <si>
    <t>OUT</t>
  </si>
  <si>
    <t>BALANCE</t>
  </si>
  <si>
    <t>VAT IN</t>
  </si>
  <si>
    <t>VAT OUT</t>
  </si>
  <si>
    <t>VAT IN %</t>
  </si>
  <si>
    <t>VAT OUT %</t>
  </si>
  <si>
    <t>JOBS</t>
  </si>
  <si>
    <t>WX21VZN</t>
  </si>
  <si>
    <t>EQV</t>
  </si>
  <si>
    <t>MISC PAYMENT</t>
  </si>
  <si>
    <t>EXPENSES</t>
  </si>
  <si>
    <t>FUEL</t>
  </si>
  <si>
    <t>WALEED EXPENSE</t>
  </si>
  <si>
    <t>IMRAN EXPENSE</t>
  </si>
  <si>
    <t>WAYZ MOTORS</t>
  </si>
  <si>
    <t>PROFIT FROM JOBS</t>
  </si>
  <si>
    <t>TOTAL</t>
  </si>
  <si>
    <t>Select</t>
  </si>
  <si>
    <t>TxnID</t>
  </si>
  <si>
    <t>Direction</t>
  </si>
  <si>
    <t>Status</t>
  </si>
  <si>
    <t>MoveTo</t>
  </si>
  <si>
    <t>OriginalRow</t>
  </si>
  <si>
    <t>From Rizwan I - remaining balance</t>
  </si>
  <si>
    <t>Incoming</t>
  </si>
  <si>
    <t>Unmoved</t>
  </si>
  <si>
    <t>Timestamp</t>
  </si>
  <si>
    <t>From</t>
  </si>
  <si>
    <t>To</t>
  </si>
  <si>
    <t>Note</t>
  </si>
  <si>
    <t>689e5857-300c-a734-b2c8-1aa356a968a7</t>
  </si>
  <si>
    <t>Outgoing</t>
  </si>
  <si>
    <t>Auto-moved by rule</t>
  </si>
  <si>
    <t>689efb69-ef3a-a460-95c9-65c2d88f1deb</t>
  </si>
  <si>
    <t>EQV OUT</t>
  </si>
  <si>
    <t>689f6de5-e5f2-ad30-9b28-be2a6c815cbc</t>
  </si>
  <si>
    <t>689df4b3-1878-a7e1-a3b6-bbd7f730d6e4</t>
  </si>
  <si>
    <t>689df6fa-5291-a6cf-9ac4-312d2aca02eb</t>
  </si>
  <si>
    <t>689e5cf1-508c-a0b9-acc5-65a210d08c16</t>
  </si>
  <si>
    <t>689cf52f-5bd2-a713-911c-3952a83256f8</t>
  </si>
  <si>
    <t>689d0565-86e5-a025-b6c5-b38be3346db7</t>
  </si>
  <si>
    <t>689b120b-2534-a097-8489-da726ff1c82d</t>
  </si>
  <si>
    <t>PARKING</t>
  </si>
  <si>
    <t>689b485a-f0fa-acd2-bb5e-197f33c59321</t>
  </si>
  <si>
    <t>689b651b-630e-a0b1-a944-8fad01fdbb3f</t>
  </si>
  <si>
    <t>6899eeec-88e5-a62c-8d12-c9b4dfd43d95</t>
  </si>
  <si>
    <t>689905c7-caa8-ae21-84fd-cac3cd7af2bc</t>
  </si>
  <si>
    <t>6897ba3a-f262-a9b5-96c4-9d6840ea15ab</t>
  </si>
  <si>
    <t>68966fa4-359f-a897-81d2-e62cbad44083</t>
  </si>
  <si>
    <t>6895d283-8cbf-a2f5-8a99-25e90cc19b62</t>
  </si>
  <si>
    <t>6895cd8b-3817-a4c6-8887-f244afefbfeb</t>
  </si>
  <si>
    <t>68961ce4-eef0-a096-8011-d664f8bb7fb8</t>
  </si>
  <si>
    <t>6895acd6-3785-ad2e-9d2e-370c98104615</t>
  </si>
  <si>
    <t>6898c959-2219-a027-917f-05f02e99d7c6</t>
  </si>
  <si>
    <t>68986b3d-e9df-a976-b39f-06ba688d068a</t>
  </si>
  <si>
    <t>68977584-d871-ae67-ad53-46d0e65bb638</t>
  </si>
  <si>
    <t>6896e3af-88e8-adf1-a88d-0e55512d9c08</t>
  </si>
  <si>
    <t>6895d791-a703-a818-91aa-bb834d12547b</t>
  </si>
  <si>
    <t>KM20YYX IN</t>
  </si>
  <si>
    <t>6895d77e-ae1c-a898-a1cc-3674695d3979</t>
  </si>
  <si>
    <t>68947caa-a5ff-a4dc-aad8-890c12754b90</t>
  </si>
  <si>
    <t>6894b6f2-31f7-ac7d-bbbb-0f72f6729764</t>
  </si>
  <si>
    <t>6894803d-e8c1-a707-a120-4f5625a66f82</t>
  </si>
  <si>
    <t>6893a33d-61c3-a36c-b95c-1484d7f68335</t>
  </si>
  <si>
    <t>6893478d-4266-aa2d-8291-79c05356f99b</t>
  </si>
  <si>
    <t>6893e10d-2400-aea7-bb9b-4c273804c6ce</t>
  </si>
  <si>
    <t>689340a4-4e67-ab84-979f-04961c9598ec</t>
  </si>
  <si>
    <t>68933939-b40e-a31e-96ee-0581b0f7a8be</t>
  </si>
  <si>
    <t>68922ad6-4c53-af83-a8a4-ad961241200c</t>
  </si>
  <si>
    <t>6891964f-d5c0-ae79-b3c0-e8de75003178</t>
  </si>
  <si>
    <t>68915a48-d378-ab0d-9fa6-cec5f632611d</t>
  </si>
  <si>
    <t>68908fc9-9133-a302-93d3-7e43c9307180</t>
  </si>
  <si>
    <t>688fea48-0202-a7a9-a6c8-368cab6484a7</t>
  </si>
  <si>
    <t>688e83b9-f9bd-a908-9f07-f9c1d1b3e305</t>
  </si>
  <si>
    <t>688cac44-d94c-a66b-9abb-a2f23d8cb0d6</t>
  </si>
  <si>
    <t>688d426b-0863-ac41-9fe1-c122ca6b0241</t>
  </si>
  <si>
    <t>688b6a4e-7676-a034-b315-e23992431cf0</t>
  </si>
  <si>
    <t>688b72f1-76ee-ac6c-8c4f-c3bfd1a4af17</t>
  </si>
  <si>
    <t>688b80fe-779b-acd6-a678-1c313227ced4</t>
  </si>
  <si>
    <t>688b3e88-3c5d-a41a-8596-f5492054180b</t>
  </si>
  <si>
    <t>688b414c-70ff-a4ba-b4f2-acfc0cfda5c7</t>
  </si>
  <si>
    <t>688b798d-ae02-af8d-bc39-dd9a870b3fa6</t>
  </si>
  <si>
    <t>688b359c-581a-a84e-a80d-bc0ff4375dd7</t>
  </si>
  <si>
    <t>688b3b48-1157-a40f-b9bc-7188aa3f6375</t>
  </si>
  <si>
    <t>688c8f97-2605-afbb-906a-46e718946206</t>
  </si>
  <si>
    <t>688c6c86-76d1-a549-a1b3-9ae42b4556e6</t>
  </si>
  <si>
    <t>688bc35a-f0d4-a79b-9823-5d5b64a35099</t>
  </si>
  <si>
    <t>688b022f-f02a-aa69-87a6-c8535d6f271e</t>
  </si>
  <si>
    <t>688b776d-7a35-a535-9682-53d40586e581</t>
  </si>
  <si>
    <t>688c06ac-2fcf-a131-a02b-a59a67bc28d9</t>
  </si>
  <si>
    <t>688bc9b1-5103-a40d-886e-7f20c3f8e829</t>
  </si>
  <si>
    <t>688a6919-5683-a8dc-9597-d9916f0b25a9</t>
  </si>
  <si>
    <t>688afb10-7b8e-a086-86e5-1e6ede7afd22</t>
  </si>
  <si>
    <t>6888e3c0-4cbf-a660-babc-e09383f3aabb</t>
  </si>
  <si>
    <t>688a6f15-6418-a225-a575-d6e39833801a</t>
  </si>
  <si>
    <t>68880159-b4aa-a217-808c-9bf68c465cb5</t>
  </si>
  <si>
    <t>688904ef-a104-a37d-833d-7ae2b409acf0</t>
  </si>
  <si>
    <t>6887be44-9d7c-a31f-ac2f-c5db75672797</t>
  </si>
  <si>
    <t>68878dcf-a005-ada1-9491-3badbeadc461</t>
  </si>
  <si>
    <t>6886b6a9-7de3-afdb-822a-1f280867396f</t>
  </si>
  <si>
    <t>68878ed8-93f9-abfa-9ea5-ca7f43867259</t>
  </si>
  <si>
    <t>688812f0-8a6f-ab34-be3a-4d6e147b84a4</t>
  </si>
  <si>
    <t>68879bf5-c20c-ac59-8ce7-dd9e4e8ee3ce</t>
  </si>
  <si>
    <t>68877e25-7b70-a323-ab67-535b446f841b</t>
  </si>
  <si>
    <t>6888725d-9fa5-ae93-9057-bd47625fe536</t>
  </si>
  <si>
    <t>6886b6e9-6788-a489-9699-fb804d26421b</t>
  </si>
  <si>
    <t>6887f52e-06fb-a21a-a0a6-a98e1ac56cc5</t>
  </si>
  <si>
    <t>68868ea8-ccef-a28a-9e89-db377e09a5b7</t>
  </si>
  <si>
    <t>68874e0c-b4d5-a338-b06d-e21f8b513680</t>
  </si>
  <si>
    <t>6886a514-75d4-a1d4-9ebf-5f3965db070f</t>
  </si>
  <si>
    <t>688571db-5195-abc6-9693-74a9c0d56155</t>
  </si>
  <si>
    <t>68880c6c-2b2c-a860-bc31-4b1f79236335</t>
  </si>
  <si>
    <t>68864af0-9011-ab6f-aba5-dca5e3ff4080</t>
  </si>
  <si>
    <t>6887811c-7220-af94-9f99-f9aa711fee11</t>
  </si>
  <si>
    <t>68869b7a-dc21-a7d2-8a29-56ab2b3091f2</t>
  </si>
  <si>
    <t>68869a92-d342-a8e3-a71b-0944ea2ef48d</t>
  </si>
  <si>
    <t>68869933-5257-a4ea-9a96-5b2abe8dc902</t>
  </si>
  <si>
    <t>6886230f-8083-a12e-a4cf-ea5afa579fb8</t>
  </si>
  <si>
    <t>68863ed1-7c62-a9b8-9752-5e01a257b3cd</t>
  </si>
  <si>
    <t>68871667-a87c-acd2-8143-07d8c1067ed9</t>
  </si>
  <si>
    <t>6885ed79-5c2f-a9d0-8c6f-619462b291c5</t>
  </si>
  <si>
    <t>68867447-ec3f-a04f-9b5b-b67b08fe8573</t>
  </si>
  <si>
    <t>68856a83-615c-a6ff-847f-2c8a6ab1f83d</t>
  </si>
  <si>
    <t>68869516-a5be-adfc-9ab9-062a14365812</t>
  </si>
  <si>
    <t>MISC PAYMENT OUT</t>
  </si>
  <si>
    <t>6885fecb-ad47-a811-a5bc-5ad14186e5bb</t>
  </si>
  <si>
    <t>6884c70a-31c1-a8bd-ba57-6deb286c116f</t>
  </si>
  <si>
    <t>6884e489-5325-a716-97fe-c34b36b6246f</t>
  </si>
  <si>
    <t>68850895-3c2a-a96b-b17e-0c427999e00d</t>
  </si>
  <si>
    <t>688293a4-194c-aeee-9d00-52b97155de12</t>
  </si>
  <si>
    <t>68829df9-295c-afed-b6e5-28e814739099</t>
  </si>
  <si>
    <t>68829e16-9751-a5c6-bddc-e16abba65d22</t>
  </si>
  <si>
    <t>68829dc5-6ff9-ad62-b2c9-ece65e0cbe8a</t>
  </si>
  <si>
    <t>688286d1-de13-af74-a5b2-39557e123e92</t>
  </si>
  <si>
    <t>6880e72f-3715-ab42-a5de-688aa0f988ca</t>
  </si>
  <si>
    <t>6880d374-71e3-a4ca-b2c0-57bac0083209</t>
  </si>
  <si>
    <t>68815d42-3fa3-a561-80c9-37dcc08fe3b2</t>
  </si>
  <si>
    <t>6880e64d-127a-ad87-a20f-e9b709a77b64</t>
  </si>
  <si>
    <t>688102b1-aa3f-afd3-aa9d-772fbfe4bb77</t>
  </si>
  <si>
    <t>687fd3d7-bc86-a562-9e25-4c89d2c8b579</t>
  </si>
  <si>
    <t>687fd094-f032-a0b3-a7fe-c6cbdb8001ff</t>
  </si>
  <si>
    <t>687f6745-f935-a213-8155-d35a91e782c0</t>
  </si>
  <si>
    <t>687faa7b-dc00-aa0e-8335-311d9dbaf69f</t>
  </si>
  <si>
    <t>687f8e92-76dd-aa23-8ae2-5fee0584a3c1</t>
  </si>
  <si>
    <t>687fcde0-4ade-a7c9-828b-d60b19fa0b0d</t>
  </si>
  <si>
    <t>687feada-8f04-a2da-a829-546badf0ecd2</t>
  </si>
  <si>
    <t>687e10a6-56e0-af75-a407-7eba11e8ae1f</t>
  </si>
  <si>
    <t>687e12a6-f39d-a563-96f9-a4180c32dd11</t>
  </si>
  <si>
    <t>687ec935-7b99-ac70-8dfb-801cf8827dd5</t>
  </si>
  <si>
    <t>687dd14d-0ff5-a059-a0c3-52d62e337d97</t>
  </si>
  <si>
    <t>687d839f-f7bf-a3d1-bb6b-55be1400b296</t>
  </si>
  <si>
    <t>687d658c-e0fc-a49e-a7fc-426f1c739972</t>
  </si>
  <si>
    <t>687d642e-7021-a234-85de-46bcefa71818</t>
  </si>
  <si>
    <t>687d0906-5fc3-a191-9e45-df76a0bf8909</t>
  </si>
  <si>
    <t>687cbb63-b969-ac5e-9161-78ddf7b9e35b</t>
  </si>
  <si>
    <t>687d2ed4-22ca-ab8f-a6ee-d477ea099dcb</t>
  </si>
  <si>
    <t>687bae67-e5d1-a8b7-813f-aaea35a42775</t>
  </si>
  <si>
    <t>687ca55d-6f2e-a246-ba0e-33c882c699e3</t>
  </si>
  <si>
    <t>687cd0cb-e499-a21e-9921-ee8e5fb89938</t>
  </si>
  <si>
    <t>687bf47e-6da2-a04a-abbd-0cbccb445bf4</t>
  </si>
  <si>
    <t>68793563-fcc2-a6a0-8ca1-e7e9e88d48db</t>
  </si>
  <si>
    <t>687da2a4-0504-a637-87c8-82970bf99eb4</t>
  </si>
  <si>
    <t>687d0656-17ba-a9bb-b282-9c97c098f828</t>
  </si>
  <si>
    <t>687b3bc1-01eb-a5b0-ac37-86de5159befe</t>
  </si>
  <si>
    <t>687b97bf-f463-aaa1-961d-f25650077f22</t>
  </si>
  <si>
    <t>687be67f-c46f-ac7d-b792-efd255cf64ae</t>
  </si>
  <si>
    <t>687b86de-9a91-a3c8-b84c-f3fa2048f5e0</t>
  </si>
  <si>
    <t>687b9274-87a2-a5de-882f-dc3c2a934da7</t>
  </si>
  <si>
    <t>687aaff0-c898-a22b-a052-15e93a15819b</t>
  </si>
  <si>
    <t>687a7c26-aa02-af2d-991a-c6ee49018b94</t>
  </si>
  <si>
    <t>687a4554-1bb0-a6fe-9d43-6e4729023e2f</t>
  </si>
  <si>
    <t>687a4c08-d25f-a49e-ae44-9b0a8a1dc532</t>
  </si>
  <si>
    <t>687aa29b-1dd1-a2bc-ab44-cc553544a141</t>
  </si>
  <si>
    <t>687abef1-a923-a29f-b2ed-ac94518e9404</t>
  </si>
  <si>
    <t>687a2519-8262-a31f-81d0-fb9a9858a14f</t>
  </si>
  <si>
    <t>687a2aa6-93d2-ad10-bd3a-61fa71af9ed9</t>
  </si>
  <si>
    <t>6879b79d-d605-a88a-bfd1-b2a7c44a61a1</t>
  </si>
  <si>
    <t>687abcb6-3ed7-a1d1-b172-059caf36381e</t>
  </si>
  <si>
    <t>687a6fb5-caeb-a8d2-a39d-46620393c361</t>
  </si>
  <si>
    <t>687920db-1791-a816-bcf3-a511bf8f45e1</t>
  </si>
  <si>
    <t>687949bb-6509-ac32-acdb-7a6df50306b9</t>
  </si>
  <si>
    <t>6878848b-598f-a108-b115-f7636e3a9a16</t>
  </si>
  <si>
    <t>68790ae7-382e-ab40-af5e-d5b510610fa3</t>
  </si>
  <si>
    <t>68790e2c-85cf-a354-b7f2-bd3e667fe848</t>
  </si>
  <si>
    <t>687876b0-08ec-ab6d-906c-c7b712304cbe</t>
  </si>
  <si>
    <t>6878c35e-53fb-ae25-8f7e-379f111d20dc</t>
  </si>
  <si>
    <t>6878ba1a-79bf-abb6-bdbf-00432178b0d3</t>
  </si>
  <si>
    <t>6878e11c-7b1c-afc0-915a-4384c50cd0eb</t>
  </si>
  <si>
    <t>6879bc2e-a9e7-a35c-b389-85b9b78eb092</t>
  </si>
  <si>
    <t>6878a6ad-a726-aa28-acee-e2649e0830f8</t>
  </si>
  <si>
    <t>687974a8-bed1-a9c6-8d0b-7561e3e66331</t>
  </si>
  <si>
    <t>6878b1f5-bd6b-aa4c-be57-4c1ec765b911</t>
  </si>
  <si>
    <t>6877aa4e-490f-a3c2-b2e7-aba2b327eae1</t>
  </si>
  <si>
    <t>6877c607-df66-adf6-85f8-16fb85a8cb55</t>
  </si>
  <si>
    <t>68780bd9-f438-a28b-8ad5-2a40670a681c</t>
  </si>
  <si>
    <t>6877ade3-0a25-abb3-9301-5bffe21cda26</t>
  </si>
  <si>
    <t>68780d28-b05b-aab2-afc8-d07eca404a1e</t>
  </si>
  <si>
    <t>6876e620-d8de-a109-9919-af2a74968620</t>
  </si>
  <si>
    <t>6876e621-70f0-af9a-a759-cb0f372d79e8</t>
  </si>
  <si>
    <t>68778a85-6088-a68c-b4eb-009cbf1c20d5</t>
  </si>
  <si>
    <t>6877ae8e-eb4f-a421-a012-eafe50436419</t>
  </si>
  <si>
    <t>68765397-73f8-a7a0-9160-1f8eea078d8d</t>
  </si>
  <si>
    <t>687652ba-98fc-a1ad-a263-e99dbd3ff5d4</t>
  </si>
  <si>
    <t>6876b3e2-9dea-aa94-a768-bd71c962af33</t>
  </si>
  <si>
    <t>687649ee-d54a-a6fe-8196-d1478f771387</t>
  </si>
  <si>
    <t>68759df9-5e83-a008-a892-2fd8176f7bde</t>
  </si>
  <si>
    <t>6876ac3e-02c0-abef-927d-9984873fe663</t>
  </si>
  <si>
    <t>68767cbd-c4f0-aa99-bc91-893c6231dfea</t>
  </si>
  <si>
    <t>6875b4de-f0da-ae4a-832e-df2daad31ebb</t>
  </si>
  <si>
    <t>6875a974-f480-a8c9-a251-45e41946b405</t>
  </si>
  <si>
    <t>6875c5f2-d3f6-afc1-95e5-73c663939c62</t>
  </si>
  <si>
    <t>68763a19-c34c-a1d8-ae0c-85dd67f75d0b</t>
  </si>
  <si>
    <t>6875ff03-b42f-a625-9152-96c706fe7f29</t>
  </si>
  <si>
    <t>68767692-8f42-ab41-997d-259459078c73</t>
  </si>
  <si>
    <t>6874388e-b7d1-a849-a6e0-39226b89da11</t>
  </si>
  <si>
    <t>68760b45-ceb3-af00-88ab-eb141232da1d</t>
  </si>
  <si>
    <t>68760866-2ca1-a7fc-b084-3e6fa63af385</t>
  </si>
  <si>
    <t>6874cfdb-5739-a299-9f27-ed871a5739f6</t>
  </si>
  <si>
    <t>687588ec-5de4-abca-9263-439bdfb93ff9</t>
  </si>
  <si>
    <t>6874b4ad-1f29-ad8d-ab83-ace645903190</t>
  </si>
  <si>
    <t>687477bd-1bbb-a4c3-9f55-6f2088a0fddb</t>
  </si>
  <si>
    <t>68758987-4657-aa4c-883e-5eb4d9c6f9d0</t>
  </si>
  <si>
    <t>68750041-fcbd-a87e-b73c-b50c1ee0bc6a</t>
  </si>
  <si>
    <t>6874b908-d0c6-a6df-952c-05ddf97fede5</t>
  </si>
  <si>
    <t>68741972-9abc-aa42-8f1f-31fb51b713cb</t>
  </si>
  <si>
    <t>6873362c-580c-a353-91a8-a400987a4916</t>
  </si>
  <si>
    <t>6873d566-ae87-a559-91ac-c8680cbe0b90</t>
  </si>
  <si>
    <t>68744f16-b9a5-a3d4-9d1e-d832b45eba67</t>
  </si>
  <si>
    <t>68744ec0-b820-a906-b0f0-b292e96ef12b</t>
  </si>
  <si>
    <t>68725b24-e16a-a35b-8af0-26c5127122ac</t>
  </si>
  <si>
    <t>6872479d-e59c-a62e-976e-5e5abf39d7ea</t>
  </si>
  <si>
    <t>68725a0d-c51d-a080-b97f-ea4e47b27740</t>
  </si>
  <si>
    <t>68736daa-f8c0-ad62-9ef8-e5e7fa3c683b</t>
  </si>
  <si>
    <t>6872caf1-68d9-ac4a-8455-7268bef1833c</t>
  </si>
  <si>
    <t>6871bc1e-22bb-a6eb-ac5d-b2322826502b</t>
  </si>
  <si>
    <t>6871dbb8-6ff1-ad58-b0e6-5689e2d97d40</t>
  </si>
  <si>
    <t>6871ed91-4db9-ad5f-b1cc-df271540c4de</t>
  </si>
  <si>
    <t>6872273e-71f7-a1b0-aa35-c93fa7f8fcf7</t>
  </si>
  <si>
    <t>6871701f-ba28-aeaa-a77b-b446184fc467</t>
  </si>
  <si>
    <t>687143a4-daaf-acff-b0a9-319ebef20178</t>
  </si>
  <si>
    <t>68704292-0cbe-aa7e-931b-3676fd6414f9</t>
  </si>
  <si>
    <t>68711fb1-af95-aca8-951a-36accb0f3618</t>
  </si>
  <si>
    <t>6870db0a-7663-ab9e-8124-36ef7465f141</t>
  </si>
  <si>
    <t>68718756-504d-a4b8-b24f-98116f27e350</t>
  </si>
  <si>
    <t>68715a45-c47a-af8b-9a21-34ba7599d54b</t>
  </si>
  <si>
    <t>68713662-bb52-a6c7-9d71-d454b5cf2acf</t>
  </si>
  <si>
    <t>6871675b-f911-a9d0-a2e2-c699734f6614</t>
  </si>
  <si>
    <t>686fd259-3afe-a14c-a383-e81f02404dcc</t>
  </si>
  <si>
    <t>68707fcb-4b64-a07c-9373-7e2924f5a592</t>
  </si>
  <si>
    <t>68719d64-e6aa-ab0a-b216-10ac74e8fa74</t>
  </si>
  <si>
    <t>68712542-919e-a286-8dfc-2a35fe4a58d6</t>
  </si>
  <si>
    <t>686f8316-b839-a1c3-887f-a3ca2c4daa41</t>
  </si>
  <si>
    <t>6870ed4e-1067-a447-adcb-3336f27790ab</t>
  </si>
  <si>
    <t>686fba45-028e-a8ce-9d0a-2dcfd0e5ccdd</t>
  </si>
  <si>
    <t>686fc0bf-49d3-acba-b232-6bd55a1dc48f</t>
  </si>
  <si>
    <t>686fac49-f9a5-a13b-9932-8ede5711e2a1</t>
  </si>
  <si>
    <t>686fd849-f32f-aebf-b809-bd594d470513</t>
  </si>
  <si>
    <t>686f653d-464d-a8b7-8c49-1f3bc84ae432</t>
  </si>
  <si>
    <t>68703321-e5f0-aa36-ade0-4a3fbb5a0868</t>
  </si>
  <si>
    <t>686e835a-79de-a661-8e10-a6bd8e3c2590</t>
  </si>
  <si>
    <t>686db0d1-1606-a532-a90d-7359cb858f0a</t>
  </si>
  <si>
    <t>686a590d-3687-ac47-8852-22fa4dbe7215</t>
  </si>
  <si>
    <t>686e751d-496a-ac55-ad2e-3716455abc39</t>
  </si>
  <si>
    <t>686cb3ce-e3ea-aee3-8b9f-614e8e29e22f</t>
  </si>
  <si>
    <t>686d65a3-4386-a351-a00a-94d76f1afd3b</t>
  </si>
  <si>
    <t>686d5f17-f7a7-a936-ac1c-3cca2c61fbd1</t>
  </si>
  <si>
    <t>686cbe9e-4032-a535-855a-56120bed2cfb</t>
  </si>
  <si>
    <t>686ccf68-57d8-a2ce-90c5-0b6e579ebab6</t>
  </si>
  <si>
    <t>686bdf96-e29b-ac4f-85a5-047658b588c2</t>
  </si>
  <si>
    <t>686bc307-bae8-af6a-a221-94b30ca9f9a4</t>
  </si>
  <si>
    <t>686c3661-6367-a102-9f2e-915be2b8b08e</t>
  </si>
  <si>
    <t>686ba628-5a56-a7a4-9709-5e1d77d1f17f</t>
  </si>
  <si>
    <t>686b0f64-eeb2-a952-95be-49c09b646f3c</t>
  </si>
  <si>
    <t>686c3a7f-72b9-a4bc-bbe2-830319e175e5</t>
  </si>
  <si>
    <t>686bab45-745a-a687-b5d9-4b46958da4fc</t>
  </si>
  <si>
    <t>686a00c7-57c0-aa87-b902-487653af806c</t>
  </si>
  <si>
    <t>686a6b64-f919-a25c-886a-bebeef37dc8e</t>
  </si>
  <si>
    <t>686ae18a-dafd-adbe-961e-eb08e5197cff</t>
  </si>
  <si>
    <t>686ad424-8d6a-a886-9dbf-90f09217e3b9</t>
  </si>
  <si>
    <t>686a0791-7677-acf8-af37-fbc6efe70009</t>
  </si>
  <si>
    <t>686af007-af08-ac30-8694-10b9763e9f5d</t>
  </si>
  <si>
    <t>686a15a4-5e4b-ae19-ab4c-a1d3e5581ef9</t>
  </si>
  <si>
    <t>686abfb1-25db-a7cd-a34a-bd9b68dd6967</t>
  </si>
  <si>
    <t>686a2a46-3fea-a713-b163-9471c319f5a9</t>
  </si>
  <si>
    <t>686a2149-0296-a0fe-95fb-84c337dcde1e</t>
  </si>
  <si>
    <t>686ab54c-12f3-ad19-b6d0-4a779293334c</t>
  </si>
  <si>
    <t>686a39f3-1e8e-a711-92a7-5eeb81800c84</t>
  </si>
  <si>
    <t>68686302-ed3e-a9b1-b5cc-a4f8b10c19b2</t>
  </si>
  <si>
    <t>68685f0e-bb97-a4b9-b16b-6501845484ab</t>
  </si>
  <si>
    <t>6869a0c9-47bd-a62c-a510-e7607d597c11</t>
  </si>
  <si>
    <t>68689391-5125-a752-886e-e10901becde9</t>
  </si>
  <si>
    <t>68699732-9da8-a69b-8d38-9c7223621d2c</t>
  </si>
  <si>
    <t>686919a9-12f5-a31b-91fd-b8de7d19f3eb</t>
  </si>
  <si>
    <t>6868d56f-7d84-a3af-a7cc-d828d56078af</t>
  </si>
  <si>
    <t>68679c2e-3c32-a400-8eae-e56139fad96c</t>
  </si>
  <si>
    <t>68681b7b-9464-a710-b336-decf178ed86c</t>
  </si>
  <si>
    <t>686834b7-3820-a432-b08b-5d117753b940</t>
  </si>
  <si>
    <t>6867f9aa-f05d-a3a8-b2e9-d9cb370b62c1</t>
  </si>
  <si>
    <t>686782c5-6e94-a36a-8ff3-44544be2f190</t>
  </si>
  <si>
    <t>6868022a-3ccc-ab12-a799-667b8bfbe742</t>
  </si>
  <si>
    <t>6867da0f-a177-a54a-b611-2a230c8f01f1</t>
  </si>
  <si>
    <t>6867d8be-2ee8-adbd-8fa7-0f07ece1b7bc</t>
  </si>
  <si>
    <t>68683e90-d9ce-a239-a009-e4bdf9521edc</t>
  </si>
  <si>
    <t>686787e9-d172-af0e-a85c-4c6d965184b3</t>
  </si>
  <si>
    <t>6867e8de-af4a-afe0-81b9-fbdd12aaa149</t>
  </si>
  <si>
    <t>6867d16c-b078-ada6-981d-a9da6c8d1f2b</t>
  </si>
  <si>
    <t>6867f6c8-ddef-a744-9979-3ea951ddda97</t>
  </si>
  <si>
    <t>686860db-173f-ac26-8448-44f417523295</t>
  </si>
  <si>
    <t>6866c9aa-8616-ae58-9b03-9a5f57d53fbd</t>
  </si>
  <si>
    <t>6866cc72-5823-a9c3-9a42-8c17a2329f03</t>
  </si>
  <si>
    <t>68662cd8-d03e-ab36-b9e1-7c5daa18920a</t>
  </si>
  <si>
    <t>686633de-ed2a-a1d5-97b0-011484dca82d</t>
  </si>
  <si>
    <t>6866766b-a9b3-aaee-92d5-8325abcf5720</t>
  </si>
  <si>
    <t>68666c80-62ad-a1de-ab12-95739e3f9df0</t>
  </si>
  <si>
    <t>6866df03-308c-a63f-a231-b709e46fbd9b</t>
  </si>
  <si>
    <t>6866b074-1284-ab4e-9a83-70ef4344357b</t>
  </si>
  <si>
    <t>6867723a-3005-a192-bebb-7a1c529151aa</t>
  </si>
  <si>
    <t>6866e10b-c9a6-a8b1-9725-b41809e5ce0f</t>
  </si>
  <si>
    <t>6866ad55-a3d3-a286-b9fa-cf98b8adf14e</t>
  </si>
  <si>
    <t>6866ad44-1d76-ade1-b7b4-1bf8512f96f9</t>
  </si>
  <si>
    <t>6866acfe-cd51-a8a6-9ca5-bd4ccc7978fe</t>
  </si>
  <si>
    <t>6866aceb-1850-aff1-8161-63c5ec146c04</t>
  </si>
  <si>
    <t>6866aa83-5f53-a2e2-a3cc-42b433b6bee1</t>
  </si>
  <si>
    <t>6866691d-5a68-a2ed-9f2b-5d96828f3984</t>
  </si>
  <si>
    <t>68664b6e-611e-a30d-a43b-367b96ce31bb</t>
  </si>
  <si>
    <t>686554af-f38b-ab89-b997-c7210c162277</t>
  </si>
  <si>
    <t>68657176-72f0-aa5b-87d4-0a1da4af5008</t>
  </si>
  <si>
    <t>68661c68-c5a7-ab42-85aa-05e9316cf13d</t>
  </si>
  <si>
    <t>6865876f-e1a0-a8ad-aad9-ffe05c2a5121</t>
  </si>
  <si>
    <t>68652544-7666-abf9-af5f-a5519008e267</t>
  </si>
  <si>
    <t>68654c59-61d9-a56c-8e3e-7b5e45914c2d</t>
  </si>
  <si>
    <t>6865bfe0-a061-a3df-967a-24ab50ce8f93</t>
  </si>
  <si>
    <t>68658699-cbc3-a49f-bee5-65aea0a9fd5b</t>
  </si>
  <si>
    <t>6864ee6c-ac18-ab49-98c0-e262d0e95419</t>
  </si>
  <si>
    <t>68641270-2cbb-ac4a-8ec9-513878c189b9</t>
  </si>
  <si>
    <t>6864d131-c93b-a903-ae9c-50e5ee4ef4c5</t>
  </si>
  <si>
    <t>686318bc-9c23-af58-b573-c634de9c40d0</t>
  </si>
  <si>
    <t>6863f744-9a8b-ae4c-b9b8-392cdbe99491</t>
  </si>
  <si>
    <t>6863d245-54b2-a3fd-a540-522e4a5c9b44</t>
  </si>
  <si>
    <t>686452e3-45e3-aa9f-be59-acc73e70457e</t>
  </si>
  <si>
    <t>686447c3-8b4a-a12f-bfef-95a9b7a68aa7</t>
  </si>
  <si>
    <t>686445b7-b0d9-a951-b0e0-0b3bd9951de7</t>
  </si>
  <si>
    <t>68625384-1740-afb2-8924-b3125af25ad2</t>
  </si>
  <si>
    <t>6862c1f5-4f8f-afa1-b596-c7f3f8b9bc8d</t>
  </si>
  <si>
    <t>6862b1de-922d-a3e0-871c-25d6ede0c39b</t>
  </si>
  <si>
    <t>68629e1b-48f3-a187-ab74-45646d4af2b6</t>
  </si>
  <si>
    <t>686306a9-ce0a-aa60-bc20-b64f446735fc</t>
  </si>
  <si>
    <t>6862e011-9981-ab09-a341-add50e7f3ba7</t>
  </si>
  <si>
    <t>6862065e-fa22-ad9c-adea-4d6949defdff</t>
  </si>
  <si>
    <t>6862b406-2568-a378-ac87-293b69ffc44a</t>
  </si>
  <si>
    <t>68628630-89a2-ad33-b8fd-9396dae5a9db</t>
  </si>
  <si>
    <t>68631827-75c5-ae24-850b-056bf093051f</t>
  </si>
  <si>
    <t>6863178f-b497-a1bb-a39c-9cd138670022</t>
  </si>
  <si>
    <t>6861046e-d459-a9a2-a7f0-a5a434ced753</t>
  </si>
  <si>
    <t>68618b89-dec8-a82c-ae0f-1566061cdb51</t>
  </si>
  <si>
    <t>68628e7b-d952-a2e4-86f4-457c47f05fd4</t>
  </si>
  <si>
    <t>68625c79-73aa-a111-9e86-37d27dd3b6eb</t>
  </si>
  <si>
    <t>6862560c-5238-a95f-89d6-3b79068be32c</t>
  </si>
  <si>
    <t>6860d324-2a8a-a413-b1fc-46002493f8d6</t>
  </si>
  <si>
    <t>68618617-c070-af67-90a2-f5ebcc96ba97</t>
  </si>
  <si>
    <t>68619b48-7f5e-aa15-88f0-aaa4c9708a1c</t>
  </si>
  <si>
    <t>68612244-d176-a7f7-9e2d-6a2e3da90726</t>
  </si>
  <si>
    <t>686139c8-5b86-a78a-92c4-ca7f62a2ff95</t>
  </si>
  <si>
    <t>6861cc3a-67d6-a70b-949a-aaa7d9d88e5c</t>
  </si>
  <si>
    <t>6861cc06-df3a-ab88-a9b3-bd6198604243</t>
  </si>
  <si>
    <t>685f8f2e-cbf0-ac1a-b8fb-d05f8e288f9d</t>
  </si>
  <si>
    <t>685f8e62-7453-a241-afe7-db0a0f6fae7e</t>
  </si>
  <si>
    <t>685f8cde-d6cb-a4f0-96c0-5eb5b077f7f8</t>
  </si>
  <si>
    <t>685f888d-525c-a787-baa8-d61c8cb71b82</t>
  </si>
  <si>
    <t>686022f7-8434-ac65-85e2-213f4a40ae9f</t>
  </si>
  <si>
    <t>685fe32a-4d9e-aac5-933f-a0d9aa6deeb3</t>
  </si>
  <si>
    <t>68606ab1-d0d5-ab61-bf42-19fadc259902</t>
  </si>
  <si>
    <t>685fa666-5c56-a2f3-ba28-e73e9ad84f5d</t>
  </si>
  <si>
    <t>685ee9d2-0f6a-a8ea-b5e6-66a548317b54</t>
  </si>
  <si>
    <t>685d788b-93fc-a6e8-bedf-6fd19321573a</t>
  </si>
  <si>
    <t>685ee5f9-1065-a8f7-b17f-d339bd236ed1</t>
  </si>
  <si>
    <t>685edda3-04d3-a3f9-85de-9b6c726943c3</t>
  </si>
  <si>
    <t>685edce4-f384-abae-a239-aa947f3eddb6</t>
  </si>
  <si>
    <t>685e6505-07dc-adf6-9a4e-1ad3cb72be2a</t>
  </si>
  <si>
    <t>685d131e-fa97-aeae-870c-5ebda49c4adb</t>
  </si>
  <si>
    <t>685e6368-e7d0-affe-b7e6-c8b886e9b014</t>
  </si>
  <si>
    <t>685d5359-8e67-a001-a814-7858a43091e9</t>
  </si>
  <si>
    <t>685cfc1d-a431-aca4-bc04-d775ac5ce6d2</t>
  </si>
  <si>
    <t>685d636e-4599-a95a-a327-ca7e627fa691</t>
  </si>
  <si>
    <t>685dc7e9-23d3-a8ad-8293-334fc22d8c24</t>
  </si>
  <si>
    <t>685c733d-0afa-a643-83b1-3e0d22d9e893</t>
  </si>
  <si>
    <t>685d9b2b-6e0e-a54c-9f0e-1fe8328d9633</t>
  </si>
  <si>
    <t>685d1c0b-ef9e-af35-8852-e3cdae2ee93e</t>
  </si>
  <si>
    <t>685c283a-af4a-a16f-82b3-96185902c758</t>
  </si>
  <si>
    <t>685c22e1-cda9-a4d2-9bd7-8ec5b557b51c</t>
  </si>
  <si>
    <t>685c25d3-d6dc-a33f-966a-34c25b8ee8ac</t>
  </si>
  <si>
    <t>685b3348-2f0b-ae4c-ae71-682db0b9dfea</t>
  </si>
  <si>
    <t>685c630c-7743-a678-9930-c8da552ae330</t>
  </si>
  <si>
    <t>685c675d-a6af-aea2-aab5-f022cc81cec8</t>
  </si>
  <si>
    <t>685c44ab-1dfa-ab35-8d4d-7ba3ac6818a0</t>
  </si>
  <si>
    <t>685be97f-830a-a7b4-b86c-8a26c9293909</t>
  </si>
  <si>
    <t>685c48a1-fee6-a744-aebf-d6599c255829</t>
  </si>
  <si>
    <t>685c17fc-67b2-ab0b-97a8-29e58dbb1498</t>
  </si>
  <si>
    <t>685bb180-8de3-a313-8b08-1bb87ee47e09</t>
  </si>
  <si>
    <t>685c053d-28b9-adbd-8d6f-73be6b1257dc</t>
  </si>
  <si>
    <t>685ae61e-9295-a590-b05e-52e0431eb4df</t>
  </si>
  <si>
    <t>685b0af1-86ec-a67b-9254-4eb642764b51</t>
  </si>
  <si>
    <t>685ad046-7246-aa41-aa59-1b91f989b071</t>
  </si>
  <si>
    <t>685b03ee-4a39-a380-86b6-849e6a50d998</t>
  </si>
  <si>
    <t>685b23ef-d4ef-a51f-8f86-88f5cac1042e</t>
  </si>
  <si>
    <t>685aff06-49a9-aebc-8d04-7725f0885066</t>
  </si>
  <si>
    <t>685b444d-a8a9-ad4f-92fa-9091136fc31c</t>
  </si>
  <si>
    <t>6859e3c3-de19-a040-8933-d877f6605bf8</t>
  </si>
  <si>
    <t>685a9dc4-9974-abb5-a32c-a4c98a58799c</t>
  </si>
  <si>
    <t>685abf58-66ad-a4a7-b032-d8c6f764dc31</t>
  </si>
  <si>
    <t>685aaa79-0184-aa12-b481-35d3f117dd63</t>
  </si>
  <si>
    <t>685970cf-1c41-a246-a0b3-9d7487ac94e9</t>
  </si>
  <si>
    <t>6858b3d2-ce46-a7f9-ada2-e4fe250f8358</t>
  </si>
  <si>
    <t>68588d08-06a3-a4da-b33d-186db18ace5d</t>
  </si>
  <si>
    <t>68588c01-80ef-a09b-ac90-07f575d3e8da</t>
  </si>
  <si>
    <t>68588a7b-f0b7-a4bb-be13-1316213b3811</t>
  </si>
  <si>
    <t>68599e3c-096d-a6c3-9632-d7e1ec23621c</t>
  </si>
  <si>
    <t>6857471f-64fb-a50f-95a2-50abe216aadf</t>
  </si>
  <si>
    <t>68583890-337d-ab5c-8f87-bab9ac235abc</t>
  </si>
  <si>
    <t>68581160-ca16-aa48-b3b2-ff63c7a3b1c3</t>
  </si>
  <si>
    <t>68589745-c51e-a003-a371-e4760a8d19bd</t>
  </si>
  <si>
    <t>68589657-8b9d-a2e3-8ad0-057d7700ce0d</t>
  </si>
  <si>
    <t>6858947a-55b8-a812-af65-5fe4ee0bf973</t>
  </si>
  <si>
    <t>68582e7a-2fb7-a64f-9e1d-8d27992d79cf</t>
  </si>
  <si>
    <t>6857de71-77db-abb1-95fc-bf61a5cfb835</t>
  </si>
  <si>
    <t>68584a45-c4b7-ad96-a40c-473806802d1e</t>
  </si>
  <si>
    <t>68576f91-c96e-aa63-bf05-2593e527d024</t>
  </si>
  <si>
    <t>68568e8d-048c-acff-9092-16c15c1ad179</t>
  </si>
  <si>
    <t>6856f483-1fa6-a026-9d3e-aad4aced775c</t>
  </si>
  <si>
    <t>685665cf-cdaa-aada-9d15-f8d6ac94e14c</t>
  </si>
  <si>
    <t>685649d5-168c-a52d-aabb-fa66a1c68857</t>
  </si>
  <si>
    <t>6856b3b0-297f-aa1e-a7f2-80f965787575</t>
  </si>
  <si>
    <t>6856ef9a-c4a3-a72d-9efe-7aaf2804ef45</t>
  </si>
  <si>
    <t>6856bec4-f017-af83-bdfb-bda528c44266</t>
  </si>
  <si>
    <t>68571a58-83ef-a2cd-8a4b-f4611a00e14f</t>
  </si>
  <si>
    <t>68552157-0029-a22b-889a-5af4ddd78322</t>
  </si>
  <si>
    <t>6855d630-97d7-aa31-8c02-6b014569d062</t>
  </si>
  <si>
    <t>6855c17a-335f-a7da-b561-db505d34868a</t>
  </si>
  <si>
    <t>6855226f-b44a-a3b6-b5f7-5fbb39d8102b</t>
  </si>
  <si>
    <t>6855bf74-0e9d-a5df-82e2-7d2e17fc8b0e</t>
  </si>
  <si>
    <t>68559bf9-2e2a-acc1-96f0-8c018c7d78af</t>
  </si>
  <si>
    <t>6855db21-3031-a22c-bd00-2412a43431e8</t>
  </si>
  <si>
    <t>6854507f-cfa3-a67b-9459-d4bf8f369a50</t>
  </si>
  <si>
    <t>68548f6f-404c-a078-a5a0-a7473ba069f6</t>
  </si>
  <si>
    <t>6855ea13-b370-a0b7-9396-c4b6db15b6c5</t>
  </si>
  <si>
    <t>6855aed8-954d-a79c-8af5-35317839bf85</t>
  </si>
  <si>
    <t>6855ae1e-3643-a967-a6c9-f7a6fccd7947</t>
  </si>
  <si>
    <t>6855623a-4afd-a2ce-b6d8-500fa204d254</t>
  </si>
  <si>
    <t>685546ca-2310-afa2-94f8-1877eb824d55</t>
  </si>
  <si>
    <t>68544785-e668-acb7-a54d-9a86fcd3ed48</t>
  </si>
  <si>
    <t>685383f8-f786-a7b8-9031-cfab667427ba</t>
  </si>
  <si>
    <t>6853831a-4b7d-afba-a4a3-2d5eca016448</t>
  </si>
  <si>
    <t>6853823e-2016-a8ce-b972-42ea84165e7c</t>
  </si>
  <si>
    <t>685380d0-b9c7-abca-9b7b-a4a8c46990c9</t>
  </si>
  <si>
    <t>685432ca-43f8-a8e6-8d3c-106bc83c3457</t>
  </si>
  <si>
    <t>6854f023-d0eb-a087-ae34-89b443ae7f5f</t>
  </si>
  <si>
    <t>6853ba29-a1fc-a5b4-9829-3a5c3ced9f71</t>
  </si>
  <si>
    <t>68543287-920d-acc7-9190-5ceb3fdfb3e2</t>
  </si>
  <si>
    <t>68548096-d662-a612-92b9-423ceeec9f52</t>
  </si>
  <si>
    <t>68545cdc-efe3-ae84-b347-5ec468d1e82b</t>
  </si>
  <si>
    <t>68541f9e-d9bf-afa6-b603-a26002177b06</t>
  </si>
  <si>
    <t>68538728-c48f-a32b-aec7-a41701f3b319</t>
  </si>
  <si>
    <t>6853855c-49d1-ae13-9d67-ed43e78d9c98</t>
  </si>
  <si>
    <t>685419ef-0cdf-a326-a05f-ab5e2d696bfd</t>
  </si>
  <si>
    <t>6853a329-e231-a4cf-bc18-2a892ec65678</t>
  </si>
  <si>
    <t>6851adc3-fd0a-aa1e-b32f-0a8a4fa970ab</t>
  </si>
  <si>
    <t>68532a5d-850f-af3b-b8e9-ecaccb051a6d</t>
  </si>
  <si>
    <t>6851250b-e709-a7ad-98cc-d096959103ad</t>
  </si>
  <si>
    <t>6852c9f6-86e1-aec4-a324-15af86233c94</t>
  </si>
  <si>
    <t>6851783f-cae6-a250-81d5-ad6d3b603005</t>
  </si>
  <si>
    <t>68518cff-3f1e-a65c-89c6-7439eaac63a0</t>
  </si>
  <si>
    <t>68507ea8-e8ae-abe4-b056-b9f11b705d32</t>
  </si>
  <si>
    <t>6850055c-8efb-a150-a957-d8647cb7367a</t>
  </si>
  <si>
    <t>684f9662-91cd-a6a3-a4cc-a24218581268</t>
  </si>
  <si>
    <t>685085a5-3111-a40a-a610-7fdabe773c2c</t>
  </si>
  <si>
    <t>68500e82-773a-a3af-99fe-a2edcf22bb41</t>
  </si>
  <si>
    <t>684dd556-db84-aa5b-b2c1-676738b53a3c</t>
  </si>
  <si>
    <t>684f605b-92f8-a007-9ab8-2e033f5da0cc</t>
  </si>
  <si>
    <t>6850267a-4f1d-a362-ad06-57607af1de8d</t>
  </si>
  <si>
    <t>684f1198-6d57-ab27-b17b-d64c8b4471e4</t>
  </si>
  <si>
    <t>68500854-09ea-ae4f-94e1-8f408d646e2e</t>
  </si>
  <si>
    <t>684feeb8-b2d9-a2f6-9b5f-3a822d6ff8f7</t>
  </si>
  <si>
    <t>684ffe4c-e8b9-a0c5-ae72-8beb964eb2ae</t>
  </si>
  <si>
    <t>684f5982-abb1-a233-830d-8126ba07c810</t>
  </si>
  <si>
    <t>684eb0b8-3fe8-a9e1-81b6-79c07df3718f</t>
  </si>
  <si>
    <t>684f4c36-3c75-a3f2-ba70-afcd5b7a2573</t>
  </si>
  <si>
    <t>684f2977-56f5-a76b-a6ce-1e13877967d3</t>
  </si>
  <si>
    <t>684e0b64-6801-a147-a39a-8e01551727c7</t>
  </si>
  <si>
    <t>684ebecf-a555-aa08-a236-6fc9fc39b2ca</t>
  </si>
  <si>
    <t>684da458-7716-af1f-b0ea-54e149de9bc1</t>
  </si>
  <si>
    <t>684da8ef-25b7-a70b-98a0-80dacb0eee53</t>
  </si>
  <si>
    <t>684dab5e-bb5a-a27f-8480-3f9aebf65ba9</t>
  </si>
  <si>
    <t>684cc43f-9701-ab5f-b854-5b38f26f35c1</t>
  </si>
  <si>
    <t>684d5ede-f6c3-aa94-8e08-9fc057ab8f98</t>
  </si>
  <si>
    <t>684d5f23-8e16-a91c-9b0a-8e6199880fd4</t>
  </si>
  <si>
    <t>684dac3e-657c-a588-a066-3f05e3d3f25c</t>
  </si>
  <si>
    <t>684c7527-0def-ac14-92e1-39b2e1c89c6b</t>
  </si>
  <si>
    <t>684bf3a6-c4e6-a4df-95be-9340ab5aa0f1</t>
  </si>
  <si>
    <t>684be46d-9fed-abe4-93d9-9f93644a28de</t>
  </si>
  <si>
    <t>684cb700-5712-af8a-aa59-691b4b4ffa6e</t>
  </si>
  <si>
    <t>684c4812-ed31-aad8-afc8-c56478d5dfaa</t>
  </si>
  <si>
    <t>684c14d8-92aa-a765-bbc1-40495fc89cc0</t>
  </si>
  <si>
    <t>684b84ef-c9b5-a53b-8d2b-c9fed2b347b2</t>
  </si>
  <si>
    <t>684bb305-f3a3-a19f-a749-304e3da2a9f4</t>
  </si>
  <si>
    <t>684b34e0-a1fc-a9e4-b6ef-842376fa8d0e</t>
  </si>
  <si>
    <t>684c6b07-fda7-a620-8046-5fd0ea0e180e</t>
  </si>
  <si>
    <t>684c4b25-2032-a04e-945a-ed0ea7bbab43</t>
  </si>
  <si>
    <t>684aa9de-99fe-a725-a138-dd23e5daadfa</t>
  </si>
  <si>
    <t>684b41d0-d113-a159-a5ad-1f08633e5810</t>
  </si>
  <si>
    <t>684c37b5-1ad4-aec7-a67e-d812dd5f0655</t>
  </si>
  <si>
    <t>684a8872-0a09-a5fd-b6c1-63d95dc44cf5</t>
  </si>
  <si>
    <t>684a912b-fc4d-a17d-a4af-73793d8edce9</t>
  </si>
  <si>
    <t>684bf3d0-ba0d-a8ca-bb1a-a8e8e8a86ddc</t>
  </si>
  <si>
    <t>684aa611-e118-a8a7-8969-5531ee68a861</t>
  </si>
  <si>
    <t>6849f470-425b-a4ce-b56f-65dae6068618</t>
  </si>
  <si>
    <t>6849f301-33bd-a3c7-a211-779555f61ea0</t>
  </si>
  <si>
    <t>684987d0-7d5a-ac7d-8289-993654fa0b7b</t>
  </si>
  <si>
    <t>684a894b-48b0-a775-9ddc-213713c2d5c7</t>
  </si>
  <si>
    <t>68496570-18fc-ab4e-b1b0-baeb1d8cefb9</t>
  </si>
  <si>
    <t>68498db5-39d7-a75f-8fc3-7cf44437eeca</t>
  </si>
  <si>
    <t>6849992e-e7d6-a339-bba4-12e11db5c66b</t>
  </si>
  <si>
    <t>6849380d-f316-aad8-b437-e0d8df4ca98e</t>
  </si>
  <si>
    <t>684803d9-4ae1-ace2-ac3f-04830f7003b1</t>
  </si>
  <si>
    <t>684996de-384e-aedf-af06-d1f4ea7f63b9</t>
  </si>
  <si>
    <t>68498251-d17b-ab3d-a2ab-343ec964d636</t>
  </si>
  <si>
    <t>68497663-c1b5-a1be-8957-d5e3f726741d</t>
  </si>
  <si>
    <t>6847e84b-4b35-ad1b-a683-53da8c8e97aa</t>
  </si>
  <si>
    <t>68483e39-9cdc-aa15-a3ed-5aa63d73ae95</t>
  </si>
  <si>
    <t>68479a46-a943-af23-8240-5832300b781e</t>
  </si>
  <si>
    <t>68486896-7b47-a1c2-90ac-76b53ea46bc8</t>
  </si>
  <si>
    <t>6847473e-5517-a65d-9935-585343e622c4</t>
  </si>
  <si>
    <t>6847c1db-75e3-a8c5-a823-930ba70864a9</t>
  </si>
  <si>
    <t>6846cb9b-057e-ac2f-a56b-e4a95fc7d9d5</t>
  </si>
  <si>
    <t>68463ab3-3f16-ad6e-8e1f-ebcbb6d450e9</t>
  </si>
  <si>
    <t>684743e7-e5a0-a4c0-abbf-4c67d8a35bcd</t>
  </si>
  <si>
    <t>68469d78-c031-a712-b930-6bc73e847f56</t>
  </si>
  <si>
    <t>68466ffe-5233-a8f5-8736-adc70b0535c5</t>
  </si>
  <si>
    <t>68457cb5-aefe-aa6f-b1c7-7f0ef9d047ad</t>
  </si>
  <si>
    <t>68456802-1178-a529-900c-aa17acce403e</t>
  </si>
  <si>
    <t>6845cf39-dbcd-a346-aad1-1d0697122622</t>
  </si>
  <si>
    <t>684535ae-144c-ac7f-b797-003219b5dcbb</t>
  </si>
  <si>
    <t>68462499-61ab-ac28-a16e-4c285bb7b6df</t>
  </si>
  <si>
    <t>6845d1ee-b940-afcc-b878-1e14d98f7f06</t>
  </si>
  <si>
    <t>6845a76e-7f23-a7f8-9112-4bcaf65b41f1</t>
  </si>
  <si>
    <t>684421fc-e4ca-aacb-bf64-632533a5d4e2</t>
  </si>
  <si>
    <t>68451d74-1838-a7c4-8a1b-6fb99577336d</t>
  </si>
  <si>
    <t>68444006-2fc9-aaa4-b4f1-dd38705fa4a3</t>
  </si>
  <si>
    <t>68444e83-9edf-aee3-880f-8ba34e5326bf</t>
  </si>
  <si>
    <t>684489ff-8986-ad7b-b74e-9c5a63b49eba</t>
  </si>
  <si>
    <t>684460b9-a2e2-aab8-aaf6-88387f1b4f7b</t>
  </si>
  <si>
    <t>6843ea36-fcf0-a02b-91b3-4ccfe195df2f</t>
  </si>
  <si>
    <t>6843e2c3-af12-adfa-bfbd-fe946e25531c</t>
  </si>
  <si>
    <t>6843e6c8-0e9e-ae63-873a-0f1bb1df6005</t>
  </si>
  <si>
    <t>6843ce42-4f37-a8b6-b92e-ad5bc82fb65c</t>
  </si>
  <si>
    <t>6843ccea-b25b-a309-b984-d2e1b698492f</t>
  </si>
  <si>
    <t>6843ca5a-24a5-a834-b7f6-8a098e2fa78a</t>
  </si>
  <si>
    <t>6843c7fa-1ca6-a46a-a776-a9e1f02e70b5</t>
  </si>
  <si>
    <t>6844df07-eb34-a671-bd18-8ebb8e6b7825</t>
  </si>
  <si>
    <t>6844bef4-4f52-afd1-a2dc-6cf53a77fb72</t>
  </si>
  <si>
    <t>684335e1-b962-aadf-a5dc-f3f7a5d38f50</t>
  </si>
  <si>
    <t>68434452-3924-a870-8e49-f03a98597f20</t>
  </si>
  <si>
    <t>684341e6-a58b-a12d-a44d-d2ff06af0911</t>
  </si>
  <si>
    <t>68436244-03d3-a356-965e-9a302023d04e</t>
  </si>
  <si>
    <t>684363e8-67d5-acca-9d30-f09a931199f1</t>
  </si>
  <si>
    <t>684312cb-f79f-a01d-a9f3-a306dee6ed8d</t>
  </si>
  <si>
    <t>68438077-740b-a7fc-b4e7-6e16d630e334</t>
  </si>
  <si>
    <t>6843684c-ca00-ab53-a8d7-ddd6af0e22b2</t>
  </si>
  <si>
    <t>6843671d-32cf-afe0-84d1-6b20d315c8d8</t>
  </si>
  <si>
    <t>6840f64a-07ff-a42c-93cd-d239dadc7852</t>
  </si>
  <si>
    <t>68419917-5515-a174-9453-394f758c5291</t>
  </si>
  <si>
    <t>68421583-6b5b-a36b-a7f1-368681881e6d</t>
  </si>
  <si>
    <t>68418453-026a-abca-865d-ee6335c6eec4</t>
  </si>
  <si>
    <t>684191b5-db6b-a430-86ee-e561d74986e0</t>
  </si>
  <si>
    <t>6841f8b4-7ee3-a349-a7c7-7b91239ea933</t>
  </si>
  <si>
    <t>683ff25b-9898-a95a-918e-4c3c61d2de36</t>
  </si>
  <si>
    <t>6840604f-1f0b-a237-926f-9718aaa2234a</t>
  </si>
  <si>
    <t>6841701c-5e2d-a799-8671-0b9cd6b3f337</t>
  </si>
  <si>
    <t>68414e16-82dd-a419-8490-7badcef9bd78</t>
  </si>
  <si>
    <t>68414774-8149-a6f8-ac2f-cba7bd99021c</t>
  </si>
  <si>
    <t>684099ab-11fc-ad01-bb50-e740bfc9d0b3</t>
  </si>
  <si>
    <t>68404e8e-5b16-abf0-9ddd-e4c191ac9fc4</t>
  </si>
  <si>
    <t>6840b684-b876-ad6c-826c-2519dd1d6257</t>
  </si>
  <si>
    <t>68409a2b-f069-af62-b6d2-c2d2d1d60116</t>
  </si>
  <si>
    <t>6840981c-e4e3-a2d6-9e65-d7aa9f25b12c</t>
  </si>
  <si>
    <t>683efa79-e1bc-a811-a055-092969a66a40</t>
  </si>
  <si>
    <t>683f1b2b-3d9d-a395-a7ec-5708d6258b15</t>
  </si>
  <si>
    <t>683f4fe7-7d2a-acdd-8ad8-a53fec69219d</t>
  </si>
  <si>
    <t>683f7e21-5553-a23b-ae2c-e596b578a150</t>
  </si>
  <si>
    <t>683eaf5e-7864-a76a-adc3-2ec7fffb11c2</t>
  </si>
  <si>
    <t>683ea393-a35e-a345-8678-09d6b1bbd89f</t>
  </si>
  <si>
    <t>683ed93c-fabb-a49c-8b87-ec49a07d9f17</t>
  </si>
  <si>
    <t>683e180f-0ab4-a614-bc2d-88681fbfb976</t>
  </si>
  <si>
    <t>683efce1-16ed-ab7a-8105-0470ccfe135b</t>
  </si>
  <si>
    <t>683dcbbf-a772-a185-bcba-96162e1bdf4d</t>
  </si>
  <si>
    <t>683d84c7-bf75-a3ea-9f1a-7eb1838ea24e</t>
  </si>
  <si>
    <t>683d9042-e428-affa-b57f-c6747c9213f5</t>
  </si>
  <si>
    <t>683dbf79-9d3c-a8e6-a031-436b5c4aa4ab</t>
  </si>
  <si>
    <t>683ceacd-4df8-a53c-b733-7e0a941960c4</t>
  </si>
  <si>
    <t>683ab92b-dcf1-a8f2-9163-0f34e1d727c5</t>
  </si>
  <si>
    <t>683dfebd-0165-a342-92d4-8cb998b3e003</t>
  </si>
  <si>
    <t>683cada6-220d-a279-91bb-a0de24b3326c</t>
  </si>
  <si>
    <t>683c799a-d266-a242-b802-7ab0957b9103</t>
  </si>
  <si>
    <t>683c65fd-931f-aa2b-b157-37b6c1e514df</t>
  </si>
  <si>
    <t>683c4c58-7d25-ac71-84be-7f00c9655c29</t>
  </si>
  <si>
    <t>683c8aaa-22ff-ad7d-b031-c7a6967d5e7b</t>
  </si>
  <si>
    <t>683c4bdd-3bfc-a74b-9daa-2ac724f49f21</t>
  </si>
  <si>
    <t>683cceb1-0b38-afd5-80dc-e3a4aff20a14</t>
  </si>
  <si>
    <t>683c3d1e-3951-a531-9b71-f859f7f6f37b</t>
  </si>
  <si>
    <t>683c3087-9966-a25d-bbb7-61b0882570e1</t>
  </si>
  <si>
    <t>683c3d95-120d-a4fe-b79b-071298492048</t>
  </si>
  <si>
    <t>683c6d21-5f94-a8e6-a312-577982170e19</t>
  </si>
  <si>
    <t>683c334a-a760-ae1b-a8b3-fa773b63240f</t>
  </si>
  <si>
    <t>683c332c-43cf-a476-9cc8-3c1dbb9c16aa</t>
  </si>
  <si>
    <t>683af2db-0a33-ae79-a554-038529d562df</t>
  </si>
  <si>
    <t>683ad72e-9bcb-a0f1-9bd0-efa4e53819d9</t>
  </si>
  <si>
    <t>683b01a8-26d7-a2b8-b722-9dd2961c1c47</t>
  </si>
  <si>
    <t>683b854d-71d2-ab54-881d-c6a785ec2533</t>
  </si>
  <si>
    <t>683ae2fd-1a52-a97e-b204-8a1f4dd8b4ba</t>
  </si>
  <si>
    <t>683ad882-bafe-a994-b0cd-34dbf57e541d</t>
  </si>
  <si>
    <t>683af127-fa6a-a36b-aa6d-a0fd9bd25fe1</t>
  </si>
  <si>
    <t>683ae624-4c48-ae7d-ab81-be06b8df73e7</t>
  </si>
  <si>
    <t>683b8644-d59e-a6fe-80ed-d5e5224351bb</t>
  </si>
  <si>
    <t>683ac420-ddb9-ac80-a922-1c3cc3302890</t>
  </si>
  <si>
    <t>6839c7b6-436d-a1ae-a682-d39d6e6dd710</t>
  </si>
  <si>
    <t>683ada8b-44b0-a8c2-b643-49ddae871007</t>
  </si>
  <si>
    <t>683ac78a-d526-a86a-a86a-9f9563430dcb</t>
  </si>
  <si>
    <t>68399851-7eb9-af6a-be9d-9617d034e4bc</t>
  </si>
  <si>
    <t>6839db1d-c082-a490-934c-30cb4a074e5b</t>
  </si>
  <si>
    <t>6839cbf9-f9e7-a84d-b223-000c533512de</t>
  </si>
  <si>
    <t>68389a59-bd50-a990-9704-4473eda5185d</t>
  </si>
  <si>
    <t>68384fbc-e7d8-ab02-8623-bc39f9390296</t>
  </si>
  <si>
    <t>68381a31-dd26-ace8-841b-d9fdbcdd6555</t>
  </si>
  <si>
    <t>6837f1a8-88a5-a1f9-89d1-5fa0dae6b816</t>
  </si>
  <si>
    <t>68372885-713a-a3eb-b4b0-13abe76b7fd8</t>
  </si>
  <si>
    <t>68382db6-118e-a21c-8582-7c45a2f55a58</t>
  </si>
  <si>
    <t>68374a8c-710c-a396-9d9d-ef740735d70d</t>
  </si>
  <si>
    <t>6836b31c-e26c-a7e4-990b-cf0d460b9ab2</t>
  </si>
  <si>
    <t>6836f521-c9bc-afba-bd39-49f8cfc37b28</t>
  </si>
  <si>
    <t>6836d87c-30e0-a7b9-840b-f1b871d93100</t>
  </si>
  <si>
    <t>68376200-1879-a770-9804-5708c82176f5</t>
  </si>
  <si>
    <t>68375d3d-9aea-aea7-9a41-f9b3548f71fe</t>
  </si>
  <si>
    <t>6836cf5a-a788-a358-a810-3f0f955f6f83</t>
  </si>
  <si>
    <t>68379388-cd7f-a23d-bcfa-bc8ecc5297c0</t>
  </si>
  <si>
    <t>683727b5-aff5-abc8-9a1d-748ecfc3dbf6</t>
  </si>
  <si>
    <t>68371872-6c82-ab35-9e90-2a844ee46c44</t>
  </si>
  <si>
    <t>6836fd25-e303-add2-aff4-0880d80747f0</t>
  </si>
  <si>
    <t>68371247-520e-a4c7-94d4-7bcbcf7b831d</t>
  </si>
  <si>
    <t>6835a409-2ede-a91e-8cea-bae41e8d5f69</t>
  </si>
  <si>
    <t>68357ee3-04a9-ac03-9a53-d9a171950922</t>
  </si>
  <si>
    <t>68347bf9-8ff5-a9c0-b81f-8cabe668de24</t>
  </si>
  <si>
    <t>683432e9-d37e-aeda-aead-f3dbe7fffc64</t>
  </si>
  <si>
    <t>6835607e-41af-a3c8-8092-42a489eeddf1</t>
  </si>
  <si>
    <t>68345bc4-9c12-a0f8-b10c-58dfc1465946</t>
  </si>
  <si>
    <t>68349f9a-9a24-a7aa-a088-c7117ae77567</t>
  </si>
  <si>
    <t>6834a84e-7119-ab31-a2db-56ec5e0fef3d</t>
  </si>
  <si>
    <t>6834ab9d-58d0-a96e-af51-b0d08abd4a42</t>
  </si>
  <si>
    <t>68335ec3-eaec-a655-bd95-f789c3286e81</t>
  </si>
  <si>
    <t>683347c6-884b-a072-bebd-cd9b7907a4fd</t>
  </si>
  <si>
    <t>68337ac6-c6c4-a3b0-b3d8-3b1e31283dc0</t>
  </si>
  <si>
    <t>68332977-1d0b-a695-82d3-b9e18a421b37</t>
  </si>
  <si>
    <t>68334763-650e-adff-acc0-2948fdba51c9</t>
  </si>
  <si>
    <t>68334499-c32e-a181-b60f-5c97f0bf18d7</t>
  </si>
  <si>
    <t>6832f2b7-8681-acc2-ad12-4ba4d51dc330</t>
  </si>
  <si>
    <t>6832fdf8-237d-a950-8d2d-a82872511281</t>
  </si>
  <si>
    <t>6832d942-aafc-af2e-9386-92ebab34a26f</t>
  </si>
  <si>
    <t>68338c97-7b71-a634-8ca8-f4cdc9ff830e</t>
  </si>
  <si>
    <t>68329b2e-eb63-af40-8a82-b0d913db8a1e</t>
  </si>
  <si>
    <t>68311f66-043e-afb3-80ba-80e992eea39c</t>
  </si>
  <si>
    <t>6831f28a-e830-a232-8636-ee8ce2654e5f</t>
  </si>
  <si>
    <t>6831fcda-cf33-a997-95f5-37d4eb11d235</t>
  </si>
  <si>
    <t>68323a80-e8c1-ac2a-a166-86b1be08c52c</t>
  </si>
  <si>
    <t>6830c2e0-e174-a72a-bc48-4e61f70eb103</t>
  </si>
  <si>
    <t>6830b93a-525d-a1fb-b6bb-41300e8ebb13</t>
  </si>
  <si>
    <t>683013b1-ef80-af84-af8e-ceb45aef1b30</t>
  </si>
  <si>
    <t>68309821-b31b-af67-825e-36905e6a0791</t>
  </si>
  <si>
    <t>6830c5be-0602-a0e3-ac4d-59c241697926</t>
  </si>
  <si>
    <t>6830c52f-5e55-ab2a-b0b8-f270ee8bf1b4</t>
  </si>
  <si>
    <t>683126e3-a17a-a26d-8e62-3b30e097bd87</t>
  </si>
  <si>
    <t>682ee0fa-a5ef-a325-a0f8-d528c102d05f</t>
  </si>
  <si>
    <t>6830aa87-5f00-a262-ba99-a0ed560efb34</t>
  </si>
  <si>
    <t>682eec0a-1878-a669-a995-e52b448f9a78</t>
  </si>
  <si>
    <t>682f21b9-68a8-aa3d-b00d-ae032695995b</t>
  </si>
  <si>
    <t>682ee51b-7c24-a195-998f-afc19ef6e5b6</t>
  </si>
  <si>
    <t>6830438c-883c-ab0e-9b26-c7ad0e1136b2</t>
  </si>
  <si>
    <t>682f875c-4f3c-a8e4-94c4-4440e4833cde</t>
  </si>
  <si>
    <t>682f4043-7ffe-a566-9b92-51eb26a48066</t>
  </si>
  <si>
    <t>682f8c85-b81c-aab4-b646-706ec7c3d6bc</t>
  </si>
  <si>
    <t>682d8e06-aea1-a884-8592-58c246176a3f</t>
  </si>
  <si>
    <t>682f11ba-5ace-ad2d-8bea-c877128b42c3</t>
  </si>
  <si>
    <t>682e4927-db96-ab25-9660-45bf87984545</t>
  </si>
  <si>
    <t>682d7e33-e3fa-a620-8af0-866ccde00f48</t>
  </si>
  <si>
    <t>682df7f4-5feb-a956-a7df-d27c3765fac9</t>
  </si>
  <si>
    <t>682e4eed-1701-a31a-9288-1a69c297cfc9</t>
  </si>
  <si>
    <t>682e15c6-b73b-aeca-91f3-4cb34f6214ce</t>
  </si>
  <si>
    <t>682e48c1-43d0-ad9d-8621-8bd77b95ca1e</t>
  </si>
  <si>
    <t>682d9e38-6c81-a5d1-9069-b3698a649827</t>
  </si>
  <si>
    <t>682e4c41-9e2b-aca8-a970-c91f8784e172</t>
  </si>
  <si>
    <t>682ca1dd-0891-a44c-8ff5-1bae5626bb7f</t>
  </si>
  <si>
    <t>682dd322-e3f8-ab46-b818-09353b7728ed</t>
  </si>
  <si>
    <t>682d6d55-4ba7-a2ae-b793-22581cc0d99d</t>
  </si>
  <si>
    <t>682e04cd-8fc3-a4cf-bfe3-1416d4a28be3</t>
  </si>
  <si>
    <t>682c2dd1-696b-ae59-9b55-9493b128e10b</t>
  </si>
  <si>
    <t>682cac18-67ac-ae7f-beec-e0672d863919</t>
  </si>
  <si>
    <t>682bbe68-aebe-a1b8-8779-1f9ee2cfdf0e</t>
  </si>
  <si>
    <t>682b7e99-ebba-a873-8410-32b32bc2aa30</t>
  </si>
  <si>
    <t>682b8fc8-99b9-a72e-aa32-adfca757ecb6</t>
  </si>
  <si>
    <t>682b5bcc-9b76-a53c-98bf-ab1ca90ebb40</t>
  </si>
  <si>
    <t>682b3942-6a98-ac13-9abb-4f76bedffbe1</t>
  </si>
  <si>
    <t>682a67c3-c325-a3ff-b5c7-ac61797255f8</t>
  </si>
  <si>
    <t>6829ffbb-f0d1-af46-80df-0b9ffd58eae0</t>
  </si>
  <si>
    <t>6828d503-c0f6-a28a-a8e8-dab7a07e9d70</t>
  </si>
  <si>
    <t>682a70a4-35cf-ac17-95ce-47889610600b</t>
  </si>
  <si>
    <t>6828d81b-7672-a63d-b055-ae0579bd1d97</t>
  </si>
  <si>
    <t>6828909d-d768-abcd-b522-133e71978e0c</t>
  </si>
  <si>
    <t>6827466b-edfa-a67b-998f-b8c6c94be879</t>
  </si>
  <si>
    <t>6826e813-e60f-a3d8-bf5b-7179a8102b3d</t>
  </si>
  <si>
    <t>68274780-4aeb-a4ea-a974-aa8cf3a8021a</t>
  </si>
  <si>
    <t>68272eb1-dd6a-a413-a58c-2ebe18a96565</t>
  </si>
  <si>
    <t>682707cc-0a8f-ac1a-9dea-c911b6d0c512</t>
  </si>
  <si>
    <t>68259e38-140e-a0e2-bc8a-8ec1a20c605b</t>
  </si>
  <si>
    <t>6825293e-add4-a6e2-bdb4-a6bbba224743</t>
  </si>
  <si>
    <t>68245c53-1ba6-ae66-86a8-23646ae82291</t>
  </si>
  <si>
    <t>6826119f-af67-ad65-a66e-a5b8f930cf4d</t>
  </si>
  <si>
    <t>68260343-ed34-aa3d-bdd4-77280a27c6ea</t>
  </si>
  <si>
    <t>6824d565-abe9-a22d-9809-0c93fa214f0b</t>
  </si>
  <si>
    <t>6824b471-953c-a089-99db-823c54b6556b</t>
  </si>
  <si>
    <t>6824fdee-b036-aec1-9bff-00397ec416ca</t>
  </si>
  <si>
    <t>6824f346-37bd-a6c5-87ec-b1b3a191e768</t>
  </si>
  <si>
    <t>68238a9d-9af4-a796-b2b6-2750a2b770f6</t>
  </si>
  <si>
    <t>68246fa6-2ad9-ae89-b06c-862586e00f36</t>
  </si>
  <si>
    <t>6823322e-808c-a52e-9ca5-80fae51f42b6</t>
  </si>
  <si>
    <t>682390da-62ab-abb9-8cdd-f67c7a929384</t>
  </si>
  <si>
    <t>68239f53-d495-adf9-abc6-4297a46149ae</t>
  </si>
  <si>
    <t>68238058-d1f1-a8cc-9c41-f2bdf38aa1a8</t>
  </si>
  <si>
    <t>6823c227-7b50-a7cd-b540-d724a51eb9a1</t>
  </si>
  <si>
    <t>6823c1cb-8e4b-a31d-bcbd-6b8ddf418ef4</t>
  </si>
  <si>
    <t>6823c6e4-d276-acdd-af62-be91cb51a04b</t>
  </si>
  <si>
    <t>68228aed-85a0-a699-b0c3-c350e45cc575</t>
  </si>
  <si>
    <t>682394a3-94f8-a2a7-8b0c-48716c9a971a</t>
  </si>
  <si>
    <t>6821cceb-8871-ae1c-a731-b9ddf8f77795</t>
  </si>
  <si>
    <t>6821e71b-eca0-a4ec-8135-21b6451df1b0</t>
  </si>
  <si>
    <t>68221642-f3f7-ac8e-891f-60e4b5ec9a32</t>
  </si>
  <si>
    <t>68221d78-a4f4-af2c-b8a5-79335a62ff11</t>
  </si>
  <si>
    <t>6822192a-54ab-a718-9b89-c21a3c59893a</t>
  </si>
  <si>
    <t>6822119d-ca45-afd9-91a8-dce7202b8048</t>
  </si>
  <si>
    <t>6822632a-ded2-ac63-b1a9-337b040e1002</t>
  </si>
  <si>
    <t>6822541f-62d4-a538-ba59-557c2b947493</t>
  </si>
  <si>
    <t>6820640d-fdd8-a2a3-81d1-7d9e4d590eb3</t>
  </si>
  <si>
    <t>6821c909-54d7-a9d7-9423-687861d78e85</t>
  </si>
  <si>
    <t>6821c601-2731-ac13-8d0b-d561199fcc0a</t>
  </si>
  <si>
    <t>68209d57-73a1-a358-8ec5-0dc1130f5fe8</t>
  </si>
  <si>
    <t>681e983d-50c6-ae2a-a56b-73cdb195bcfa</t>
  </si>
  <si>
    <t>681f151f-1fbd-a8ba-aa4b-6f2d695f23e1</t>
  </si>
  <si>
    <t>681e2028-4363-a0c5-bb85-75125de7d925</t>
  </si>
  <si>
    <t>681e242d-0c68-a902-93bd-24cffabee3e2</t>
  </si>
  <si>
    <t>681caac3-5cb8-a803-9544-3f5eed862a14</t>
  </si>
  <si>
    <t>681c98d9-5f93-af45-ac37-e6ffa2087eda</t>
  </si>
  <si>
    <t>681c9bcf-9673-a23d-bd6a-940c66a549ac</t>
  </si>
  <si>
    <t>681ddd32-f4a7-adb5-be80-89e4095c6596</t>
  </si>
  <si>
    <t>681bfca8-72d7-a044-96ed-aa5987594ef9</t>
  </si>
  <si>
    <t>681d0b8a-ab4c-adbe-a191-0a14244b2986</t>
  </si>
  <si>
    <t>681d0a8e-4321-a8f0-96fc-8892039d2cfc</t>
  </si>
  <si>
    <t>681b1626-2f16-a3c7-b929-2b77aca8bd79</t>
  </si>
  <si>
    <t>681bc7d7-ddee-a5c4-a7c3-a979dff30e14</t>
  </si>
  <si>
    <t>681b24a1-0dc2-af47-bb06-cf9b8f1499f5</t>
  </si>
  <si>
    <t>6819f54e-b6d2-ae9c-9fe1-55ddef47ab20</t>
  </si>
  <si>
    <t>6819fcb4-0b80-adaf-a016-c74559178b2b</t>
  </si>
  <si>
    <t>681a1817-571e-ada8-b4d8-afa0a2a18f57</t>
  </si>
  <si>
    <t>681a334e-b58b-ac9f-847e-fd359327190c</t>
  </si>
  <si>
    <t>68195d5f-26f3-a47f-866d-f470b0bb31d8</t>
  </si>
  <si>
    <t>681a35ba-4757-a3f5-94cf-ad034535147a</t>
  </si>
  <si>
    <t>68190a57-2dc8-ac42-b089-1fc992032194</t>
  </si>
  <si>
    <t>6819107e-48d6-a38a-a3e4-af433a80fbec</t>
  </si>
  <si>
    <t>6818fe69-bd6e-a031-8839-fd3e5e38b3e1</t>
  </si>
  <si>
    <t>6818ad7a-95ec-aac6-b31f-52b8b9c87b85</t>
  </si>
  <si>
    <t>6817ff2c-142f-ad88-ae56-1d296e49d2b9</t>
  </si>
  <si>
    <t>6817ff79-5411-ab2c-94e1-ff7ee8575f4c</t>
  </si>
  <si>
    <t>68178b2c-4c74-ad16-b623-172f9e98e45a</t>
  </si>
  <si>
    <t>68175775-5378-a730-93a7-d6898aca747c</t>
  </si>
  <si>
    <t>6817577e-197f-ab8a-88e6-2807f6428cf5</t>
  </si>
  <si>
    <t>6815a414-03d5-af99-a415-15260144daa4</t>
  </si>
  <si>
    <t>6816501a-4d3d-a8fa-ae08-77821ce9f868</t>
  </si>
  <si>
    <t>6814a3fa-025c-a91c-a51c-f461eadfc684</t>
  </si>
  <si>
    <t>68153e48-5b90-ae6f-be57-d594b1faaf7d</t>
  </si>
  <si>
    <t>6814ead9-2a0f-ac30-9bc3-59d2f28debfd</t>
  </si>
  <si>
    <t>68142a4a-12c4-afb0-8c6e-e3ae52ba9e16</t>
  </si>
  <si>
    <t>6813ccc3-5b00-a00c-8d2f-89126867ef71</t>
  </si>
  <si>
    <t>68135bdc-dce8-aa4f-8e96-7c3420a405ad</t>
  </si>
  <si>
    <t>68133b96-e135-afa2-876d-0835dfdf7c80</t>
  </si>
  <si>
    <t>68137341-c227-a18d-9e76-ffd308deeb1a</t>
  </si>
  <si>
    <t>68124579-ad03-ac8a-8374-369128505832</t>
  </si>
  <si>
    <t>68124469-7771-a3a0-8e4f-da13dbaf463f</t>
  </si>
  <si>
    <t>68135833-8669-a0c9-b40c-33e6f78101ec</t>
  </si>
  <si>
    <t>6811f6bd-72d4-a18b-b30c-b1731507b51f</t>
  </si>
  <si>
    <t>6811f5bd-cd60-aa6c-a8bc-3cc60fdf9721</t>
  </si>
  <si>
    <t>68121f63-b75f-a9d8-95ca-a9f15bea101d</t>
  </si>
  <si>
    <t>6812635d-3a1d-acb7-90a0-b7f31bf662b0</t>
  </si>
  <si>
    <t>6811548c-3e51-a37c-ad7d-df308c51b955</t>
  </si>
  <si>
    <t>68115624-5f6a-a550-b000-0867be34d110</t>
  </si>
  <si>
    <t>680f5067-5203-abaa-8012-e8840b46226a</t>
  </si>
  <si>
    <t>680f932e-12c9-aa78-8376-9d129c7c1a93</t>
  </si>
  <si>
    <t>680f4a7f-2a5c-a5e9-ac11-d0b511fd046a</t>
  </si>
  <si>
    <t>680dbfea-60f5-a1ce-adc8-51dcb364b2f0</t>
  </si>
  <si>
    <t>680facbe-da08-ac76-84dd-8f7b316a4e46</t>
  </si>
  <si>
    <t>680df998-925b-a3b8-a1eb-ec1460731d62</t>
  </si>
  <si>
    <t>680d0d4f-2e2c-a2e4-9f53-3859f097f152</t>
  </si>
  <si>
    <t>680c26ec-cef9-aa90-9e69-f04f74e29308</t>
  </si>
  <si>
    <t>680d421f-ab7d-a1ab-85f0-c2eb9d70f062</t>
  </si>
  <si>
    <t>680b4ed8-3891-add7-a51c-2beac0075f97</t>
  </si>
  <si>
    <t>680c0acd-4b1b-ad0d-95b0-99fa1c111d7f</t>
  </si>
  <si>
    <t>680b31a0-5713-a2e8-a326-3d82f3204d74</t>
  </si>
  <si>
    <t>680b7a61-572d-ad81-a0e3-f615288d7450</t>
  </si>
  <si>
    <t>6808ebbc-9124-a22c-a3bc-a0775560d77b</t>
  </si>
  <si>
    <t>68064c78-f8f6-a685-962b-e681ede0148c</t>
  </si>
  <si>
    <t>6806a50c-9d77-a28c-b292-e6d6f174d827</t>
  </si>
  <si>
    <t>6804e496-0ad0-a6f7-981c-85db586edbbe</t>
  </si>
  <si>
    <t>68043163-4fe8-a93d-af55-65f13d6eb31e</t>
  </si>
  <si>
    <t>6803aa96-5b94-ab18-a02f-16476a919bed</t>
  </si>
  <si>
    <t>6803f102-17ab-af45-8043-85034b262580</t>
  </si>
  <si>
    <t>68029970-9d29-a159-9f43-bccdd15f87e9</t>
  </si>
  <si>
    <t>6801e2d3-354e-a93c-bdf8-f4770b039e71</t>
  </si>
  <si>
    <t>6802945f-4b68-a8cd-851b-e68a60c15743</t>
  </si>
  <si>
    <t>68023d1a-e16c-abc9-b54a-1b1d298d98e4</t>
  </si>
  <si>
    <t>680182db-d777-a680-9033-ab5d5e275444</t>
  </si>
  <si>
    <t>67ffb55c-082f-a99c-99e6-239f14a2ed51</t>
  </si>
  <si>
    <t>67ffb411-9fb8-ae99-8a0b-e0dbdb35f916</t>
  </si>
  <si>
    <t>67fe2924-0b18-ade4-a792-a99273923d06</t>
  </si>
  <si>
    <t>67fe82bf-c3ed-ae0c-8838-0da2c8649ac9</t>
  </si>
  <si>
    <t>67fc3e3f-d735-a8b9-8381-4bd99e7ad109</t>
  </si>
  <si>
    <t>67fc3e8c-6517-a072-8d9d-688d3299b490</t>
  </si>
  <si>
    <t>67fbb1f3-b232-a9f3-a896-7d4c09ea0664</t>
  </si>
  <si>
    <t>67fd73ce-5c51-a124-a58b-656a11e96238</t>
  </si>
  <si>
    <t>67fbc090-072c-a469-a54b-858b831cc0b9</t>
  </si>
  <si>
    <t>67fa3cc8-28e6-ae9e-8141-b493cfcc802d</t>
  </si>
  <si>
    <t>67f8dd1b-078e-a661-8acf-5ad1e9064c50</t>
  </si>
  <si>
    <t>67f88389-4053-a514-b5a3-96725eb02cf1</t>
  </si>
  <si>
    <t>67f96e4f-fbed-a0e7-ac8c-32a326c47f12</t>
  </si>
  <si>
    <t>67f825f7-0dae-a325-aab6-57cca626aa4d</t>
  </si>
  <si>
    <t>67f76899-92bb-a0a9-bcbf-ed9ce0d58269</t>
  </si>
  <si>
    <t>67f8290e-9bdb-aa4f-bbd9-2af6c9bb67d6</t>
  </si>
  <si>
    <t>67f8020f-9cf8-a4be-b70b-342e328b8902</t>
  </si>
  <si>
    <t>67f7145d-89bf-a3d1-bbe3-59ada8567aaa</t>
  </si>
  <si>
    <t>67f4f1fa-f3e4-a971-9eeb-4259c5dc358a</t>
  </si>
  <si>
    <t>67f671e0-93b9-a842-b42e-de9842bce78a</t>
  </si>
  <si>
    <t>67f4f427-efa7-ab14-a503-786a67d20d79</t>
  </si>
  <si>
    <t>67f30459-0f1e-a78b-ad41-9b226a7ba266</t>
  </si>
  <si>
    <t>67f531ef-b152-a760-8bbd-689c7313eef7</t>
  </si>
  <si>
    <t>67f4f049-ee0f-afaa-a59c-5456278984de</t>
  </si>
  <si>
    <t>67f22873-c0bd-a200-93fa-ee207488111b</t>
  </si>
  <si>
    <t>67f2d1c8-73f1-a5b2-b45b-811ffe300fce</t>
  </si>
  <si>
    <t>67f125e1-0c10-aa88-b5b1-34372e900631</t>
  </si>
  <si>
    <t>67f242b3-2c01-a5f2-9172-0423e3174bae</t>
  </si>
  <si>
    <t>67f23d2e-87bd-ad50-9950-6f7c8c3f2099</t>
  </si>
  <si>
    <t>67f1b06d-f067-ae9b-91c8-03ed042608ed</t>
  </si>
  <si>
    <t>67f18090-42aa-a05c-b056-1837bd8544a0</t>
  </si>
  <si>
    <t>67efffde-9aec-a610-be8c-88be6343efea</t>
  </si>
  <si>
    <t>67efedf9-d8b8-a8d4-a9d4-6bdf73fecbcc</t>
  </si>
  <si>
    <t>67eeb11f-e51b-ae72-bf08-ff4cd79e2a67</t>
  </si>
  <si>
    <t>67ee8083-7d58-acb9-b6a9-2670ab0fe59d</t>
  </si>
  <si>
    <t>67ee7d81-2857-a6fd-9ee0-a38c8834f891</t>
  </si>
  <si>
    <t>67ee7ee1-f2bf-aea9-9294-238e8e4bf9cc</t>
  </si>
  <si>
    <t>67ee810b-b62a-a20d-bb49-6921839781a4</t>
  </si>
  <si>
    <t>67ee40fb-2dc2-a211-ad57-6f3c822f637f</t>
  </si>
  <si>
    <t>67ed8c78-60a0-ade5-98df-25eff292a742</t>
  </si>
  <si>
    <t>67ec4f75-cdae-a3ce-a2e2-7c068afd29a1</t>
  </si>
  <si>
    <t>67ebebe5-0d90-a98a-a851-aa32ba4c770b</t>
  </si>
  <si>
    <t>67e9ce48-63d8-ab4d-8361-dc865a8461ef</t>
  </si>
  <si>
    <t>6942e1bb-23c7-a037-9196-69fd8d267990</t>
  </si>
  <si>
    <t>6942b98e-8913-a28b-8a5e-d467d58c130a</t>
  </si>
  <si>
    <t>6941dc69-5b06-a568-99e5-f2fc8d92a459</t>
  </si>
  <si>
    <t>69419677-0cb7-aa07-a2f3-a9f3e75dda9c</t>
  </si>
  <si>
    <t>69406cab-b4d8-ab97-a80f-20c82ea073b2</t>
  </si>
  <si>
    <t>694082a5-4f02-a4d9-b87e-8d8eb8b8c363</t>
  </si>
  <si>
    <t>693fdc42-79ba-add6-a78b-5d104e968d9b</t>
  </si>
  <si>
    <t>693ee4c0-8252-a3df-9b0f-3b45e94b6621</t>
  </si>
  <si>
    <t>693fe959-08b7-ab38-8a82-238a15bd8232</t>
  </si>
  <si>
    <t>693e0e3f-edf1-ab2a-911e-03d280784f00</t>
  </si>
  <si>
    <t>693ef033-96d5-a683-8e06-86b9bf02d9bb</t>
  </si>
  <si>
    <t>693d2663-65c4-ab5d-91c7-c3a321d98e54</t>
  </si>
  <si>
    <t>693d714d-6b8e-aa04-b62f-d35130e0fde5</t>
  </si>
  <si>
    <t>693da727-6484-aaab-9ca3-18cbbf3b952b</t>
  </si>
  <si>
    <t>693d9dc0-6199-aba6-98ee-6d24cf8addd7</t>
  </si>
  <si>
    <t>693ddd8a-c13b-a10a-9d1a-7e9c510f7fbd</t>
  </si>
  <si>
    <t>693b35cf-ad1f-a775-a5b6-a38551a95311</t>
  </si>
  <si>
    <t>693c8f30-f26a-a0a4-a605-2211f0ccc1c2</t>
  </si>
  <si>
    <t>693c8094-708b-a035-bb10-df1cfe0c6ace</t>
  </si>
  <si>
    <t>693c4a93-e8be-a942-acbe-9e80e1aca1a6</t>
  </si>
  <si>
    <t>693bde4f-a060-a001-821f-4791b885a7f5</t>
  </si>
  <si>
    <t>693ab426-2415-aa0c-8fb4-295a6cf36e84</t>
  </si>
  <si>
    <t>693a1dbe-41ea-a0d1-8049-d12e5b91caf0</t>
  </si>
  <si>
    <t>693b3f0e-fa51-aa26-902f-49f47139e425</t>
  </si>
  <si>
    <t>693a0df1-1cf5-af77-8cfe-4acb75a36feb</t>
  </si>
  <si>
    <t>693949b8-56bb-af51-851b-facfec0b8404</t>
  </si>
  <si>
    <t>69388a75-a678-af1b-bb49-764e3666e1f8</t>
  </si>
  <si>
    <t>69385a97-f04c-a224-a9e1-990d5bc3806a</t>
  </si>
  <si>
    <t>69384122-0086-ac22-bfe0-f22cab4507ad</t>
  </si>
  <si>
    <t>69371b7e-5673-aa15-ade6-aa4e198fa0e1</t>
  </si>
  <si>
    <t>6938a5c1-7291-a602-9cc3-e7e04d6b04c9</t>
  </si>
  <si>
    <t>6936f883-7a32-ab14-8a88-f35c93ec3f55</t>
  </si>
  <si>
    <t>693712fe-b7d4-ab91-877a-423329be30f4</t>
  </si>
  <si>
    <t>6934ef38-0d64-a393-a611-1c108bd96cf5</t>
  </si>
  <si>
    <t>693294be-b976-a2cf-ab51-bf7245ca0011</t>
  </si>
  <si>
    <t>6935dbaf-662f-a16f-8a42-aaae2639193f</t>
  </si>
  <si>
    <t>6934b855-1e97-aa69-924f-94316b7615eb</t>
  </si>
  <si>
    <t>6935e637-5df4-a392-8288-3c58f82a53ce</t>
  </si>
  <si>
    <t>6935cdf2-7cfe-a253-934f-20ebfe84ff53</t>
  </si>
  <si>
    <t>693473af-c415-ae05-9543-82857a70059b</t>
  </si>
  <si>
    <t>69346540-4c6c-a7d8-be42-2e342039c9d1</t>
  </si>
  <si>
    <t>6932ce12-06aa-a05d-8cf8-645e64d76b21</t>
  </si>
  <si>
    <t>693155c3-09c0-a79d-8202-ac52ed9c1f3d</t>
  </si>
  <si>
    <t>6931cf9a-6395-ab77-b386-a837461b1072</t>
  </si>
  <si>
    <t>6932aa23-de95-a336-8814-8befdd8ce57f</t>
  </si>
  <si>
    <t>6931e8ac-cbeb-af5b-92bf-e29e5bb5b6b4</t>
  </si>
  <si>
    <t>6931c4e8-4894-a0ec-bad4-910865ab014c</t>
  </si>
  <si>
    <t>6931c0e0-85bb-a62a-9674-01fd0ea440db</t>
  </si>
  <si>
    <t>693199c1-6fee-a503-b2bf-12f7afc89737</t>
  </si>
  <si>
    <t>6930ea1e-73ec-af53-81b7-866370d0ae5a</t>
  </si>
  <si>
    <t>6931d71f-2b03-af6b-be27-4a05427a264b</t>
  </si>
  <si>
    <t>6931a79c-c77d-a763-9093-10456757cf84</t>
  </si>
  <si>
    <t>6930f243-1114-a770-a477-08e5587f8038</t>
  </si>
  <si>
    <t>6931ac49-fa03-af7d-880b-1cd465ad8763</t>
  </si>
  <si>
    <t>6930c628-26c1-a61d-aa91-31a8ab6ffb94</t>
  </si>
  <si>
    <t>692fc92d-c926-a93b-b682-f577c41c706f</t>
  </si>
  <si>
    <t>6930c24d-39a6-aaf5-94cd-b0de33ffd42e</t>
  </si>
  <si>
    <t>693072ca-6877-af21-97b8-4f67fa66b669</t>
  </si>
  <si>
    <t>69306f90-95ca-ada0-a8e9-e8106b15c698</t>
  </si>
  <si>
    <t>69306e4b-8073-adb5-a063-b810b836c7e1</t>
  </si>
  <si>
    <t>6930c2c0-726a-a418-95ba-954074fb9c22</t>
  </si>
  <si>
    <t>6930c272-b9b1-ac8d-9c67-7b37e2f19378</t>
  </si>
  <si>
    <t>6930c258-825f-ada3-bf65-77d1905c787c</t>
  </si>
  <si>
    <t>693052af-1dc5-a466-ba29-5fbdd6b3afff</t>
  </si>
  <si>
    <t>692ff906-8953-a1f4-8ee2-691458a7ef4f</t>
  </si>
  <si>
    <t>692ff8d7-e2eb-acb2-ba21-ad2a631c2e68</t>
  </si>
  <si>
    <t>692ed5e5-4806-a78c-ae53-0aba030d137d</t>
  </si>
  <si>
    <t>692eb84f-322f-a623-af7d-84ce38f0843d</t>
  </si>
  <si>
    <t>692e2db6-5547-a49c-931c-5b8e540cca0c</t>
  </si>
  <si>
    <t>692e3259-23fb-a677-95c9-1273f9431e73</t>
  </si>
  <si>
    <t>692e395f-0971-a5da-bb19-ab1c4a1b53cb</t>
  </si>
  <si>
    <t>692ee446-0205-aee2-a59e-3c9953cc7d70</t>
  </si>
  <si>
    <t>692eb002-7432-a1f3-9518-51e9d2740fde</t>
  </si>
  <si>
    <t>692eff6d-985b-af5c-a68d-68740254d45b</t>
  </si>
  <si>
    <t>692f3969-488f-ae6d-a023-21ec962fe66b</t>
  </si>
  <si>
    <t>692f0e56-bacc-a7ba-9dd9-f4b7dbed7024</t>
  </si>
  <si>
    <t>692eff71-cecb-a935-b98a-6ab3b9d43263</t>
  </si>
  <si>
    <t>692eff3c-ddfa-ab96-b346-6939e20f9858</t>
  </si>
  <si>
    <t>692e065f-de23-a30e-85f0-65baaf53ba25</t>
  </si>
  <si>
    <t>692d36f4-c292-a093-a72c-32f76b9b473f</t>
  </si>
  <si>
    <t>692d57ca-9013-a9b6-8120-24a4e39de38c</t>
  </si>
  <si>
    <t>692dcc40-7364-a7ef-8648-da7d585d26e7</t>
  </si>
  <si>
    <t>692da2d6-a518-a490-8b7d-5bb95d8eb152</t>
  </si>
  <si>
    <t>692e09ab-5413-a587-9c20-ca61857118b2</t>
  </si>
  <si>
    <t>692b9a4f-2405-ac8a-8320-23be9cdb91d4</t>
  </si>
  <si>
    <t>692bb97a-f3df-ade9-adb5-610ff88e66f9</t>
  </si>
  <si>
    <t>692b6798-5261-abde-b05c-5e2ce5178fcb</t>
  </si>
  <si>
    <t>692a38ea-cde0-a63d-9109-d3ec10ceda8b</t>
  </si>
  <si>
    <t>692b4d89-eead-a18e-b31f-1b5b0c26300c</t>
  </si>
  <si>
    <t>6929dd66-7fb1-a877-a8a5-5f0f541dcb08</t>
  </si>
  <si>
    <t>69299bdd-7cf1-a00e-b614-92d4cf24fac2</t>
  </si>
  <si>
    <t>6929108e-c3f8-aa8b-b666-7b16f2e73c4f</t>
  </si>
  <si>
    <t>6928d453-e6ec-a614-b34e-008d2b0150a5</t>
  </si>
  <si>
    <t>692a2f74-7f47-a7d1-8ecb-7986c73e7b45</t>
  </si>
  <si>
    <t>692839a7-a5bd-adc6-90ab-3e4b5e4eba37</t>
  </si>
  <si>
    <t>6928250a-9c12-a93f-87b1-ce1d8417aa53</t>
  </si>
  <si>
    <t>692857a6-bf5d-af6e-ac7d-de3d15801148</t>
  </si>
  <si>
    <t>692869ad-901e-a007-820f-b392ca936d35</t>
  </si>
  <si>
    <t>6929286c-0b0a-a4db-a82e-5b7fe7f44522</t>
  </si>
  <si>
    <t>6928dbfc-622b-a456-8d86-17806b7908e1</t>
  </si>
  <si>
    <t>69282cd1-74f6-a340-b569-3c7aa0f869fa</t>
  </si>
  <si>
    <t>69264e7e-2f3e-a395-a5ff-6a238eb344fe</t>
  </si>
  <si>
    <t>6926ef7f-0c8e-a5f2-8089-b6cf29733fcc</t>
  </si>
  <si>
    <t>69269ed6-ec4d-a382-8fc7-c483b5e8ec77</t>
  </si>
  <si>
    <t>6921b8ac-2e36-a0d6-a69f-fe8a6650aea3</t>
  </si>
  <si>
    <t>69264ef7-6261-a360-9fad-4d5a50b6d934</t>
  </si>
  <si>
    <t>6925b533-1384-adb0-a429-378e18d51aa4</t>
  </si>
  <si>
    <t>69248195-4a17-a4b8-bcb6-6b406119c1d7</t>
  </si>
  <si>
    <t>6924a4b5-fa64-a8d7-a8f0-f26191da6021</t>
  </si>
  <si>
    <t>69242dcd-8e63-a0f8-bb4f-64245e8b122a</t>
  </si>
  <si>
    <t>6924c3a8-d4e8-a6d3-ad24-d84f9a98a357</t>
  </si>
  <si>
    <t>6924c6c4-a82e-a795-b228-7d247d7e9526</t>
  </si>
  <si>
    <t>69249a18-dea1-aeda-a1e9-1b39ffa6a578</t>
  </si>
  <si>
    <t>6925006d-4a18-a8aa-91cf-794726df5d92</t>
  </si>
  <si>
    <t>69249216-ef74-aa31-b343-2e8f52b4ec12</t>
  </si>
  <si>
    <t>692491e2-aaec-a008-b1f4-1def494f9729</t>
  </si>
  <si>
    <t>692355a7-88d9-a97e-9821-d74cd62d8e5a</t>
  </si>
  <si>
    <t>69234927-d794-a2d6-9392-db3878ad63ff</t>
  </si>
  <si>
    <t>692382d2-beaf-ab8c-be7d-e5a07cc9e564</t>
  </si>
  <si>
    <t>6922603b-55d1-a08b-8c94-1c861ff05b96</t>
  </si>
  <si>
    <t>692319e6-8561-a55e-aa23-523ddc4979be</t>
  </si>
  <si>
    <t>6921ae1d-03d2-aa69-a05a-697b04f1f9cd</t>
  </si>
  <si>
    <t>6921c495-8769-a8e4-83a3-17b7c4ec0fcc</t>
  </si>
  <si>
    <t>6920605c-9a29-a8d0-bb83-a3da52ae5f52</t>
  </si>
  <si>
    <t>6920ed39-58c9-a001-ae90-5740e35309ed</t>
  </si>
  <si>
    <t>692063fb-df4b-ab62-b933-cbd1c021f4cd</t>
  </si>
  <si>
    <t>692087ae-7002-a560-88f1-f036bcdb5921</t>
  </si>
  <si>
    <t>692024f8-029d-aac5-afc2-b04250d4e09a</t>
  </si>
  <si>
    <t>691fa446-f7da-aa4d-a66c-96a01af989f7</t>
  </si>
  <si>
    <t>691f06ab-7639-aed5-a8a6-d6c0ad98fcfd</t>
  </si>
  <si>
    <t>691e5127-1901-a021-9518-f79d434b5c0a</t>
  </si>
  <si>
    <t>691d9cf9-4807-abad-9cb1-c21b8fb149c0</t>
  </si>
  <si>
    <t>691d8e6f-1d6b-aafe-887d-9dd14fd5ec62</t>
  </si>
  <si>
    <t>691da07d-2099-af2c-83a5-3b7458b3a13f</t>
  </si>
  <si>
    <t>691d775d-e009-a207-845c-929001b3bc22</t>
  </si>
  <si>
    <t>691d662c-6d47-a295-995f-92ad18f0eb5f</t>
  </si>
  <si>
    <t>691c6e1e-95c6-a5ea-9155-2421903df4c5</t>
  </si>
  <si>
    <t>691cfe6d-8e62-ab90-8ac4-e6b11e0e11cc</t>
  </si>
  <si>
    <t>691cbb92-c09f-a601-bc18-93a4a9751bc2</t>
  </si>
  <si>
    <t>691ca8b1-3495-a40c-b1ba-fa811e6cb31c</t>
  </si>
  <si>
    <t>691ca88c-1c5b-af60-ad6c-54d5b728437a</t>
  </si>
  <si>
    <t>691b3d3d-6da0-a3c5-95a0-6bc9e4596f46</t>
  </si>
  <si>
    <t>691c18cc-13e9-ab7a-bb48-afb35afbfa80</t>
  </si>
  <si>
    <t>691b8d3e-a963-a3eb-9c97-de3b74712c08</t>
  </si>
  <si>
    <t>691ab869-8d0f-aac2-b0b6-0f556155d092</t>
  </si>
  <si>
    <t>6919ab05-e2ed-a950-bdba-07204ae28a41</t>
  </si>
  <si>
    <t>69190f28-6aa0-a4f3-8a34-df711d03d79b</t>
  </si>
  <si>
    <t>6919a05b-e62c-ae55-b085-19fd609002bb</t>
  </si>
  <si>
    <t>6916cecb-e0d8-a805-9ab4-3ff351905bfb</t>
  </si>
  <si>
    <t>69165b77-d9f1-ad70-8594-04bf539506e0</t>
  </si>
  <si>
    <t>6915e69e-3c86-a77a-b769-54aa52f1b55d</t>
  </si>
  <si>
    <t>6915d920-985e-a1e4-8cd4-a8fbc92f1c64</t>
  </si>
  <si>
    <t>6916569f-1bf7-aee1-bf7a-65cc69f1e0a5</t>
  </si>
  <si>
    <t>69166862-2944-ade1-b5e5-06520c426281</t>
  </si>
  <si>
    <t>69167cc9-e8f7-a298-89d7-bf9610f8d6f9</t>
  </si>
  <si>
    <t>6916101c-4f32-a94f-82c5-94c5fb8a5bfe</t>
  </si>
  <si>
    <t>6914869f-4a9e-a3ce-915c-35d1aa0672e6</t>
  </si>
  <si>
    <t>69150986-f0a6-a4ff-821a-5574b3c7540e</t>
  </si>
  <si>
    <t>6913f2b1-2574-ae9e-aa71-111d4ab8106f</t>
  </si>
  <si>
    <t>69147d93-972b-abcc-9a21-223f75e8c25e</t>
  </si>
  <si>
    <t>69143f58-4b23-a5fc-9502-0be377389256</t>
  </si>
  <si>
    <t>69132863-b3dc-aa83-9f42-a2ed5c3f8d9e</t>
  </si>
  <si>
    <t>69124c97-48b2-a570-ad12-5cd6f09d81f2</t>
  </si>
  <si>
    <t>6911bab0-c699-a69c-ab14-09265388aebe</t>
  </si>
  <si>
    <t>6911e54a-06ac-ae78-b02a-ea25f7977a43</t>
  </si>
  <si>
    <t>6910bbab-3680-a01b-b00b-75aa941697a4</t>
  </si>
  <si>
    <t>6910b363-b35c-a796-a833-a5ce3a125282</t>
  </si>
  <si>
    <t>690fd361-0a4d-aca6-a4ad-72af9a24e0fb</t>
  </si>
  <si>
    <t>690fa680-280e-a84c-b85a-3a591e3211a3</t>
  </si>
  <si>
    <t>690fb084-17a6-a2cd-9a84-72ead4217f83</t>
  </si>
  <si>
    <t>690dbdc1-1358-a2d6-bcf6-b9faf7271513</t>
  </si>
  <si>
    <t>690d1aac-065e-a0ff-a76c-b5260e90a95f</t>
  </si>
  <si>
    <t>690d692d-b8e2-ad7f-aa63-44bb9ebacd21</t>
  </si>
  <si>
    <t>690d6e92-8308-a8b4-aa80-cf60dcaa8999</t>
  </si>
  <si>
    <t>690d82d9-2168-a6d1-a1b3-8884a68ac705</t>
  </si>
  <si>
    <t>690e407f-a0f3-a4e4-b447-2fe8b0c83abc</t>
  </si>
  <si>
    <t>690dbbe8-27ff-a489-8419-bdaddaa0a131</t>
  </si>
  <si>
    <t>690beb0f-99d6-a6c3-be06-a913ad46d968</t>
  </si>
  <si>
    <t>690bd290-8a9b-a969-95ae-b099a71a61fa</t>
  </si>
  <si>
    <t>690cb80f-8a81-a1d1-beb4-31c94caa66ca</t>
  </si>
  <si>
    <t>690ccdf4-fc57-a5a6-b72e-ace7f74ba7a2</t>
  </si>
  <si>
    <t>690c882b-bd1b-ac2e-bb0d-f327e5f64991</t>
  </si>
  <si>
    <t>690cc8c4-a562-a339-a36a-a3630a3cf4ce</t>
  </si>
  <si>
    <t>690acadc-ea2a-a8f2-8aff-4902add9a75b</t>
  </si>
  <si>
    <t>690a5f7f-94b0-a52f-a192-1b731080c99b</t>
  </si>
  <si>
    <t>690a0e5c-5341-a1bb-89b9-bc7253a20b09</t>
  </si>
  <si>
    <t>6909aaf0-0e68-ae80-bcbc-0aae2171539e</t>
  </si>
  <si>
    <t>69096530-b13b-a9bb-9b50-9658fb02376b</t>
  </si>
  <si>
    <t>690a1f48-1528-ad83-a001-cefec7da8dc6</t>
  </si>
  <si>
    <t>690868ff-3d33-a6f8-9553-8407e2dded5b</t>
  </si>
  <si>
    <t>69093564-20fb-a5e1-9e8e-7a5d13551969</t>
  </si>
  <si>
    <t>69079739-da28-a680-8c6c-365ca51afeef</t>
  </si>
  <si>
    <t>6907531d-7825-a7fc-8ec1-7df5be4d3698</t>
  </si>
  <si>
    <t>69065791-7e4d-a10d-abfb-88c173184191</t>
  </si>
  <si>
    <t>6905cb6b-97c1-a34d-99a7-4004b3dc28b7</t>
  </si>
  <si>
    <t>69064cba-f662-a761-98b7-f8b5bfbe561e</t>
  </si>
  <si>
    <t>69069058-b10e-acab-b036-bcf6e44d6b67</t>
  </si>
  <si>
    <t>6906113e-625d-a9a2-aa8a-1b5f5a07599b</t>
  </si>
  <si>
    <t>690543fe-f463-a439-b46f-4a9bf1045b22</t>
  </si>
  <si>
    <t>69061ec3-ffa1-adb1-bb05-2c69842c8b08</t>
  </si>
  <si>
    <t>6905dd69-c267-a3a6-bb1e-eebc4a00e5d9</t>
  </si>
  <si>
    <t>6905086f-002c-a4cd-a59b-72295d22ac34</t>
  </si>
  <si>
    <t>69054d11-c245-a5ad-86a2-28f569204004</t>
  </si>
  <si>
    <t>6904e7f3-ec21-a3c6-b2ab-69fee2d66df0</t>
  </si>
  <si>
    <t>6903b3d9-3471-aa2e-877a-8b0b4dfc0607</t>
  </si>
  <si>
    <t>6901e111-2b92-a035-9395-ce76dd55160d</t>
  </si>
  <si>
    <t>6901c910-ae01-a5de-8a03-6052b6453275</t>
  </si>
  <si>
    <t>6901d33c-40c0-abff-977b-bbeb26a7e831</t>
  </si>
  <si>
    <t>6901c639-705c-a0b5-8875-bd6ea547dae0</t>
  </si>
  <si>
    <t>6901b244-6217-a0b5-9ac5-a484c6464e8a</t>
  </si>
  <si>
    <t>6901dcf6-a089-a60b-8778-71dd81ab2721</t>
  </si>
  <si>
    <t>6900728b-b58b-a462-a292-057d95148bad</t>
  </si>
  <si>
    <t>68feb9ab-b52a-a753-8cf5-02f83971c00c</t>
  </si>
  <si>
    <t>68ff0465-3329-a7f0-91cb-f325b5a009bd</t>
  </si>
  <si>
    <t>68febe54-9488-ae6d-9cb3-19bafc9f0e70</t>
  </si>
  <si>
    <t>68fcf245-2238-ac2a-99e2-2640db29300e</t>
  </si>
  <si>
    <t>68fe19ee-caf3-add6-b2a5-147e118f139f</t>
  </si>
  <si>
    <t>68fc3335-bd94-ab90-bd51-a986acc31a64</t>
  </si>
  <si>
    <t>68fc2990-f830-adca-8dbd-6655c51da0fd</t>
  </si>
  <si>
    <t>68fd2f13-432b-af5e-81f6-7494897d7cac</t>
  </si>
  <si>
    <t>68fb568d-21a4-a7af-a362-f512a9cce514</t>
  </si>
  <si>
    <t>68fb94ed-812f-af0f-a26f-6bf82b641e12</t>
  </si>
  <si>
    <t>68fb63ec-06e7-a033-88dd-3aaf94832ee2</t>
  </si>
  <si>
    <t>68fa50f2-49ab-a15b-8f39-2e38bcc93acb</t>
  </si>
  <si>
    <t>68f99a80-e94c-a935-ae38-4e5edf6f1b8d</t>
  </si>
  <si>
    <t>68f9633c-afba-a717-ac5b-29e661e6b524</t>
  </si>
  <si>
    <t>68fb0cbf-1138-a6f8-9670-ebc02586b76c</t>
  </si>
  <si>
    <t>68fb0c96-1ce2-a63d-95b1-2d4fff670e2e</t>
  </si>
  <si>
    <t>68faa7ab-283d-ad58-b20b-01646b635860</t>
  </si>
  <si>
    <t>68f9c680-6f46-a18f-8914-aaaca4bf53d3</t>
  </si>
  <si>
    <t>68f7b02b-37f6-adf1-8590-5192eaa891d0</t>
  </si>
  <si>
    <t>68f5304c-c490-aeaf-b303-4047a06ecaee</t>
  </si>
  <si>
    <t>68f61257-d87d-af53-a887-7edf59151f6f</t>
  </si>
  <si>
    <t>68f49c73-7b56-a441-87a7-9005fa52ee3a</t>
  </si>
  <si>
    <t>68f38ff5-f2c2-aaa8-a143-11705f069492</t>
  </si>
  <si>
    <t>68f285d9-c3bb-a87b-a929-8b196474aee4</t>
  </si>
  <si>
    <t>68f255a2-f51c-a158-97e2-19dc29dce650</t>
  </si>
  <si>
    <t>68f25f97-92e2-a8d8-939f-bc20f4b9d9fc</t>
  </si>
  <si>
    <t>68f2688e-78d9-a6a2-a526-ba2f03c8c534</t>
  </si>
  <si>
    <t>68f233cd-8451-a816-83bb-8d47eeb3a072</t>
  </si>
  <si>
    <t>68f22cf6-f196-a9e4-936f-edd53c754858</t>
  </si>
  <si>
    <t>68f03bd7-f45c-aacc-aa9d-cdbe45b7a778</t>
  </si>
  <si>
    <t>68efff1f-aae5-ad59-a2fb-2eaf1029dea2</t>
  </si>
  <si>
    <t>68ef1fde-50aa-a825-bc41-cb38f5f20f7e</t>
  </si>
  <si>
    <t>68eec391-0833-a92b-92c6-f7178464d83f</t>
  </si>
  <si>
    <t>68ee41b8-56d1-abc0-ba80-e7a8e152bbd9</t>
  </si>
  <si>
    <t>68ee7f58-e0f9-a56e-a748-b02fbfe60b06</t>
  </si>
  <si>
    <t>68e947fc-7aaa-aa9e-acdd-f836a00ee2ac</t>
  </si>
  <si>
    <t>68ecaeca-4df8-ae62-a51b-b36eb9b5e9f7</t>
  </si>
  <si>
    <t>68e99cf4-7f9b-a7b6-9ae1-5811884522e4</t>
  </si>
  <si>
    <t>68e9c2d8-cca5-a17e-a77c-3b62d86dd771</t>
  </si>
  <si>
    <t>68e85e55-9bb9-afdc-a742-22999515de54</t>
  </si>
  <si>
    <t>68e8ff6a-c853-a70a-a89d-f6db6072438b</t>
  </si>
  <si>
    <t>68e8dce3-45a0-ac52-9ce2-6b314ecf6d22</t>
  </si>
  <si>
    <t>68e5885a-e8f8-a3e5-8e58-aeb6472e99e2</t>
  </si>
  <si>
    <t>68e1b241-596a-a492-b48b-8bb0dcfedbe4</t>
  </si>
  <si>
    <t>68e244cd-f64a-ab41-868c-6e84f8f51502</t>
  </si>
  <si>
    <t>68e24340-4e12-a397-afe5-dca72fae5fb2</t>
  </si>
  <si>
    <t>68e21bd1-ca58-a7b6-a271-8a51699249ab</t>
  </si>
  <si>
    <t>68e2be23-3c99-a58c-b420-c0dbca362086</t>
  </si>
  <si>
    <t>68e2bc49-143e-af1c-94d1-ef420b869619</t>
  </si>
  <si>
    <t>68e1ca24-b338-a690-baa8-cbad88b56c1c</t>
  </si>
  <si>
    <t>68e22951-43c4-a146-8560-9744ebe976d8</t>
  </si>
  <si>
    <t>68e0c1c7-6089-a7db-b718-daa0b1304303</t>
  </si>
  <si>
    <t>68e13894-0c46-ae37-bd7b-cc609cd0bca3</t>
  </si>
  <si>
    <t>68e13263-7991-a0f7-b952-f292f36f63cf</t>
  </si>
  <si>
    <t>68e12f5b-d977-a4a0-be3d-646d167a8273</t>
  </si>
  <si>
    <t>68e12803-9ee5-a69e-96c3-b6d00211e92c</t>
  </si>
  <si>
    <t>68e11c6e-6d1b-a2e3-9f3e-898fd6c3a90c</t>
  </si>
  <si>
    <t>68e119db-e842-a1d8-8f79-ab0c949392f6</t>
  </si>
  <si>
    <t>68e10d9c-01a5-adad-a607-04fc89edcdf4</t>
  </si>
  <si>
    <t>68e13a71-0ca3-a55e-86bd-90c9aeab80d1</t>
  </si>
  <si>
    <t>68e132eb-9062-afb2-8848-d50deb96c493</t>
  </si>
  <si>
    <t>68e13b78-0b65-add8-8916-47890da3bd91</t>
  </si>
  <si>
    <t>68e140c9-83d9-ac02-880a-65f28dc1e8bd</t>
  </si>
  <si>
    <t>68e1361b-3418-a64f-9682-e1a497dd13cf</t>
  </si>
  <si>
    <t>68e0c91f-03c4-a440-b86b-269c5e982bba</t>
  </si>
  <si>
    <t>68df7c41-fe74-a9ef-b106-05f6d395e392</t>
  </si>
  <si>
    <t>68dfda22-3c9d-a5c0-8226-532952482e88</t>
  </si>
  <si>
    <t>68dfbcdd-b396-ab16-b628-7fb64def5a07</t>
  </si>
  <si>
    <t>68dfeaf8-0dbd-ae4d-a268-184297beb924</t>
  </si>
  <si>
    <t>68de3bf8-52ae-a768-8f35-655da792cc22</t>
  </si>
  <si>
    <t>68dce312-14ef-a28e-bc62-c8565236a54c</t>
  </si>
  <si>
    <t>68de5896-514a-ab8f-a1c1-159ae39931b0</t>
  </si>
  <si>
    <t>68de36ab-9e9d-a56e-857f-c6bd335147a6</t>
  </si>
  <si>
    <t>68dc6e97-aa49-a15d-8654-bbc229a2c7f9</t>
  </si>
  <si>
    <t>68dd26ee-f54b-ace1-b114-80bd7c17a38b</t>
  </si>
  <si>
    <t>68dce048-7b9e-a3dc-b137-518981d5767a</t>
  </si>
  <si>
    <t>68dd193d-6e3a-ae53-894e-682747ac7e73</t>
  </si>
  <si>
    <t>68dd1b54-1448-a70d-a04e-4bc5c9bb470b</t>
  </si>
  <si>
    <t>68dc6105-b00f-a6eb-99d2-0357d1016008</t>
  </si>
  <si>
    <t>68dd46c6-91e5-a1e6-a29a-d76a261eb9bf</t>
  </si>
  <si>
    <t>68dd1bbd-fe99-a6fc-b2ad-fbb05fe6af61</t>
  </si>
  <si>
    <t>68dda262-dac6-a297-b019-a75a2c79d321</t>
  </si>
  <si>
    <t>68dd64ac-0e56-a7aa-a24c-200d79b10437</t>
  </si>
  <si>
    <t>68dcf950-18eb-abb7-b3a9-8f2da328c6d0</t>
  </si>
  <si>
    <t>68dba27d-41f6-a7d9-86a4-08386a72a0ba</t>
  </si>
  <si>
    <t>68da46bc-c0ae-aa19-9435-2c4ae3704dd5</t>
  </si>
  <si>
    <t>68da4fe1-630f-acf8-ab04-db6aa2f976ef</t>
  </si>
  <si>
    <t>68daeb9c-5a92-aa96-bbc9-8c9bbd216d6e</t>
  </si>
  <si>
    <t>68daf145-a8cc-a72f-b046-5ed03e22fde6</t>
  </si>
  <si>
    <t>68dad230-8312-a501-bcc2-fe01bb056a51</t>
  </si>
  <si>
    <t>68d983cc-f194-a31b-8096-2644ae57301e</t>
  </si>
  <si>
    <t>68d91cee-1854-ad63-a061-6b7d66b71917</t>
  </si>
  <si>
    <t>68d926a6-1394-af0c-916e-f4c1f3a9a63b</t>
  </si>
  <si>
    <t>68d878d1-8656-a244-b187-4017b7ab3bba</t>
  </si>
  <si>
    <t>68d9196a-04db-ae01-b559-b9af7d9e8609</t>
  </si>
  <si>
    <t>68d7ca9d-060f-a463-b3c1-c37d35651847</t>
  </si>
  <si>
    <t>68d7e38c-bd05-ac09-8e45-78eb961f7423</t>
  </si>
  <si>
    <t>68d6a9e4-410d-a316-b65e-8ccfdffb5d57</t>
  </si>
  <si>
    <t>68d8a9e4-c24d-a692-a3cc-f30b5e494431</t>
  </si>
  <si>
    <t>68d84f56-b8a7-aa22-87aa-a02a85c34e9c</t>
  </si>
  <si>
    <t>68d77ed2-89c8-a515-a55a-c7789d656cca</t>
  </si>
  <si>
    <t>68d7711d-cdb5-a6de-88e4-f35f017a9652</t>
  </si>
  <si>
    <t>68d7fcc1-a3f0-a485-a413-a1e16a7f38ef</t>
  </si>
  <si>
    <t>68d7f315-f001-a79d-a2f1-b1ac1852592e</t>
  </si>
  <si>
    <t>68d7732f-c6c5-a339-bfc5-15390bc1fe7b</t>
  </si>
  <si>
    <t>68d68716-b9c8-a08e-9960-b3e603263301</t>
  </si>
  <si>
    <t>68d687a5-6372-a768-b9da-7385211fa73e</t>
  </si>
  <si>
    <t>68d6e3fc-0d02-a5ab-97e1-ade9f9360181</t>
  </si>
  <si>
    <t>68d549c0-998a-a8ff-971d-cbb1b3343358</t>
  </si>
  <si>
    <t>68d4d247-3fc1-a85a-b7d1-53a35a56219f</t>
  </si>
  <si>
    <t>68d56e18-93e5-a17b-b319-a056eee89eba</t>
  </si>
  <si>
    <t>68d522c4-3c1f-ab74-98b7-e76e6aa5f3ac</t>
  </si>
  <si>
    <t>68d55123-e643-ac30-8493-d731c46bde33</t>
  </si>
  <si>
    <t>68d5557d-9bf7-adeb-9b6f-1639ae705222</t>
  </si>
  <si>
    <t>68d46edb-55b8-af76-b92a-4ed690bc193c</t>
  </si>
  <si>
    <t>68d44b2c-3bc4-a3df-9c79-3794ffb6c40b</t>
  </si>
  <si>
    <t>68d44908-ee7c-a60b-b8a6-2f24fdfeb67e</t>
  </si>
  <si>
    <t>68d44679-61c8-a226-889f-09879e045051</t>
  </si>
  <si>
    <t>68d5d4e7-52e1-ad1e-bb79-f4c5b2ee554a</t>
  </si>
  <si>
    <t>68d4076d-6243-a58a-98db-331b098c78c8</t>
  </si>
  <si>
    <t>68d3d28d-d229-a0f8-b296-8cf3a9bc7c47</t>
  </si>
  <si>
    <t>68d419d4-32cc-a059-8e4b-50d36fb3e39b</t>
  </si>
  <si>
    <t>68d4e9b0-5169-a648-a02b-592e40dd2245</t>
  </si>
  <si>
    <t>68d405b4-f3de-a124-9fb9-c7ec0fb2f064</t>
  </si>
  <si>
    <t>68d40f68-2848-a522-8eec-019242430316</t>
  </si>
  <si>
    <t>68d41088-7023-a308-81bc-375ba454a243</t>
  </si>
  <si>
    <t>68d411eb-10df-a1cd-8f63-f4c62a0e11b7</t>
  </si>
  <si>
    <t>68d32039-cb57-a54c-b625-47c0860897e7</t>
  </si>
  <si>
    <t>68d466c8-62a7-a19e-9aba-3419d5bd217d</t>
  </si>
  <si>
    <t>68d463be-eb3c-a9f6-a5a0-2eab168d1e8e</t>
  </si>
  <si>
    <t>68d1d8b8-ae0f-ac35-b157-45d6cef1edb8</t>
  </si>
  <si>
    <t>68d2af60-f8f5-a29e-8ec4-d3be25ac9903</t>
  </si>
  <si>
    <t>68d2f269-52f3-a660-9259-ba350c546e47</t>
  </si>
  <si>
    <t>68d1f26d-e495-a46d-b391-967a35c408b5</t>
  </si>
  <si>
    <t>68d2e42e-8fb3-aaa1-b656-c3ff9719e183</t>
  </si>
  <si>
    <t>68d29b4b-6b9a-a2c5-b169-34170129b28d</t>
  </si>
  <si>
    <t>68d176be-ffeb-a68b-b959-b017e1e20a77</t>
  </si>
  <si>
    <t>68d0ba5c-d740-a771-b837-dda5dbddc5f3</t>
  </si>
  <si>
    <t>68d06eb3-ef41-a92c-ba97-087166b64c11</t>
  </si>
  <si>
    <t>68d172b6-e89d-a890-ad42-f2f6bd43cbac</t>
  </si>
  <si>
    <t>68d03794-25d3-ab6f-8037-f0a629695cee</t>
  </si>
  <si>
    <t>68cf7e36-b79b-a69f-89ac-fa6172f1e41a</t>
  </si>
  <si>
    <t>68ce0e95-303b-a4a5-bf6d-06d9b624982e</t>
  </si>
  <si>
    <t>68ce905a-d8df-ac6d-9ace-f5420a4c058e</t>
  </si>
  <si>
    <t>68cd101f-9d31-a81a-a234-0c68c9582629</t>
  </si>
  <si>
    <t>68cdf18a-5bf6-adfc-8818-dafb22d0ddb0</t>
  </si>
  <si>
    <t>68ccc3c5-6d11-a01c-8c2b-fdd83944aef7</t>
  </si>
  <si>
    <t>68cc7201-bc4b-a380-9201-dd423ceda871</t>
  </si>
  <si>
    <t>68cdc6f6-690e-a793-a787-3e601f2c1b9b</t>
  </si>
  <si>
    <t>68cbfda9-d261-a046-8670-e55b5a888ce3</t>
  </si>
  <si>
    <t>68cbfdc3-faa3-a3aa-898b-e2582bca162e</t>
  </si>
  <si>
    <t>68cc13e8-7a53-ac12-b7ab-429043ec490c</t>
  </si>
  <si>
    <t>68cb2957-632b-ad3e-8724-75cb4752be71</t>
  </si>
  <si>
    <t>68cbfd87-27de-aa2b-b4c9-c2aaefe75c79</t>
  </si>
  <si>
    <t>68cb2a13-e972-adb2-8a7d-940f3d0b832d</t>
  </si>
  <si>
    <t>68ca8d89-3dce-a077-a102-05e8f70fdca0</t>
  </si>
  <si>
    <t>68cab485-ac66-aba8-a699-501704bc293b</t>
  </si>
  <si>
    <t>68c9dfa5-72eb-a051-bd3f-9ee2eda9e7f1</t>
  </si>
  <si>
    <t>68c96f02-d28c-a4d2-88bc-cd2bbac1d663</t>
  </si>
  <si>
    <t>68c917a9-d59d-a1b8-a222-6e765a6cf1a4</t>
  </si>
  <si>
    <t>68c914b7-faf4-a15e-b305-4cf770d9638a</t>
  </si>
  <si>
    <t>68c958e4-8176-a760-aa11-7bfd8ed7ed28</t>
  </si>
  <si>
    <t>68c9aba2-a78d-aeb4-bf20-cd6b078afc8c</t>
  </si>
  <si>
    <t>68c93fd6-f6e3-a66b-b6a4-f851fdc71747</t>
  </si>
  <si>
    <t>68c883fc-7af6-a85a-bf57-b56d45c96d35</t>
  </si>
  <si>
    <t>68c91d7b-23c3-a3bd-a50f-4cf0453dbd80</t>
  </si>
  <si>
    <t>68c92fc9-91a7-afa0-9979-e80e70e88b12</t>
  </si>
  <si>
    <t>68c78e28-2beb-a856-938e-15907d71d2e0</t>
  </si>
  <si>
    <t>68c85f52-8fe6-a2fd-a86a-68a5631893a7</t>
  </si>
  <si>
    <t>68c74cb6-5169-a35b-8f72-fd68bdf2c75f</t>
  </si>
  <si>
    <t>68c8386a-1cfa-a664-9525-155d53585b35</t>
  </si>
  <si>
    <t>68c7e7ca-3a56-ae9d-a5e6-fae6e8c50c3f</t>
  </si>
  <si>
    <t>68c71d2c-9f56-ab33-b230-afa0990a24de</t>
  </si>
  <si>
    <t>68c659e8-c222-a78e-a412-f0e3468a7823</t>
  </si>
  <si>
    <t>68c6c3e9-e0e8-a0bd-9207-df20181646c3</t>
  </si>
  <si>
    <t>68c6fdec-14cb-af4f-b4a9-4b04e6eb5ccb</t>
  </si>
  <si>
    <t>68c70215-89e3-aa2f-a81d-422c7848d8a3</t>
  </si>
  <si>
    <t>68c712b1-883f-a75c-91bf-7b992cea9bec</t>
  </si>
  <si>
    <t>68c70d6f-cc59-aa91-abcb-354a25fa7a3c</t>
  </si>
  <si>
    <t>68c5d2ec-4df5-a66d-868d-b1755cbe8155</t>
  </si>
  <si>
    <t>68c700da-7c30-aac5-ac69-49647eb2117b</t>
  </si>
  <si>
    <t>68c6edba-6129-a41a-85ab-1abcf56bc7f5</t>
  </si>
  <si>
    <t>68c6e4ea-14c8-a48f-8163-f1aa76747b9d</t>
  </si>
  <si>
    <t>68c46056-d044-ae31-9b9c-67523154657e</t>
  </si>
  <si>
    <t>68c6d8c3-7122-affc-8ea2-6c89804cdc84</t>
  </si>
  <si>
    <t>68c55c3d-3597-a885-8671-c949756201d4</t>
  </si>
  <si>
    <t>68c4ac19-bbfe-a702-8083-38165052bfc5</t>
  </si>
  <si>
    <t>68c58779-2337-a63d-92c8-b4c5ee67f23d</t>
  </si>
  <si>
    <t>68c5af63-9197-af3f-9810-9a3029a6bd04</t>
  </si>
  <si>
    <t>68c5adb8-f0eb-af6c-b13f-8be4eceead87</t>
  </si>
  <si>
    <t>68c58167-42eb-a3c4-a82b-53ddd5752fc9</t>
  </si>
  <si>
    <t>68c56de4-0859-ae91-b25e-330b961ef74a</t>
  </si>
  <si>
    <t>68c57108-b4c9-a65d-88e0-225f75c67b35</t>
  </si>
  <si>
    <t>68c56cb9-fb0c-ac4a-a555-f2faae07d1fa</t>
  </si>
  <si>
    <t>68c57bf8-2800-ae39-acce-b7ed25479900</t>
  </si>
  <si>
    <t>68c3a9ac-07c8-aac8-a584-0b82660ce3fe</t>
  </si>
  <si>
    <t>68c3ae84-06e2-a8a1-a671-8f0de8f7f54c</t>
  </si>
  <si>
    <t>68c55a58-bcf5-a3a4-82ea-b8bf5643b4ae</t>
  </si>
  <si>
    <t>68c5196e-d979-aad2-a7cb-5268bfe205d8</t>
  </si>
  <si>
    <t>68c3bebf-106b-af0b-98e2-e2d12ab1a568</t>
  </si>
  <si>
    <t>68c46316-d657-a24e-b6f5-80d5c5dc893f</t>
  </si>
  <si>
    <t>68c432c0-d4b5-a418-8636-31f16f19efff</t>
  </si>
  <si>
    <t>68c227b1-983d-a2a1-bf40-74b641202b14</t>
  </si>
  <si>
    <t>68c3194f-7023-a2bd-871a-a81111953fd2</t>
  </si>
  <si>
    <t>68c2d258-6bc4-a110-a00b-fcb36bcfc333</t>
  </si>
  <si>
    <t>68c19a5f-bd07-af69-bb64-64e28a4c95fd</t>
  </si>
  <si>
    <t>68c2bb59-4fcf-ac81-b712-68c68246439a</t>
  </si>
  <si>
    <t>68c1df7e-3fe1-aa20-a640-ff4f154f0826</t>
  </si>
  <si>
    <t>68c14250-f131-aef2-b577-42eb1787560e</t>
  </si>
  <si>
    <t>68c140a7-da3a-abaa-bc6b-c6058b8b1e66</t>
  </si>
  <si>
    <t>68c1a57b-7de7-a62a-b53f-dc9db99f3c31</t>
  </si>
  <si>
    <t>68c0eb22-1e68-a982-b063-b9f8be9b9704</t>
  </si>
  <si>
    <t>68c19da0-f2b0-adb2-95a1-1d86ef3d31c3</t>
  </si>
  <si>
    <t>68c1bfb8-19fa-ae15-9501-3f996da80ac7</t>
  </si>
  <si>
    <t>68c0374c-9357-a206-b39c-f65363959111</t>
  </si>
  <si>
    <t>68c10f95-d0c2-ab58-ac6f-434d5b6020f5</t>
  </si>
  <si>
    <t>68c09cec-a610-af03-9578-bf133bc20a69</t>
  </si>
  <si>
    <t>68c00dcd-9c60-a2a6-8e5a-7476b8abc176</t>
  </si>
  <si>
    <t>68c08f2b-f77b-abda-962b-82b7853da16e</t>
  </si>
  <si>
    <t>68c0565e-deed-a2b7-984d-5cc9f1704572</t>
  </si>
  <si>
    <t>68bffb4d-38a3-a9bc-9f7d-08fd0a4da1ff</t>
  </si>
  <si>
    <t>68bff541-1102-a526-bf9f-310a516437a8</t>
  </si>
  <si>
    <t>68beb1c8-4d28-aa74-960f-7cfd605476d4</t>
  </si>
  <si>
    <t>68bf0bd0-db7a-a1ea-b3f6-6a0cfa460322</t>
  </si>
  <si>
    <t>68bee6b8-ab8f-a45c-81ef-7d6b59351518</t>
  </si>
  <si>
    <t>68bf10d4-c3ff-a663-a62a-4ec78cd3f3f5</t>
  </si>
  <si>
    <t>68befd0b-7a17-a8c2-979a-8495cfc65ef7</t>
  </si>
  <si>
    <t>68bd6945-7d7f-adff-a01c-1613720575de</t>
  </si>
  <si>
    <t>68bda25b-aa56-a338-8c8e-8ed56d756755</t>
  </si>
  <si>
    <t>68be099a-9222-ac92-a90b-7da9bb34ec4a</t>
  </si>
  <si>
    <t>68bb5cb3-dfa0-af69-893a-5ce791643591</t>
  </si>
  <si>
    <t>68bace07-3296-ac0e-8174-a84b26fa5e29</t>
  </si>
  <si>
    <t>68bbf48b-d387-ae74-bb36-0a90ccd319fe</t>
  </si>
  <si>
    <t>68bad98b-7ac8-a4a7-b3ba-4e53f78b4ba3</t>
  </si>
  <si>
    <t>68baec81-6380-a3e1-badd-7282de825a15</t>
  </si>
  <si>
    <t>68bac8f2-f29d-a0e7-9d0a-9782e386a6bb</t>
  </si>
  <si>
    <t>68bacc58-ec56-ab98-946f-bbc09b5ec66c</t>
  </si>
  <si>
    <t>68bace9e-0ea3-aba2-8431-560ac45ddd25</t>
  </si>
  <si>
    <t>68bb11f4-db07-a943-a6c9-ac4dd238e437</t>
  </si>
  <si>
    <t>68bb1291-649f-aa0e-a503-873732f513c7</t>
  </si>
  <si>
    <t>68ba3310-f3ad-a42e-9d71-fd04c222690d</t>
  </si>
  <si>
    <t>68b9fdf0-752f-ad20-b019-49b897e48271</t>
  </si>
  <si>
    <t>68ba123d-a97f-a11d-9b42-861ea9aaf555</t>
  </si>
  <si>
    <t>68b92e2a-f218-a201-bd61-f83744d8e8f0</t>
  </si>
  <si>
    <t>68b9e1cc-731b-ac2e-a3ce-81e71d75e8c2</t>
  </si>
  <si>
    <t>68b9e880-27fd-aa7a-b498-13c5d98f35b7</t>
  </si>
  <si>
    <t>68b9956e-b78a-ac74-a904-23fb8d6ef983</t>
  </si>
  <si>
    <t>68b9b3cb-96a2-ad1b-87fb-76ac45db1926</t>
  </si>
  <si>
    <t>68b8c9ad-c6db-a494-bce5-8aaa06b7413c</t>
  </si>
  <si>
    <t>68b83bb4-e144-accb-a65e-11e4431838ba</t>
  </si>
  <si>
    <t>68b7fb0e-10b2-aa08-ba11-063ff827b193</t>
  </si>
  <si>
    <t>68b893d8-44ac-ace4-ba1a-713d66e54267</t>
  </si>
  <si>
    <t>68b877fe-be88-a594-bfc2-a7bdf7eda171</t>
  </si>
  <si>
    <t>68b8d37a-f370-a0a3-97d9-e0f7c02e9e0a</t>
  </si>
  <si>
    <t>68b88bf9-56ec-ae68-9d8a-491b3155cb46</t>
  </si>
  <si>
    <t>68b5934f-20df-ad6e-9744-1dc7b388160d</t>
  </si>
  <si>
    <t>68b6cc6b-7643-aa1c-adcf-7dd38501d84f</t>
  </si>
  <si>
    <t>68b5b48a-54d3-a4cf-b19a-d46cd5a52362</t>
  </si>
  <si>
    <t>68b5aaa4-96c8-af70-bd7e-0e04e5a437fc</t>
  </si>
  <si>
    <t>68b5d176-f2a2-a206-839f-bf1b069ffca7</t>
  </si>
  <si>
    <t>68b5a618-8289-a63d-aaff-f97e3688e294</t>
  </si>
  <si>
    <t>68b582b7-0cfa-af64-9be4-28d97c962709</t>
  </si>
  <si>
    <t>68b39743-a17b-ac2e-a7cc-df5ddd505918</t>
  </si>
  <si>
    <t>68b3f617-ef6f-ad21-a686-eedf4d9f0492</t>
  </si>
  <si>
    <t>68b395a9-e73b-aa3a-bb55-977789f9af39</t>
  </si>
  <si>
    <t>68b4a068-2d4e-aad7-b6d3-6563cdfded56</t>
  </si>
  <si>
    <t>68b425b2-7edf-aae7-9e6b-d9e270b642bb</t>
  </si>
  <si>
    <t>68b39150-a207-af4e-85c3-416b28afc590</t>
  </si>
  <si>
    <t>68b33a72-75aa-a7e9-b7da-83c7e9d57578</t>
  </si>
  <si>
    <t>68b33052-946a-acb1-8d8b-539155f9ae49</t>
  </si>
  <si>
    <t>68b26105-32fb-a185-80a7-b202331b2bf6</t>
  </si>
  <si>
    <t>68b35237-d280-a171-9095-42cc879e4138</t>
  </si>
  <si>
    <t>68b34ea3-4104-aa10-b770-998e089665c2</t>
  </si>
  <si>
    <t>68b20bbb-d82c-a86f-bfd5-d9e2823f53bd</t>
  </si>
  <si>
    <t>68b21764-0c18-ae3d-8ebc-00ac77a46d89</t>
  </si>
  <si>
    <t>68b0ec0b-feb6-a147-881b-1a4d18c3f748</t>
  </si>
  <si>
    <t>68b12436-8bb6-a03e-b5c7-54ecc68e2477</t>
  </si>
  <si>
    <t>68b22110-e93d-a12c-be70-e60d9e4c1158</t>
  </si>
  <si>
    <t>68b07347-7121-a9fd-976f-0b29ee74653e</t>
  </si>
  <si>
    <t>68b184e0-79bd-ac8c-bf26-6b8fb9adaf00</t>
  </si>
  <si>
    <t>68b16b45-843c-a08d-ae2b-762ee6a6e601</t>
  </si>
  <si>
    <t>68b054db-7f56-af6f-8f77-945e8a06ab39</t>
  </si>
  <si>
    <t>68b04a4d-efbc-ad31-8fc5-68e33e4c5155</t>
  </si>
  <si>
    <t>68b02224-5b41-ac55-b70d-0a3882af2fd8</t>
  </si>
  <si>
    <t>68af6f30-6bd8-a62e-8a67-29d67c421602</t>
  </si>
  <si>
    <t>68b039e5-8a6f-a0f9-938b-8a3ac1baf03d</t>
  </si>
  <si>
    <t>68aec712-2e9e-aac7-b2a0-cc9bf6a6f72b</t>
  </si>
  <si>
    <t>68ae541a-687c-a815-a84f-2dc89f07e203</t>
  </si>
  <si>
    <t>68af6ed3-b72f-a437-989d-f021999b9ba1</t>
  </si>
  <si>
    <t>68ae45c7-10bc-abe4-8845-b53d996f64cd</t>
  </si>
  <si>
    <t>68af615e-3537-afa6-a0b6-322a139c1f43</t>
  </si>
  <si>
    <t>68ad870d-4315-a131-997b-851ed46a033f</t>
  </si>
  <si>
    <t>68aedcf3-5892-a3d0-8fb7-00e57b24fde5</t>
  </si>
  <si>
    <t>68adb694-45ff-aea3-9c75-b46f9b16a73a</t>
  </si>
  <si>
    <t>68ae28bf-3e6f-acb7-8191-3246b34d480d</t>
  </si>
  <si>
    <t>68ae21a2-d0f6-a8e9-ad1f-7bbdfb810747</t>
  </si>
  <si>
    <t>68ad7cca-beb5-a62a-845e-95df26b62efa</t>
  </si>
  <si>
    <t>68ad5559-1c23-a79e-b781-f3185c1120e6</t>
  </si>
  <si>
    <t>68acb934-ef1f-a034-a8f9-56c343347d6a</t>
  </si>
  <si>
    <t>68acb425-418a-ab09-9785-47c538d4a24c</t>
  </si>
  <si>
    <t>68ac8643-0cae-a803-a8b5-c2a38d1440a4</t>
  </si>
  <si>
    <t>68acc7b9-4396-a2b3-a328-ce6fe385f6a2</t>
  </si>
  <si>
    <t>68aa365b-b716-a0a6-a373-9bce985dd117</t>
  </si>
  <si>
    <t>68ac8549-8979-a72b-b79d-e12ef7d7dd3f</t>
  </si>
  <si>
    <t>68aaf785-cec0-a170-a0e0-8120a3f9997b</t>
  </si>
  <si>
    <t>68ab97d3-19e3-a7c3-afa3-626eadb011fa</t>
  </si>
  <si>
    <t>68aade51-30af-a1ae-9d23-d72bdc89d4c9</t>
  </si>
  <si>
    <t>68ab3481-1415-a1c7-aace-a01b31ec73f7</t>
  </si>
  <si>
    <t>68aad22d-e211-ae35-a2ce-5f9a3a414a3b</t>
  </si>
  <si>
    <t>68ab144e-af9a-a60e-911d-5e1ab080f186</t>
  </si>
  <si>
    <t>68aaf1d8-5e97-a273-89d1-55af219a3f30</t>
  </si>
  <si>
    <t>68aae9bd-f977-a208-89c9-096a14235a02</t>
  </si>
  <si>
    <t>68a941d6-2931-ad3f-bbba-217e51dea1c6</t>
  </si>
  <si>
    <t>68a8e1e0-2419-aa16-8f1c-2b062b95d9a2</t>
  </si>
  <si>
    <t>68aa0671-b6ed-a5fd-a953-7f64fd0eaeb8</t>
  </si>
  <si>
    <t>68a701fb-8e12-afc3-affa-befa03b1b6f0</t>
  </si>
  <si>
    <t>68a6fec4-8b54-a3f4-9ba9-2ddef34a2c63</t>
  </si>
  <si>
    <t>68a7661f-8b73-a7e8-8fcc-6e95f18ad9ec</t>
  </si>
  <si>
    <t>68a63150-f863-abee-9cb2-357150dc07ef</t>
  </si>
  <si>
    <t>68a70b52-8d94-ae95-a653-57fc6588ed62</t>
  </si>
  <si>
    <t>68a6417d-0eee-a922-9ef5-956bd4f3005f</t>
  </si>
  <si>
    <t>68a5cc86-71cc-a26e-9cc0-5667cda3c2f6</t>
  </si>
  <si>
    <t>68a63c7b-1e50-ab1a-a1dc-66e736a79ab3</t>
  </si>
  <si>
    <t>68a621e4-043e-a555-a0c8-07e7ec82bf8c</t>
  </si>
  <si>
    <t>68a5ec07-93a9-ad2d-887f-2264b3c130de</t>
  </si>
  <si>
    <t>68a5aa4e-b193-ae72-b969-63c4433347fe</t>
  </si>
  <si>
    <t>68a5c2c3-fb92-a1d8-8f43-839eb636b37e</t>
  </si>
  <si>
    <t>68a59497-0722-a2dc-91a1-00d6c1a3a164</t>
  </si>
  <si>
    <t>68a482eb-c116-afca-8584-d54cb1241d03</t>
  </si>
  <si>
    <t>68a4770a-7583-aec0-a8ce-465120886920</t>
  </si>
  <si>
    <t>68a446f9-8c01-a5a0-b336-cf00d7326c1b</t>
  </si>
  <si>
    <t>68a41c5b-9fe1-a380-a1d7-29c83bd2abc4</t>
  </si>
  <si>
    <t>68a3ae6a-1cc7-a506-9b35-e14d751ac4d9</t>
  </si>
  <si>
    <t>68a49e7f-753a-ae3e-8d9e-fc7fc3d1e8d2</t>
  </si>
  <si>
    <t>68a4955f-7e9c-a6b7-90ec-3fb43b950ba7</t>
  </si>
  <si>
    <t>68a2c3ca-8677-a392-bea2-4e038592b71e</t>
  </si>
  <si>
    <t>68a2458e-70a0-ae3e-8142-8fc78f9f4b45</t>
  </si>
  <si>
    <t>68a37d26-bf10-a415-8c09-a794b5f6a71f</t>
  </si>
  <si>
    <t>68a37b58-96df-a046-89cf-6b971eaf4726</t>
  </si>
  <si>
    <t>68a37544-fd3d-a6ca-8cbe-9837068b75a5</t>
  </si>
  <si>
    <t>68a360da-4d69-a968-ba50-a2ed277fae10</t>
  </si>
  <si>
    <t>68a3154c-d311-a3a1-a822-7e0c483d929f</t>
  </si>
  <si>
    <t>68a24b41-5b05-aa4b-8675-621c19841ca9</t>
  </si>
  <si>
    <t>68a21a5d-6779-a7ac-83d6-bb6e31581a39</t>
  </si>
  <si>
    <t>68a205a5-0842-abaa-bd4d-f01ca9f696dd</t>
  </si>
  <si>
    <t>68a24469-bacf-a014-a172-c3d31226adcd</t>
  </si>
  <si>
    <t>68a1e4f6-8feb-a505-b43a-35ecb01f09ad</t>
  </si>
  <si>
    <t>68a0d86c-3b3e-aca6-82c6-66845ddfdabb</t>
  </si>
  <si>
    <t>68a0de2d-6050-ab65-a772-cefffa28d57c</t>
  </si>
  <si>
    <t>68a2548f-f6b9-a64d-918c-b8e4f0897531</t>
  </si>
  <si>
    <t>689f87b0-255d-abfd-b6e2-7d27b4ad6673</t>
  </si>
  <si>
    <t>68a0cf2f-3a5f-ae2c-b230-f6893764a748</t>
  </si>
  <si>
    <t>68a0abc2-2c81-acfa-bb57-ee417e39d49b</t>
  </si>
  <si>
    <t>689f07a6-a2e9-a8e1-8a44-9f00c78e4e36</t>
  </si>
  <si>
    <t>689fae53-4567-ae71-bea4-a114dd296050</t>
  </si>
  <si>
    <t>689f1fd1-609b-a80d-84b2-50729f8bfa79</t>
  </si>
  <si>
    <t>689f074b-5fef-ab61-8fe4-51c8d672e734</t>
  </si>
  <si>
    <t>MISC PAYMENT IN</t>
  </si>
  <si>
    <t>Moved in batch (prompt destination)</t>
  </si>
  <si>
    <t>689f2ca2-a99b-a9ee-a59f-797d288b5ae2</t>
  </si>
  <si>
    <t>688e4b74-434f-af52-b066-cd87b3de3684</t>
  </si>
  <si>
    <t>68864375-815b-a1e0-a9d7-d11b2d65d9c4</t>
  </si>
  <si>
    <t>687eaefa-f88d-ab71-8084-7a1196b5e7bf</t>
  </si>
  <si>
    <t>686318be-78d1-aa02-96c7-ab459a0376df</t>
  </si>
  <si>
    <t>68606e35-9613-a67c-8d51-c8351f49b271</t>
  </si>
  <si>
    <t>683c6648-6980-a321-b5e3-2c303eaeef75</t>
  </si>
  <si>
    <t>68194f87-5055-a278-9b59-aecbd807806a</t>
  </si>
  <si>
    <t>6800c08d-022c-a783-84bc-0b9b2ca5e9bc</t>
  </si>
  <si>
    <t>67fceb86-2a0f-a37c-bf87-a6e67502882f</t>
  </si>
  <si>
    <t>67fc174c-e3ec-ab0b-9430-3e47bfae36be</t>
  </si>
  <si>
    <t>68421824-383d-a2bb-be7c-ff7be142e839</t>
  </si>
  <si>
    <t>680d36ee-f18d-a71c-aeac-b096b4ac7be0</t>
  </si>
  <si>
    <t>67fe625e-b880-a1c4-97ec-1b90fc4d6d3d</t>
  </si>
  <si>
    <t>692885fd-bb62-ac20-a309-1176da461165</t>
  </si>
  <si>
    <t>69284c76-3f10-a02e-8275-f26ba342fcd5</t>
  </si>
  <si>
    <t>69125b9e-ee8f-a9df-af2b-6a0c76d80202</t>
  </si>
  <si>
    <t>690fdb92-cfeb-ab54-a4d6-f53f329cd761</t>
  </si>
  <si>
    <t>68ed5d43-f901-ac78-b4cb-581d6a9401d7</t>
  </si>
  <si>
    <t>68d916d3-aae5-ace5-a12f-47816fdae4b2</t>
  </si>
  <si>
    <t>68d2062c-d1f6-a146-a27e-aa94200d56fb</t>
  </si>
  <si>
    <t>68d0ae34-3796-a472-b00e-1bd4feb23430</t>
  </si>
  <si>
    <t>68cb6ecc-b353-a260-9271-a28beca1375c</t>
  </si>
  <si>
    <t>68af1a15-6526-a906-a361-d7ab0ca76eba</t>
  </si>
  <si>
    <t>68a4a12e-8376-aaf1-b90d-0a6cadcf6c95</t>
  </si>
  <si>
    <t>68a45526-76fd-a50b-9ffa-8af8104d6b1b</t>
  </si>
  <si>
    <t>68a3613c-d459-a4b1-bd3b-939521edb721</t>
  </si>
  <si>
    <t>684d49d6-c522-a7ac-ab08-087d4b5c7b66</t>
  </si>
  <si>
    <t>6825bd29-9a27-afa3-87c9-623b92b19761</t>
  </si>
  <si>
    <t>67f929ab-63ed-a30f-8bb9-08f5bb3c0b8d</t>
  </si>
  <si>
    <t>68ee6267-eafa-a9a5-acb7-5031a54bd88f</t>
  </si>
  <si>
    <t>689208bc-6679-adce-88b4-beed0c8bd663</t>
  </si>
  <si>
    <t>684487e0-2bbc-adc0-8d78-eb3e82e3ffe9</t>
  </si>
  <si>
    <t>68272ff6-bfd7-a0c3-b179-7a2e8f14d1a2</t>
  </si>
  <si>
    <t>6898e513-f0e4-acdd-9f1d-df94dd90afd7</t>
  </si>
  <si>
    <t>688b78d8-e5da-a638-b387-963d229e53eb</t>
  </si>
  <si>
    <t>68785fca-3c55-ad1d-87c1-252ddea1c596</t>
  </si>
  <si>
    <t>687701ac-449d-ad07-a50e-5b4e7398bc64</t>
  </si>
  <si>
    <t>6865e076-1a79-a7b2-93aa-7cc717049026</t>
  </si>
  <si>
    <t>685f6a3e-1ae7-a5ef-8a3f-d4a603d75bcf</t>
  </si>
  <si>
    <t>685bac04-7a65-a182-8908-f6c1f252f640</t>
  </si>
  <si>
    <t>685a20da-e453-a6cf-8a51-772d6b1aca50</t>
  </si>
  <si>
    <t>68349a7b-d234-a582-9619-5594f771d1c0</t>
  </si>
  <si>
    <t>67f5d9b2-28ab-ab90-8ed1-619726ce8aaf</t>
  </si>
  <si>
    <t>67f5d9b2-e6c8-a4dc-9168-317cb58e6837</t>
  </si>
  <si>
    <t>68fa8c97-50f7-a77e-a32c-69fdabf64995</t>
  </si>
  <si>
    <t>68ea0086-e29c-a3cd-abef-15da15d0f331</t>
  </si>
  <si>
    <t>68e04195-a70f-a7d8-ba93-44e57a69c059</t>
  </si>
  <si>
    <t>691e07e2-d912-a442-a82f-592c903a689d</t>
  </si>
  <si>
    <t>690a9c75-c865-a58b-ae0d-6ffeab5f39c6</t>
  </si>
  <si>
    <t>69090b0e-e628-a7ea-96e7-6d4f9e8ddc25</t>
  </si>
  <si>
    <t>689f8bd5-c60b-a51b-9fed-d2e5cbe4bca3</t>
  </si>
  <si>
    <t>689f042c-0bac-a661-a1d6-e984408b269b</t>
  </si>
  <si>
    <t>689f0396-f659-afc6-8951-840f8d595253</t>
  </si>
  <si>
    <t>689f032c-2b93-a6aa-849b-06bff676e548</t>
  </si>
  <si>
    <t>689e5cde-ad19-a78f-aeff-44b350287d4e</t>
  </si>
  <si>
    <t>689b5601-75df-ab88-9e2b-463d50b169c0</t>
  </si>
  <si>
    <t>689af7de-2d31-a618-a4e6-5178585864b6</t>
  </si>
  <si>
    <t>689a85e1-c2f8-ac8a-b9d9-8573e35a0f6f</t>
  </si>
  <si>
    <t>689a85c1-6439-a787-b49a-2f8b670d963d</t>
  </si>
  <si>
    <t>689a51a8-aed5-aad6-9623-efe044dc7dff</t>
  </si>
  <si>
    <t>689a5112-5e6f-ae3b-9c0f-59ff2d42c2cb</t>
  </si>
  <si>
    <t>689a500a-9554-a06a-ab8d-398d633b0c44</t>
  </si>
  <si>
    <t>689a4f5b-7a0f-a3ee-89f8-d39d7d08e76e</t>
  </si>
  <si>
    <t>689a4e0a-4070-a9a5-b801-45b286957ae1</t>
  </si>
  <si>
    <t>689a4d9b-e334-ad2d-990e-5cb7373572dd</t>
  </si>
  <si>
    <t>689909cc-805f-a58e-b7dc-7de401c79599</t>
  </si>
  <si>
    <t>68986c5b-61f8-a7bd-9d83-8cc87608ae63</t>
  </si>
  <si>
    <t>6898683e-e910-a160-b091-5da6789ee743</t>
  </si>
  <si>
    <t>6896828c-edf2-a3aa-838f-2490f87af60d</t>
  </si>
  <si>
    <t>6894c48e-01db-aa28-9927-ec58b596a282</t>
  </si>
  <si>
    <t>6893867a-93b4-a552-99b5-bd90f7216f29</t>
  </si>
  <si>
    <t>688dec97-02b4-afb0-bb21-57cc64d6e357</t>
  </si>
  <si>
    <t>688bacb7-6c12-a91c-b8d1-c73a91146f43</t>
  </si>
  <si>
    <t>68871140-8f07-a184-ba6b-fbc8ddb175a0</t>
  </si>
  <si>
    <t>687cb0a0-47d6-ac59-a4ae-a3f32e4a3e5d</t>
  </si>
  <si>
    <t>68658648-90f1-aa80-aeb3-afb331a3d3f7</t>
  </si>
  <si>
    <t>685e682f-4324-ab15-af82-70a183d6ed87</t>
  </si>
  <si>
    <t>6854761a-4ca5-aa02-aa1d-3d9f4b166fc9</t>
  </si>
  <si>
    <t>6849fb3d-1637-ac55-b314-b82db80fe4cf</t>
  </si>
  <si>
    <t>6841dc38-6af3-ae46-aeaa-db50f5c1a98a</t>
  </si>
  <si>
    <t>68308458-8f04-aa7b-b556-4635eff454b9</t>
  </si>
  <si>
    <t>6825014c-34d2-a16e-a7c7-00d5c2ad2c45</t>
  </si>
  <si>
    <t>681a11f0-0b69-a024-8b67-2c73f6f19a19</t>
  </si>
  <si>
    <t>681788d0-0ec3-a9a8-852f-35149d75b6a1</t>
  </si>
  <si>
    <t>681121b7-ae64-abe4-a757-8f71b1f59039</t>
  </si>
  <si>
    <t>68077c84-0da4-a678-ac8c-d5c13cb84f50</t>
  </si>
  <si>
    <t>68077cc8-2f4d-afbf-af64-96fdafe7f6a7</t>
  </si>
  <si>
    <t>6942b4bc-44fa-a85a-a662-e7e666241d9b</t>
  </si>
  <si>
    <t>6924ae6c-0d86-a827-9bb5-5eca103e5b93</t>
  </si>
  <si>
    <t>6913395e-e617-a68d-a656-ce9c6b654387</t>
  </si>
  <si>
    <t>691338b4-6ba3-a8b8-a074-fa3d81c05144</t>
  </si>
  <si>
    <t>690941a2-7f17-a757-b3c5-8c553a25d5ed</t>
  </si>
  <si>
    <t>6900dc70-f740-a4d2-922c-335490b9b802</t>
  </si>
  <si>
    <t>68f7b15a-4e1f-aad8-ac36-be8c1efa23fc</t>
  </si>
  <si>
    <t>68f0845d-d698-a008-a819-840ec848908a</t>
  </si>
  <si>
    <t>68e6de6c-8bb6-a4c4-b141-3dea3c5800e1</t>
  </si>
  <si>
    <t>68dac280-5655-abcc-a0a8-95e908b22e9e</t>
  </si>
  <si>
    <t>68c9d564-4e49-a47a-8a86-a90260f7a71a</t>
  </si>
  <si>
    <t>68c060d2-f761-adc1-a3c1-01f194faf6df</t>
  </si>
  <si>
    <t>68b4ccf7-40e7-a012-81f5-539bedd60765</t>
  </si>
  <si>
    <t>68ada7b4-83e4-a827-8fe5-8f5928ceeff6</t>
  </si>
  <si>
    <t>68a9cb2a-fb8c-aad7-a56d-f88a2c4ecb20</t>
  </si>
  <si>
    <t>Moved manually (single row)</t>
  </si>
  <si>
    <t>689d2f84-a499-a9cd-b2aa-57d19e557fae</t>
  </si>
  <si>
    <t>6897718e-105f-a05c-9c9a-26a29030d6b6</t>
  </si>
  <si>
    <t>6894d5b1-e089-a1a2-a22d-51b8db3f9ccc</t>
  </si>
  <si>
    <t>6894ca72-53a6-a3c2-a1f9-d5f72c904a4f</t>
  </si>
  <si>
    <t>6894c825-bb44-a8b3-935b-c1ab0a63786e</t>
  </si>
  <si>
    <t>6894c741-7712-aaec-9b35-90a57a7ada85</t>
  </si>
  <si>
    <t>6894c5f7-a729-abf6-b5f1-face12414e89</t>
  </si>
  <si>
    <t>6894c535-d823-a94b-9822-3a87b9abc552</t>
  </si>
  <si>
    <t>6893ac20-a934-ad42-8259-19ab1a89f107</t>
  </si>
  <si>
    <t>68909cf3-9f7e-a253-8b93-718b5932e8ce</t>
  </si>
  <si>
    <t>6893385b-31aa-aab1-9005-98b6ce71adb8</t>
  </si>
  <si>
    <t>68912fa0-7895-a957-9af1-56120abf9df6</t>
  </si>
  <si>
    <t>688fe923-b296-a221-95c6-dee87d64efc0</t>
  </si>
  <si>
    <t>688fa542-2923-a872-9259-99da2efd6ae9</t>
  </si>
  <si>
    <t>688f9c69-ce0c-a323-96db-1c9953e89da0</t>
  </si>
  <si>
    <t>688ed79b-b4da-a44f-8b12-bde30bb424bc</t>
  </si>
  <si>
    <t>688ec54a-088d-a18c-a2ff-78411f322e39</t>
  </si>
  <si>
    <t>688e9d9e-dd94-a07c-b19d-6222a7e9a6f0</t>
  </si>
  <si>
    <t>688e9cff-a5d1-a3ad-8cce-6d3eb13610cb</t>
  </si>
  <si>
    <t>688c75f9-f8ce-af62-8186-03c0ef485bae</t>
  </si>
  <si>
    <t>688b6fd1-714e-a85e-961b-4c55692ce9b7</t>
  </si>
  <si>
    <t>688a8c03-47ba-aad2-a208-a40e0721dc5c</t>
  </si>
  <si>
    <t>6888ca27-af70-ac61-8345-8ef2a8eeeea6</t>
  </si>
  <si>
    <t>6888c9db-00fd-a34c-bafd-33636f535d26</t>
  </si>
  <si>
    <t>68889c9d-b61a-a01f-a402-fc8ff2a588f5</t>
  </si>
  <si>
    <t>68879e6f-c37b-add9-9ac5-d3bec3ef0532</t>
  </si>
  <si>
    <t>68874763-54ff-accc-9bbc-90761de2d3f8</t>
  </si>
  <si>
    <t>6887469f-4b42-a493-9fb8-3ec2178a4bcb</t>
  </si>
  <si>
    <t>6886849d-cd9b-aafb-a10b-ffcb70fd6c49</t>
  </si>
  <si>
    <t>68857539-4d88-ae9c-85b4-1c0b0e70985e</t>
  </si>
  <si>
    <t>6885749a-ff72-acea-bb40-58cd5a345c15</t>
  </si>
  <si>
    <t>68857417-0048-a638-b41f-d0ade23d392d</t>
  </si>
  <si>
    <t>688572c4-9b3b-a35e-bf1b-0990d75fe008</t>
  </si>
  <si>
    <t>68856884-da75-af33-806f-809d78b377fe</t>
  </si>
  <si>
    <t>688566f2-b381-a0bb-b6de-23e8d049b46d</t>
  </si>
  <si>
    <t>68855483-d9b1-a8ca-b4dc-0ecd4b77517e</t>
  </si>
  <si>
    <t>688408e9-11d0-a774-9fa6-2eaaa350e492</t>
  </si>
  <si>
    <t>688299cd-2706-a244-8233-c3feab74586b</t>
  </si>
  <si>
    <t>6882996c-90fb-a55d-815a-e58e128957aa</t>
  </si>
  <si>
    <t>68829912-6a7b-a737-9920-90060ce6dcbb</t>
  </si>
  <si>
    <t>688298e8-2744-a28d-b189-5ce97102126b</t>
  </si>
  <si>
    <t>688296eb-7325-a4c8-9be3-9e24d187819a</t>
  </si>
  <si>
    <t>68829636-eebd-a88b-8616-da05901be756</t>
  </si>
  <si>
    <t>6882950f-69a1-a02f-b44e-33f03a25b389</t>
  </si>
  <si>
    <t>687fe0d3-6170-a5d3-b686-1c3222528882</t>
  </si>
  <si>
    <t>687fe021-619c-a0de-a192-4e8b9c822ca9</t>
  </si>
  <si>
    <t>687e090c-4541-a15a-ae49-2fc23a0367c3</t>
  </si>
  <si>
    <t>687e0849-3b01-af14-8930-21998fe4c126</t>
  </si>
  <si>
    <t>687e07f5-7985-acc8-b249-29b6fd86fa21</t>
  </si>
  <si>
    <t>6889481f-3f96-ab41-bb66-3ab516571399</t>
  </si>
  <si>
    <t>6888cb6c-6518-afc3-9944-dd810acc485c</t>
  </si>
  <si>
    <t>6888cab2-7085-afca-ae99-19bb8ecf302e</t>
  </si>
  <si>
    <t>687d05b1-e598-a39a-9c84-2a57e808bbb7</t>
  </si>
  <si>
    <t>687aa716-df20-af3a-bfd7-c8c93fd15cb9</t>
  </si>
  <si>
    <t>687a4087-5c8f-a2ee-a87d-44b029e697d7</t>
  </si>
  <si>
    <t>6879747f-72ef-a407-85b4-3a25fc331bb9</t>
  </si>
  <si>
    <t>687973f0-92fe-aeff-90f0-1bfe851dd61c</t>
  </si>
  <si>
    <t>6878fe87-bff7-a9dc-b77c-80499b9b72e9</t>
  </si>
  <si>
    <t>6876f764-27a0-aca2-975f-47b589032f4c</t>
  </si>
  <si>
    <t>6876ebac-b38a-a368-9f79-abb6b45c8bea</t>
  </si>
  <si>
    <t>6876d34e-f438-aefc-9e6e-05f4192dd3ef</t>
  </si>
  <si>
    <t>6876d1df-462b-a8b5-9345-3b2092d0ec07</t>
  </si>
  <si>
    <t>6876d17b-15bd-afe2-bfdb-95dacebce57f</t>
  </si>
  <si>
    <t>6876d0fd-3220-afa2-a98d-9e9f9576dcc9</t>
  </si>
  <si>
    <t>68756306-53a1-a7dd-b691-836a20bd422e</t>
  </si>
  <si>
    <t>6874ddb8-e53d-ad48-94de-6c77bb8159b0</t>
  </si>
  <si>
    <t>6874dcb0-0bf6-a96c-a9d7-cd5177a6fe2c</t>
  </si>
  <si>
    <t>6874daaa-57cc-af84-8815-67cf6982871e</t>
  </si>
  <si>
    <t>6874d8f3-62a5-a0e0-8180-0faf069f9224</t>
  </si>
  <si>
    <t>6874502a-7871-afa6-86db-2760f32c4b69</t>
  </si>
  <si>
    <t>6871a701-78d7-a095-aabb-45dfd9fc2fc1</t>
  </si>
  <si>
    <t>6871a69d-ff2d-a7af-a92e-4327360660b0</t>
  </si>
  <si>
    <t>6871a664-675c-aee1-85f0-47141dddea18</t>
  </si>
  <si>
    <t>6871a61d-449b-a11d-8d49-ab9480c7ac01</t>
  </si>
  <si>
    <t>686f713b-69fb-a665-8eab-b353bdf7bab1</t>
  </si>
  <si>
    <t>686ef154-30e4-a4ab-8c25-628db97138b0</t>
  </si>
  <si>
    <t>686eac07-1c5e-aaf3-8fb2-e5b8db357d6e</t>
  </si>
  <si>
    <t>686eab9d-ec45-a251-afaf-71c6e8ff6eb2</t>
  </si>
  <si>
    <t>686e7f70-baf5-ad2c-8798-6704b0a2d543</t>
  </si>
  <si>
    <t>686327f4-0343-ae8d-96cd-f0a810e6c833</t>
  </si>
  <si>
    <t>68631893-0547-aaec-8519-4b697f939728</t>
  </si>
  <si>
    <t>6862cd49-714c-a5ac-9804-66b8bf33e9f7</t>
  </si>
  <si>
    <t>685f2664-570c-a27b-a1c4-a44d8fa422fc</t>
  </si>
  <si>
    <t>685f2246-d30a-a89e-a528-e0786e17280f</t>
  </si>
  <si>
    <t>685f2182-6a03-addd-bb40-62abe3872242</t>
  </si>
  <si>
    <t>685f20ed-1756-a3fb-847b-7a10a6ba5fc8</t>
  </si>
  <si>
    <t>685c9c3a-d6c3-ab05-8b0b-9532593ba283</t>
  </si>
  <si>
    <t>685c9ba1-dcbc-a8b0-b325-3c0bb4ce2abe</t>
  </si>
  <si>
    <t>685c5486-e16f-ae41-a06b-7b0e0ad0af47</t>
  </si>
  <si>
    <t>685aae24-3042-aedf-91bc-6799a7f3ba84</t>
  </si>
  <si>
    <t>68599b79-c3dd-abf6-aecc-afbb4fcd18a9</t>
  </si>
  <si>
    <t>68590c60-b7f2-ad1e-aba8-b8e1a6afc527</t>
  </si>
  <si>
    <t>6858177a-3f5e-a5ba-ace1-f0fa27ad1803</t>
  </si>
  <si>
    <t>68581705-6c2f-a971-8a3c-c71062187b41</t>
  </si>
  <si>
    <t>6856eb58-c307-aa4c-b791-2f931b6d68fe</t>
  </si>
  <si>
    <t>68568f5b-1c86-a984-9b12-90e4b0a76b52</t>
  </si>
  <si>
    <t>68568eeb-51e9-aade-885d-4d9f2473eb23</t>
  </si>
  <si>
    <t>6855fa7b-e94b-ad73-baaa-de9ee762978b</t>
  </si>
  <si>
    <t>6855a1c5-14d0-a062-ba16-b7561665ea2b</t>
  </si>
  <si>
    <t>685580c8-1eb5-aada-8ea5-95f6942f66b9</t>
  </si>
  <si>
    <t>6854d886-35ca-ad6c-9a88-914019d1b595</t>
  </si>
  <si>
    <t>684311e1-bfd5-a801-b066-7c1194f803b3</t>
  </si>
  <si>
    <t>6841ccae-3d6a-accb-8691-10157b7e5ef9</t>
  </si>
  <si>
    <t>683e1cc8-fe93-a262-ad44-f9d94b11089a</t>
  </si>
  <si>
    <t>683dc1da-d27a-a718-974e-1f44ba6ebc1b</t>
  </si>
  <si>
    <t>683cddf9-dee9-a754-a0c5-a8eef294dc72</t>
  </si>
  <si>
    <t>683a47d2-2683-aa17-8d66-1b4cd29a7378</t>
  </si>
  <si>
    <t>6839d750-de1f-a26e-9db4-f70b55bd96c3</t>
  </si>
  <si>
    <t>6838d66a-320e-a1f6-8294-4b49e8165136</t>
  </si>
  <si>
    <t>68378d8d-6414-a159-b142-d749c9ad2cff</t>
  </si>
  <si>
    <t>6836f7d2-e705-a9c7-9983-ebdf114cef50</t>
  </si>
  <si>
    <t>68363454-ac6c-acf2-94ed-59c9be7296f7</t>
  </si>
  <si>
    <t>68363113-ee64-a20d-a769-eda737b890f6</t>
  </si>
  <si>
    <t>6836304e-78b3-a2bd-8f08-65d60f56c954</t>
  </si>
  <si>
    <t>68362fcf-77ee-a8fd-9de5-984c497d90b9</t>
  </si>
  <si>
    <t>68362f58-7d42-ad30-a4ac-cce574247a34</t>
  </si>
  <si>
    <t>68357031-132f-a018-9eec-e1f90c4af9cb</t>
  </si>
  <si>
    <t>683448ac-8df8-a386-b173-db7e11f85f9b</t>
  </si>
  <si>
    <t>68327116-b7d9-aa2b-ba7f-5186614ecb1b</t>
  </si>
  <si>
    <t>682f8d0b-2450-a625-918d-0eaa6ba00036</t>
  </si>
  <si>
    <t>682a634a-1ef9-a1b0-b4a1-a6c09f0133c7</t>
  </si>
  <si>
    <t>6827c8d9-bfc5-a1a4-bc38-4da87cc80542</t>
  </si>
  <si>
    <t>68279b2e-73e3-a4c6-bebb-125d40bba7eb</t>
  </si>
  <si>
    <t>682716d3-fc17-a8ef-a9d1-2e8a9a8efe78</t>
  </si>
  <si>
    <t>682668d8-e5f5-ae7a-991b-df4102e8052e</t>
  </si>
  <si>
    <t>686c5890-9091-afa8-8e63-b26ea77dab9b</t>
  </si>
  <si>
    <t>686c4ace-a16a-ae28-8b05-a9bfbc2d374b</t>
  </si>
  <si>
    <t>686bbe05-e9c9-a1b9-9bde-6e7b9da55801</t>
  </si>
  <si>
    <t>686b90d8-2c18-a3c0-ac76-565c8fa5bb0b</t>
  </si>
  <si>
    <t>68696dd0-9dc3-a571-a64a-7a3bf713761a</t>
  </si>
  <si>
    <t>686964c6-72b4-a484-8f8e-13cab7775a1f</t>
  </si>
  <si>
    <t>686962f9-917e-a39e-8654-d1b26730771a</t>
  </si>
  <si>
    <t>68696262-124d-a7a3-9111-74dd2fda6761</t>
  </si>
  <si>
    <t>68685b3d-f359-aa0b-9b71-27aab7d26dab</t>
  </si>
  <si>
    <t>686811c8-3af3-ac55-890a-ecdf1df76c3c</t>
  </si>
  <si>
    <t>68680fb3-d8f5-a0a2-a12f-0e2e39f664c2</t>
  </si>
  <si>
    <t>68680a09-e732-a768-bdc7-b039f9c817ba</t>
  </si>
  <si>
    <t>6866a042-ae23-a19f-a47d-a63c5b0bec82</t>
  </si>
  <si>
    <t>6865afbd-707b-a58f-a5da-7bef370057f6</t>
  </si>
  <si>
    <t>686447e3-5ce4-ab72-933d-05b20efcc20d</t>
  </si>
  <si>
    <t>6852c50e-1ff7-a119-ac33-5f3478bf12dd</t>
  </si>
  <si>
    <t>6851f46f-ee72-a4c8-aac8-23e5561773ba</t>
  </si>
  <si>
    <t>68507f23-e159-a75e-9f45-be930f3c8e81</t>
  </si>
  <si>
    <t>68504cb7-4370-ab7e-9d54-7d84f80cbb22</t>
  </si>
  <si>
    <t>684ddb14-159b-a37a-b445-d741d19fdfb3</t>
  </si>
  <si>
    <t>684d808b-3ded-a13e-be05-9af9e0bfd54d</t>
  </si>
  <si>
    <t>6848c081-e2bb-aae1-a6ce-3b4f83f3ce63</t>
  </si>
  <si>
    <t>6846de45-65c3-af1c-ab47-7166e999a774</t>
  </si>
  <si>
    <t>6846b4ab-6bfa-ac11-abbb-7dfaf6290a8a</t>
  </si>
  <si>
    <t>6845a569-2d2b-ad40-a556-ee1e3440ae3f</t>
  </si>
  <si>
    <t>68871512-b770-a084-b084-0c09710964c0</t>
  </si>
  <si>
    <t>6881cccf-cf4f-a42c-9a5a-c7769e89b587</t>
  </si>
  <si>
    <t>68622bb9-c217-a1fe-80d9-2fdd5c697b56</t>
  </si>
  <si>
    <t>6852cb5e-f916-a4cc-9f96-ecc8d8b3d933</t>
  </si>
  <si>
    <t>6836a885-d566-a4ee-9a30-5967caff57f2</t>
  </si>
  <si>
    <t>681c49e6-c243-a419-8f3b-a4a38e021753</t>
  </si>
  <si>
    <t>6936dfb3-177e-a22a-a4af-a7c78fb6cb93</t>
  </si>
  <si>
    <t>69294cb9-ad6a-a486-9f4c-80694e711397</t>
  </si>
  <si>
    <t>692404a0-3f66-a825-9045-a4607a78cf0a</t>
  </si>
  <si>
    <t>69006c6d-34c5-aea8-b03c-07a36104685d</t>
  </si>
  <si>
    <t>68fb1728-d558-a8b2-a308-cea2d6cb7506</t>
  </si>
  <si>
    <t>68da2388-8ee4-a01a-aa2b-7c909032e6b1</t>
  </si>
  <si>
    <t>68d38aa1-0093-a1fc-92a5-1a60d9aed26d</t>
  </si>
  <si>
    <t>68aff328-18bc-aa0e-8cd2-fc2ed92f36c7</t>
  </si>
  <si>
    <t>68ad4f9e-fac3-a1c2-97f1-6daaf87fff11</t>
  </si>
  <si>
    <t>688c6794-e287-a530-b4cb-9e4c45daf971</t>
  </si>
  <si>
    <t>688c6843-b801-a412-add7-3e816be87e69</t>
  </si>
  <si>
    <t>688c65c4-9e7f-ae44-8b21-4ef2928373c1</t>
  </si>
  <si>
    <t>686e07d6-0ce5-a850-b800-7ea7012919fd</t>
  </si>
  <si>
    <t>6863868e-5d47-a10c-8539-5f58a410eecc</t>
  </si>
  <si>
    <t>683d4d95-fba8-aff3-b1a9-602d3547352f</t>
  </si>
  <si>
    <t>681317dd-27c8-ac28-a6f7-4ec4d2e6f7f6</t>
  </si>
  <si>
    <t>67eb87b5-8092-ab6c-888c-5a4046a3a048</t>
  </si>
  <si>
    <t>692d5951-1fbb-a2b7-9b34-0b074c5dc86a</t>
  </si>
  <si>
    <t>692d45aa-6330-aae2-bd94-31d24fdf9e92</t>
  </si>
  <si>
    <t>692d44d1-40d1-a7db-94cc-acf0df59c335</t>
  </si>
  <si>
    <t>690869d7-4139-a573-a369-41888a63f73c</t>
  </si>
  <si>
    <t>690869cd-90a2-ae1b-8708-76288eb73bf7</t>
  </si>
  <si>
    <t>6908698e-374c-aa22-accf-694f1b58674e</t>
  </si>
  <si>
    <t>68dcd857-3c27-a11d-9ba7-c3dbc649ec71</t>
  </si>
  <si>
    <t>68dcd5c0-0691-a81b-8c33-30d46f8adcf3</t>
  </si>
  <si>
    <t>68dcc939-5488-a0cc-a9d5-790430661f16</t>
  </si>
  <si>
    <t>68b54dc5-9e4c-a110-9288-fd90502d67d8</t>
  </si>
  <si>
    <t>68b54c45-f24c-a291-b925-9a4b3dc9785b</t>
  </si>
  <si>
    <t>68b54af0-0377-a0a5-84d4-d0e0fecb94bf</t>
  </si>
  <si>
    <t>686d826c-b5e2-ab61-a806-7746efe70a26</t>
  </si>
  <si>
    <t>686d5220-eb32-a906-a21f-701dc6331164</t>
  </si>
  <si>
    <t>686d4c62-1989-ac87-91c0-39d03f255858</t>
  </si>
  <si>
    <t>686d38e0-e1f1-ac20-bf63-624f3dc5f037</t>
  </si>
  <si>
    <t>6853ebf1-7531-a652-9f53-97a9f9edb1ea</t>
  </si>
  <si>
    <t>68535a4e-0aa9-a12f-bbac-9047d659193e</t>
  </si>
  <si>
    <t>6851a9f8-6f58-ae93-bf75-00251d41b290</t>
  </si>
  <si>
    <t>6844be56-da1b-a64f-9319-b988810d9940</t>
  </si>
  <si>
    <t>681fd64e-f184-a8b3-97c7-0478c6346db6</t>
  </si>
  <si>
    <t>681a126c-f701-a57c-926d-b4c4914de170</t>
  </si>
  <si>
    <t>68165788-9058-a53d-96c5-53dc23506d73</t>
  </si>
  <si>
    <t>68165713-c07e-a125-acc8-6ce4aa5a5d16</t>
  </si>
  <si>
    <t>68165450-7c46-ac16-a82e-70583978c051</t>
  </si>
  <si>
    <t>6810c61d-3cc8-a5ed-aa8a-024ff3747d9d</t>
  </si>
  <si>
    <t>680ec1b2-d6c4-a15a-909b-1c026a8352a2</t>
  </si>
  <si>
    <t>6808315e-fd09-a59f-b72f-85e104b9129e</t>
  </si>
  <si>
    <t>6806eaf6-3ad2-a78b-9db0-9d738338bd27</t>
  </si>
  <si>
    <t>68029d7f-341e-a6b5-b157-56ab5bffc509</t>
  </si>
  <si>
    <t>68020099-9750-abc5-b5e2-094af7df1bd8</t>
  </si>
  <si>
    <t>67ffb255-88ed-a18a-994f-9758a3a3542c</t>
  </si>
  <si>
    <t>67fe815d-b015-ad86-b78b-ff0543745828</t>
  </si>
  <si>
    <t>67fe4390-8d27-a68f-8bf5-2d269bc7e8e1</t>
  </si>
  <si>
    <t>67fd7335-09ba-ab90-8c9a-2b16b912f8da</t>
  </si>
  <si>
    <t>67fb97b3-78ec-ac4a-8fe1-7f876b4bc932</t>
  </si>
  <si>
    <t>67f6d567-4fee-a33e-88d6-0ef54b432465</t>
  </si>
  <si>
    <t>67f65176-8c72-a116-bdbb-62e4c953ad88</t>
  </si>
  <si>
    <t>67f5743e-3145-a0c0-8b0c-5a0da2dcf63a</t>
  </si>
  <si>
    <t>67f573c5-a2e1-af79-ba95-5b748c5d7bc0</t>
  </si>
  <si>
    <t>67f55b05-19c1-a179-8f12-ff0276eda628</t>
  </si>
  <si>
    <t>67f40855-5feb-af83-9621-2973cc1a1ea7</t>
  </si>
  <si>
    <t>67f2fcec-bee7-a9ac-b9ef-90ba69653384</t>
  </si>
  <si>
    <t>67f2fc79-e089-a4f4-afdd-48240a0eba52</t>
  </si>
  <si>
    <t>67f26062-fe32-a5c0-ae57-4ec2270a79b6</t>
  </si>
  <si>
    <t>67f03f59-3050-a345-abe0-b6d633e7cc4b</t>
  </si>
  <si>
    <t>67efb537-f7ab-a306-80d1-94de9d3bd8c4</t>
  </si>
  <si>
    <t>6941c215-69f8-a448-9bbf-a5f08207bd8b</t>
  </si>
  <si>
    <t>6941192b-b79e-a35d-bc9b-dc83b0bec6c0</t>
  </si>
  <si>
    <t>694086ce-fbbe-ada5-bc3c-3660e8cd4e51</t>
  </si>
  <si>
    <t>69408644-05aa-a667-a2f4-7ba098617206</t>
  </si>
  <si>
    <t>693ff305-5589-afff-8d03-146ac56037e3</t>
  </si>
  <si>
    <t>693ea232-d0c8-a974-a5aa-8cb17ce44a51</t>
  </si>
  <si>
    <t>693b459d-6d27-aa35-be57-f22497cc55fc</t>
  </si>
  <si>
    <t>693b4513-c068-aab3-9f0b-a43c6aa13bf3</t>
  </si>
  <si>
    <t>693b3ed7-0121-a7c8-a321-d8bec0f40c81</t>
  </si>
  <si>
    <t>69359eb2-691b-a86b-a08e-584cb03ecdd4</t>
  </si>
  <si>
    <t>6932b4c4-db0a-a5df-9d58-41dfb4aea96d</t>
  </si>
  <si>
    <t>692dcd5b-ee9b-ab61-b021-66ae8b3f633d</t>
  </si>
  <si>
    <t>692d96f1-37f4-a76f-94fb-462b558d5416</t>
  </si>
  <si>
    <t>692b4143-5cb9-a964-a02b-63b730d04f65</t>
  </si>
  <si>
    <t>692a5040-fe90-af04-a059-d6689560d8ee</t>
  </si>
  <si>
    <t>6928c85f-6359-a0dc-a650-8b0d754b416d</t>
  </si>
  <si>
    <t>69284dc0-02d3-a37e-aa7d-c2d156ec74d1</t>
  </si>
  <si>
    <t>69283ac2-0dd9-a27e-8508-a88713870fd5</t>
  </si>
  <si>
    <t>6926ea75-a1e3-a126-8612-3a2191de9879</t>
  </si>
  <si>
    <t>6921ed5b-feb2-a71e-b077-cf205455f908</t>
  </si>
  <si>
    <t>691ce21e-47c5-a222-8d77-9aa6b286d401</t>
  </si>
  <si>
    <t>691cb10d-ffc9-af1f-a5e8-0b27b8c193d5</t>
  </si>
  <si>
    <t>691ca989-f922-aa2e-aeb7-117c718c8646</t>
  </si>
  <si>
    <t>691857bc-203c-a21a-a284-d140554af326</t>
  </si>
  <si>
    <t>690e0636-300a-a67d-a744-70257df07045</t>
  </si>
  <si>
    <t>690af4a2-6939-ac73-b62a-3e150b8a3dc1</t>
  </si>
  <si>
    <t>690870f4-a28a-a8bb-bc12-acca8eebb368</t>
  </si>
  <si>
    <t>69020f8d-6a2b-a2fc-8aff-2e8f0c39575a</t>
  </si>
  <si>
    <t>68f90fe5-7608-a15b-bfed-69e462644fdb</t>
  </si>
  <si>
    <t>68f90fc3-1965-af8f-b89f-25bc7686829c</t>
  </si>
  <si>
    <t>68ee7405-0d1a-a11d-8463-fac0742e5456</t>
  </si>
  <si>
    <t>68ec7f05-7e90-a473-9c88-88772ac3b9a0</t>
  </si>
  <si>
    <t>68ebf15f-76ee-a9c2-bfac-17af290c5a78</t>
  </si>
  <si>
    <t>68e8a8a0-f83a-a3ff-9dd0-0902cf373864</t>
  </si>
  <si>
    <t>68e35b58-8104-af84-91ac-0d6ae65662ba</t>
  </si>
  <si>
    <t>68dd2cfe-5b4d-ab65-b081-74c1fd2c030e</t>
  </si>
  <si>
    <t>68db05cb-f2ea-a48b-abb4-3d5e06ed7dc1</t>
  </si>
  <si>
    <t>68d9e0ac-f947-a4c6-8867-a78a1ed6900e</t>
  </si>
  <si>
    <t>68d92d0d-4c84-a368-8e39-d91d78306587</t>
  </si>
  <si>
    <t>68d92cbc-bac3-a696-a3df-b1ca44bb0bb8</t>
  </si>
  <si>
    <t>68d9198d-7406-afd0-a685-b5ead02dc3f0</t>
  </si>
  <si>
    <t>68d67f9d-6378-aac6-845e-6afa109f43b1</t>
  </si>
  <si>
    <t>68d508ea-bc14-a4fb-abe4-c2e041b61fac</t>
  </si>
  <si>
    <t>68d50866-d317-a3c1-b1f0-aaa7705d9bb6</t>
  </si>
  <si>
    <t>68d4068e-bc9f-a47c-8d1b-983ff7b6afdb</t>
  </si>
  <si>
    <t>68d141ce-0d3c-a5ce-98a9-3ea188ac8e72</t>
  </si>
  <si>
    <t>68cf1329-aa27-a4fb-860d-a2f0a990a199</t>
  </si>
  <si>
    <t>68cf12fa-5b19-a036-a7da-1b1453d01bd5</t>
  </si>
  <si>
    <t>68cd240a-e956-aaa0-8287-070714e35a53</t>
  </si>
  <si>
    <t>68cb3aa4-19a9-a81d-8581-4741e05790a0</t>
  </si>
  <si>
    <t>68cb3a19-52d2-a95d-a79d-85477b82e53c</t>
  </si>
  <si>
    <t>68cb3957-64a9-ae9b-971c-6c806f8536dd</t>
  </si>
  <si>
    <t>68cb36bc-e8fd-a21d-b00b-79e26658ef27</t>
  </si>
  <si>
    <t>68c83fcd-0b4c-ac80-8d65-6c0233ab4233</t>
  </si>
  <si>
    <t>68c49993-b94e-a226-9fb4-5f56349a59af</t>
  </si>
  <si>
    <t>68c4989f-731e-a7b6-899e-f4e1c19eb670</t>
  </si>
  <si>
    <t>68c49847-ce57-a0ab-804d-2ddeb3063963</t>
  </si>
  <si>
    <t>68c497cc-8279-ab19-8c8c-137ce2d0659d</t>
  </si>
  <si>
    <t>68c43f5c-db14-aa85-b7eb-213ccca33e76</t>
  </si>
  <si>
    <t>68c42abf-bef6-a2c4-a4a9-d50376cc2ef0</t>
  </si>
  <si>
    <t>68c41fbe-28e0-a7d4-8ac0-497785039859</t>
  </si>
  <si>
    <t>68c41f51-a0ad-ad72-ba2b-17210ef59430</t>
  </si>
  <si>
    <t>6825cdcb-538e-abe7-8d37-f5c5964dcbe4</t>
  </si>
  <si>
    <t>681ce081-82aa-aabd-b448-8609f2a7e5e4</t>
  </si>
  <si>
    <t>680bc773-7033-afe7-95bf-5b35ccdc38ac</t>
  </si>
  <si>
    <t>6800edbd-5a03-ac37-8b7e-7cc6aca23ef5</t>
  </si>
  <si>
    <t>67f956e4-c608-afce-9d88-92568604eea1</t>
  </si>
  <si>
    <t>68c3df71-9ac7-a497-b3ac-999cbab20a13</t>
  </si>
  <si>
    <t>688b086d-3400-a4f9-ad27-fcb01556ee51</t>
  </si>
  <si>
    <t>6862689b-cc50-abe3-a9df-f5dde101c555</t>
  </si>
  <si>
    <t>683eb920-749f-a00c-8340-d5681bbe54a9</t>
  </si>
  <si>
    <t>692d7ae6-899b-a7c2-b6a8-69ce456ede6f</t>
  </si>
  <si>
    <t>690461a2-1209-a3c8-84f7-6ad338148a13</t>
  </si>
  <si>
    <t>68db753b-045f-a8db-8083-e1f7146483f0</t>
  </si>
  <si>
    <t>68b54ff8-3395-a9ac-93cf-0fe07edbcbf4</t>
  </si>
  <si>
    <t>687ddb0c-2e4d-a699-8b5e-0f5bbec99cea</t>
  </si>
  <si>
    <t>686e070f-86ce-a23b-8a02-1db7593975fc</t>
  </si>
  <si>
    <t>691ebe88-f315-a91a-b0fa-0878e138cd07</t>
  </si>
  <si>
    <t>68f5d30c-06ff-a9b4-9925-dbb1165eb51c</t>
  </si>
  <si>
    <t>68d0e94a-3576-a869-ba79-352654243f4c</t>
  </si>
  <si>
    <t>68a566f2-3d6e-a739-9580-bec960c4affc</t>
  </si>
  <si>
    <t>6895bed0-c496-aba5-bae2-182ad806c55c</t>
  </si>
  <si>
    <t>686cdf6a-5fc0-ae27-b96a-c83358c5ae57</t>
  </si>
  <si>
    <t>68455314-6210-a3be-b1c7-68cad5d3ba46</t>
  </si>
  <si>
    <t>681c7316-f496-a030-b708-33cf43df28ba</t>
  </si>
  <si>
    <t>67f4e759-b3a3-aa0b-8b16-f02760894d0c</t>
  </si>
  <si>
    <t>69391e1c-9ece-a882-9a9c-ea7c1df08228</t>
  </si>
  <si>
    <t>693694d3-0ac2-a692-b213-0f9cf821ee00</t>
  </si>
  <si>
    <t>692fe30e-14e1-a15e-8952-90e376662f2c</t>
  </si>
  <si>
    <t>692d5988-24ff-ab47-a287-6c0f6f41d3ab</t>
  </si>
  <si>
    <t>692d44c5-7785-a058-9f4a-5b4769a24629</t>
  </si>
  <si>
    <t>6927f9be-f513-ab3b-a554-1f755897d361</t>
  </si>
  <si>
    <t>690f07cb-a460-aa49-8056-a2ece50b976c</t>
  </si>
  <si>
    <t>69086b42-0fe3-af9f-b8cd-15a0c9cf394d</t>
  </si>
  <si>
    <t>69086692-0385-a519-a282-70031edb84bd</t>
  </si>
  <si>
    <t>69085b92-c567-a033-8bce-5f85dbbde916</t>
  </si>
  <si>
    <t>69030f4f-62d0-a4fc-90e9-43df31206f61</t>
  </si>
  <si>
    <t>68e628d5-a078-a40c-aa85-f9e923acb3b3</t>
  </si>
  <si>
    <t>68df6830-b227-a687-a86f-3cd794520050</t>
  </si>
  <si>
    <t>68dcd6f0-e1d7-af78-915f-6c3a57ff0691</t>
  </si>
  <si>
    <t>68dcd59c-03e0-a2df-86f0-1b5cbec32fc2</t>
  </si>
  <si>
    <t>68da2662-11a7-af22-be1a-d5417b62eeb5</t>
  </si>
  <si>
    <t>68be9bb8-fa6c-abf9-8eb0-4b66b30e6dd9</t>
  </si>
  <si>
    <t>6893411b-d178-a4e7-a640-861cc437c26b</t>
  </si>
  <si>
    <t>68934104-79b9-a029-900b-5dae3bd5607f</t>
  </si>
  <si>
    <t>689340e7-0871-a3f0-8a1b-0e68586eaa1b</t>
  </si>
  <si>
    <t>6844be0c-0f5b-a53b-a32a-d4b09cad9b19</t>
  </si>
  <si>
    <t>6836e82d-ef5e-acc2-a751-bd12747daf63</t>
  </si>
  <si>
    <t>6836e819-ba3e-ae61-8c63-2bc4820e037b</t>
  </si>
  <si>
    <t>680e8827-ee5f-aef8-8040-e635ec802c4c</t>
  </si>
  <si>
    <t>689676dd-5458-af19-8260-005ba6677071</t>
  </si>
  <si>
    <t>689b40bf-7c1c-afd7-9690-8d2ba5c507f3</t>
  </si>
  <si>
    <t>689a1eab-b9ec-a7a4-95fe-7930cff13d90</t>
  </si>
  <si>
    <t>6894dea5-ed0c-abf3-8fff-d198d318c243</t>
  </si>
  <si>
    <t>68904f19-e6eb-a937-84bd-bce615f62ce9</t>
  </si>
  <si>
    <t>688c6618-421a-abcb-abe8-b8bd6b29d74b</t>
  </si>
  <si>
    <t>6889b664-f584-a504-b8e0-d08b0d51e8c8</t>
  </si>
  <si>
    <t>687fa21d-fa63-aae2-a794-a021b375ee19</t>
  </si>
  <si>
    <t>687f5a71-a792-a811-b407-82e1eaddd207</t>
  </si>
  <si>
    <t>6878935e-ae34-a5a9-ae17-76873e0c96d5</t>
  </si>
  <si>
    <t>68728795-e4fe-a127-8ff1-4b6ff5d8b7c2</t>
  </si>
  <si>
    <t>6867b411-720c-a6ee-940f-60a589395fd9</t>
  </si>
  <si>
    <t>685e3614-980f-a18c-8bab-2924d504a415</t>
  </si>
  <si>
    <t>685499a8-aa9c-a5e8-a85f-b636268ce3db</t>
  </si>
  <si>
    <t>6829d6da-ab05-ab17-98e9-19e94b8a3a23</t>
  </si>
  <si>
    <t>68394bd1-88a9-a75c-b18e-754cdfea2503</t>
  </si>
  <si>
    <t>68106c3f-afc6-a2d9-878c-fe37379f1f1a</t>
  </si>
  <si>
    <t>6807349e-5646-a7ef-8b27-3ce0c176d078</t>
  </si>
  <si>
    <t>68aff5a0-6520-aeec-a4af-05c2515303d3</t>
  </si>
  <si>
    <t>693fb86f-99e3-a2fc-a7d6-09e589fdac99</t>
  </si>
  <si>
    <t>69367ca6-bfbb-abec-b4b3-061d040d6d2d</t>
  </si>
  <si>
    <t>691192eb-3129-a760-b623-c36c2272a749</t>
  </si>
  <si>
    <t>69085e42-268a-ae80-a411-b27f284d2b16</t>
  </si>
  <si>
    <t>68ec9a89-2b53-ac65-b1ce-5c668f72e5c4</t>
  </si>
  <si>
    <t>68e36005-debf-ae19-8167-0bdf9b9905b3</t>
  </si>
  <si>
    <t>68c7b145-b69d-ae05-b055-4e94ea6ba1d6</t>
  </si>
  <si>
    <t>68be7556-9108-a1a0-ba62-74588e9c87e7</t>
  </si>
  <si>
    <t>693fb6f4-d4a0-af93-b0f6-fb3424af3a43</t>
  </si>
  <si>
    <t>693fb6f3-bab9-ae82-9ef2-756a73b7d07c</t>
  </si>
  <si>
    <t>691accb5-fc60-a2cf-ae18-bf473bd84e3d</t>
  </si>
  <si>
    <t>68ef3be4-10de-a351-a2d7-7a570b9299e9</t>
  </si>
  <si>
    <t>68c7afc8-8178-a02c-ac86-745055581b84</t>
  </si>
  <si>
    <t>68168dd9-25f6-a78a-9c2b-623cec9ed4b8</t>
  </si>
  <si>
    <t>6812b5e0-cf8c-a6d2-b6d8-493ba43ad29b</t>
  </si>
  <si>
    <t>6812b571-02cc-a854-9998-264686468f5a</t>
  </si>
  <si>
    <t>68ede708-153b-a090-acaa-d2b73acfc265</t>
  </si>
  <si>
    <t>68c0a786-b67a-a16e-a10b-971ccff56b2c</t>
  </si>
  <si>
    <t>68c09891-ba7f-a7e0-806e-f4ea027a7a60</t>
  </si>
  <si>
    <t>68c097ee-f3c8-a19d-85e5-948b1f5712d4</t>
  </si>
  <si>
    <t>68c05b8f-525b-ab40-a34d-7eec8a5ad254</t>
  </si>
  <si>
    <t>68c05954-428e-a7cc-b1f2-8d5aae462924</t>
  </si>
  <si>
    <t>68c0561c-6e4b-a7fe-b9dc-1e093ae52456</t>
  </si>
  <si>
    <t>68c055a3-19c8-a65c-b2cb-7fabadfcd2de</t>
  </si>
  <si>
    <t>68c00a61-87de-abf7-8690-d36662780984</t>
  </si>
  <si>
    <t>68bcd2db-dfea-a033-a794-a2960acece12</t>
  </si>
  <si>
    <t>68bcd278-a2de-aee6-9693-dd376bd1b507</t>
  </si>
  <si>
    <t>68bcd198-3ad6-ac1d-ad2b-b9bc588562ba</t>
  </si>
  <si>
    <t>68bcd02d-e8a7-aadd-bbc9-e2144764f59f</t>
  </si>
  <si>
    <t>68bca956-17a4-a6d0-8e1b-0a817ae3c2bc</t>
  </si>
  <si>
    <t>68bb6253-35c7-aad7-9a46-a0947acf39d0</t>
  </si>
  <si>
    <t>68b9728f-0ace-a7cf-bef5-5a0d7d17f94f</t>
  </si>
  <si>
    <t>68b96e6a-c661-a5e9-9f22-892dc78e2250</t>
  </si>
  <si>
    <t>68b96d92-7f40-abb7-a0b9-d74a6029aea9</t>
  </si>
  <si>
    <t>68b88fb9-cc5a-a0e3-974c-3c3025e7bae2</t>
  </si>
  <si>
    <t>68b8807c-91c1-aad0-80e9-1445c8f647a1</t>
  </si>
  <si>
    <t>68b879f0-2c37-a3b9-8926-3c3117a52bf5</t>
  </si>
  <si>
    <t>68b8797f-2385-a7c9-89a3-780477bb4d20</t>
  </si>
  <si>
    <t>68b87308-6c0d-afa5-b4ff-3343f2b95c33</t>
  </si>
  <si>
    <t>68b84405-40a7-a344-9d5c-78cdb1da1682</t>
  </si>
  <si>
    <t>68b772f0-f90c-aacf-a0e4-d3aab5dbf1e2</t>
  </si>
  <si>
    <t>68b772a9-5b9f-a16c-a26a-f5c606d66087</t>
  </si>
  <si>
    <t>68b73ea0-7870-a693-b7df-2c7fe15eb00c</t>
  </si>
  <si>
    <t>68b5be1a-d6a9-a4b1-b6f1-edb19d9f9879</t>
  </si>
  <si>
    <t>68b08035-90bb-aa21-b828-eca6421db460</t>
  </si>
  <si>
    <t>68b0712a-a765-a5a7-81f3-940f3fbb92f7</t>
  </si>
  <si>
    <t>68b07114-9bac-afba-8a77-c2ceaae22857</t>
  </si>
  <si>
    <t>68af192e-1002-a577-a6eb-0a99735bcc29</t>
  </si>
  <si>
    <t>68af00cb-ec89-a3f1-b34f-c3af6ef8a77d</t>
  </si>
  <si>
    <t>68a9c938-cd24-ad7f-a78c-017778a219b9</t>
  </si>
  <si>
    <t>68a8f6ff-495f-adeb-9670-eb4dd91a35ac</t>
  </si>
  <si>
    <t>68a79dc5-f813-a8f7-8b5d-a4ff58daf1f1</t>
  </si>
  <si>
    <t>68a79d8b-42b3-adfd-b817-b337728cd6c2</t>
  </si>
  <si>
    <t>68a762e6-43b6-a14d-9e4b-6c14565fe7ad</t>
  </si>
  <si>
    <t>68a66d9f-3eba-a4a1-b39e-780dfd9f3de4</t>
  </si>
  <si>
    <t>68a5930f-32d9-ae82-bccb-7d954e680b1e</t>
  </si>
  <si>
    <t>68a513f4-62bd-ae37-a2c1-17dcef70f0d5</t>
  </si>
  <si>
    <t>68a4de4f-f30e-a1c0-8fb3-829186e649e1</t>
  </si>
  <si>
    <t>68a27541-0e68-a047-b73c-ab5ce4ec244b</t>
  </si>
  <si>
    <t>68a27366-852d-a57b-955c-076aa1373c3d</t>
  </si>
  <si>
    <t>68a12176-f758-a16b-a800-974ecd03ff99</t>
  </si>
  <si>
    <t>68a07743-91ed-a3ae-9b04-d3f09cc0fbe0</t>
  </si>
  <si>
    <t>6822fc12-47d9-ae4e-b7c3-7166e69eb4ae</t>
  </si>
  <si>
    <t>67f974ea-4b28-a4c7-8666-2c65a87d344e</t>
  </si>
  <si>
    <t>68f21f89-1c61-aeb3-a063-1d5c12fe36d6</t>
  </si>
  <si>
    <t>68bf0ad4-337b-ace0-87f7-99cef25b448f</t>
  </si>
  <si>
    <t>68bcd1e6-605c-acd9-8e1c-019bffe17a48</t>
  </si>
  <si>
    <t>683e907a-04fa-a82a-a8d0-2e12a6a9683b</t>
  </si>
  <si>
    <t>681b7849-b67d-a27f-b0ec-0f1df61a67fa</t>
  </si>
  <si>
    <t>68b6898c-9443-a2db-a7ce-635cc138ce52</t>
  </si>
  <si>
    <t>68cb06c1-9668-a1c5-9cad-9f645bfe2341</t>
  </si>
  <si>
    <t>68badff7-8398-adb3-9254-f46f1ea42adc</t>
  </si>
  <si>
    <t>67fff978-bae9-a5bf-9670-25612bd80c3b</t>
  </si>
  <si>
    <t>68f245c0-7424-af55-8bc6-de75b44b8e30</t>
  </si>
  <si>
    <t>68d6afba-2a3d-aa93-af9e-07b6bfd0fa94</t>
  </si>
  <si>
    <t>68af303a-df37-a18a-a08e-d8ca7508df9a</t>
  </si>
  <si>
    <t>68ac87c3-4e11-aae3-8757-a9ad57fd9b85</t>
  </si>
  <si>
    <t>68a594d6-f1e9-af4a-9888-eeea61743bf7</t>
  </si>
  <si>
    <t>68addbde-16c9-a72e-8a23-406105ab16bd</t>
  </si>
  <si>
    <t>69271132-6a33-a3c7-a09c-dc548ce36c16</t>
  </si>
  <si>
    <t>6802d038-4929-a6f0-b68d-d4d644a8ea88</t>
  </si>
  <si>
    <t>68066d05-ebf6-ab7f-9c8b-442f1f476875</t>
  </si>
  <si>
    <t>67ebcf38-9c77-a4f1-b2b0-126a0ae8a319</t>
  </si>
  <si>
    <t>6931e663-c980-a89b-a9d1-3fa5918b74cb</t>
  </si>
  <si>
    <t>68c1b035-a495-a1e6-a75d-d524b153b8b6</t>
  </si>
  <si>
    <t>6926a8f7-2645-addc-a1b5-09acfb3f7d51</t>
  </si>
  <si>
    <t>692615c4-6bff-a307-aeef-b042c6a6fcb6</t>
  </si>
  <si>
    <t>691641e4-c930-a6f6-ada8-bc2073a01d39</t>
  </si>
  <si>
    <t>68ff1eb3-d774-abae-bb36-eceaa4461867</t>
  </si>
  <si>
    <t>68d4dd4d-bd71-a253-8d7e-8e62faedf37f</t>
  </si>
  <si>
    <t>68c56985-4051-a19f-bf7f-d834ce8e0e11</t>
  </si>
  <si>
    <t>68b54edb-3acf-ae4e-9c99-a256c04c74bf</t>
  </si>
  <si>
    <t>68b54de4-cb69-acbf-928b-d87c3e89cf6f</t>
  </si>
  <si>
    <t>68aff60b-f5d8-ac3e-97a5-0dbe4732f45c</t>
  </si>
  <si>
    <t>68a6b85e-1be6-ac6e-93f8-a2cf5266b833</t>
  </si>
  <si>
    <t>MAN-20251218-182702-254660</t>
  </si>
  <si>
    <t>MANUAL</t>
  </si>
  <si>
    <t>Manual transaction added</t>
  </si>
  <si>
    <t>MAN-20251218-182828-217621</t>
  </si>
  <si>
    <t>MAN-20251218-182925-751844</t>
  </si>
  <si>
    <t>MAN-20251218-190325-132811</t>
  </si>
  <si>
    <t>MAN-20251218-190715-750089</t>
  </si>
  <si>
    <t>MAN-20251218-190822-094584</t>
  </si>
  <si>
    <t>MAN-20251218-190914-103911</t>
  </si>
  <si>
    <t>MAN-20251218-191048-750660</t>
  </si>
  <si>
    <t>MAN-20251218-191247-585612</t>
  </si>
  <si>
    <t>MAN-20251220-125834-336691</t>
  </si>
  <si>
    <t>MAN-20251228-020743-250741</t>
  </si>
  <si>
    <t>MAN-20260102-163400-904683</t>
  </si>
  <si>
    <t>1ST NATIONWIDE</t>
  </si>
  <si>
    <t>MAN-20260108-191211-065697</t>
  </si>
  <si>
    <t>67e8e4bc-72e4-afdf-bebd-4fbf038bfa66</t>
  </si>
  <si>
    <t>67e982be-3016-a080-bb60-5a97c6451734</t>
  </si>
  <si>
    <t>67e91bc1-718d-ad40-9b72-33c909f7c5a0</t>
  </si>
  <si>
    <t>67e95303-78ba-aad6-a72a-a053ccd4e9fc</t>
  </si>
  <si>
    <t>67e99697-fa66-adf9-a259-610f8cce1d97</t>
  </si>
  <si>
    <t>67e97a05-7320-a673-8a06-ad29aa06b755</t>
  </si>
  <si>
    <t>67e74791-9e2a-a482-ab2a-ca4fb6130267</t>
  </si>
  <si>
    <t>67e7e0ae-01d5-ae4a-abab-7531e0f9f171</t>
  </si>
  <si>
    <t>67e6b186-835a-a166-84fc-01ee96947fc5</t>
  </si>
  <si>
    <t>67e6d4c8-12c7-ae04-8463-6a8522675574</t>
  </si>
  <si>
    <t>67e6796d-753d-aa55-a662-30a76af9a42d</t>
  </si>
  <si>
    <t>67e6e637-6508-ad54-aa8c-b06b5de01f4a</t>
  </si>
  <si>
    <t>67e6431b-e40c-a9e5-a53f-267e283efd52</t>
  </si>
  <si>
    <t>67e7224d-a821-a74d-8003-846ee8be6454</t>
  </si>
  <si>
    <t>67e55f87-cbb2-aded-a656-5c284cbd803a</t>
  </si>
  <si>
    <t>67e51ab8-e0f4-a848-83c1-a00a94f06962</t>
  </si>
  <si>
    <t>67e47eeb-f607-af8b-a07e-c4e0218ce904</t>
  </si>
  <si>
    <t>67e33e1a-e2d4-a318-b6f7-ae2329d7209c</t>
  </si>
  <si>
    <t>67e3abef-e074-ad34-9e32-36731fd7d338</t>
  </si>
  <si>
    <t>67e29c47-c47f-a47a-8224-1c5659f2eb4a</t>
  </si>
  <si>
    <t>67e29a4d-a4ef-ae34-b9ad-0c78d7e77e19</t>
  </si>
  <si>
    <t>67e2a886-48b3-a679-9193-a551d2f5aba6</t>
  </si>
  <si>
    <t>67e2c222-4d72-a134-a25f-b12bcad3f413</t>
  </si>
  <si>
    <t>67e1ea6d-d1da-a678-aefd-d29bbfd40196</t>
  </si>
  <si>
    <t>67e28b16-a044-a639-822b-7861f00ef553</t>
  </si>
  <si>
    <t>67e0e0f9-a89b-a92b-98b1-f2b082ebc2ff</t>
  </si>
  <si>
    <t>67e02698-6f92-a278-92f9-73d9972e08a4</t>
  </si>
  <si>
    <t>67df7e13-ddc6-a7c6-837e-8a92ed1d0b8a</t>
  </si>
  <si>
    <t>67e0822b-8c78-af09-a2f7-f95cff339281</t>
  </si>
  <si>
    <t>67dea8f6-fcf9-a96a-8598-448b01d79be5</t>
  </si>
  <si>
    <t>67df2649-669c-a015-a3ab-029026633cba</t>
  </si>
  <si>
    <t>67deb02c-9746-aa43-b732-71665bf67917</t>
  </si>
  <si>
    <t>67df5907-0015-adb1-8339-2e5b32332fb8</t>
  </si>
  <si>
    <t>67df57fc-10d0-a112-9f14-e48080279715</t>
  </si>
  <si>
    <t>67df1687-1a0a-afbf-9a05-9bd051bf033d</t>
  </si>
  <si>
    <t>67dc6573-87bb-a42a-8fd4-6448518b78ba</t>
  </si>
  <si>
    <t>67dbd16c-a11e-a576-a5e9-ccdab9fdb1d2</t>
  </si>
  <si>
    <t>67dc8a8b-dd2b-aed5-b4f9-b671e65c4cdd</t>
  </si>
  <si>
    <t>67dbe98c-17eb-a765-b031-7f34afbabe89</t>
  </si>
  <si>
    <t>67dbe152-2b68-a301-9621-3605ba62e910</t>
  </si>
  <si>
    <t>67dc45ae-49f7-ad04-9243-68430f5ead95</t>
  </si>
  <si>
    <t>67dcb515-8bb6-a649-9502-5014626be5ea</t>
  </si>
  <si>
    <t>67dc8454-b3b6-abe0-8405-a3201af77cfc</t>
  </si>
  <si>
    <t>67dc5bec-720b-a9ba-bc58-85725a250664</t>
  </si>
  <si>
    <t>67dbf408-f1d7-a076-9a56-349313b797fb</t>
  </si>
  <si>
    <t>67db19a2-7f1d-acf0-adf2-3afa9516fe59</t>
  </si>
  <si>
    <t>67daec7a-a159-a0bf-9284-4202dc019a7d</t>
  </si>
  <si>
    <t>67da6ec4-48a5-afa6-8daa-75a70a7e756f</t>
  </si>
  <si>
    <t>67dab2c1-c0e8-a4d6-b604-b85b1ca93ab1</t>
  </si>
  <si>
    <t>67d99356-0ab0-a563-a266-fd87d9b4bdc4</t>
  </si>
  <si>
    <t>67d9de7e-d7ee-af01-af2a-9a669952a97d</t>
  </si>
  <si>
    <t>67da5238-7131-a80b-96fb-0055ee63893e</t>
  </si>
  <si>
    <t>67da4b17-5600-a423-9202-8598796ace0b</t>
  </si>
  <si>
    <t>67d9929d-2c67-a3b9-b80c-8b3fa8bf24d6</t>
  </si>
  <si>
    <t>67d84fa2-e48d-a2d9-97b9-04418f3080c5</t>
  </si>
  <si>
    <t>67d767d0-10b0-a486-99d2-ede2028e5210</t>
  </si>
  <si>
    <t>67d76816-84e7-a29f-bbba-c5aef8a8df56</t>
  </si>
  <si>
    <t>67d7b4eb-0af5-a24f-8c89-fd940a107e99</t>
  </si>
  <si>
    <t>67d7b118-d806-a6b3-bcdf-a0a0233c99de</t>
  </si>
  <si>
    <t>67d672f9-4131-a582-a577-8c7b7576c3f4</t>
  </si>
  <si>
    <t>67d6d0fc-ccdf-a358-ada3-d9de1ce2f481</t>
  </si>
  <si>
    <t>67d6ca58-3e4a-a6dc-85fe-f8ccabf9008c</t>
  </si>
  <si>
    <t>67d56e75-11bf-afd1-b8e0-cbab9842930c</t>
  </si>
  <si>
    <t>67d5dd57-93f1-ae7b-a448-1233f0a9dc8f</t>
  </si>
  <si>
    <t>67d56533-6217-a6ec-9ba6-b2d22599cec6</t>
  </si>
  <si>
    <t>67d5c258-6a8c-afd6-ad6e-15cb0f33de49</t>
  </si>
  <si>
    <t>67d4cb6b-2331-a233-95f0-6b44920452c7</t>
  </si>
  <si>
    <t>67d5a107-cc57-a831-925a-724f3d7e084f</t>
  </si>
  <si>
    <t>67d5f446-ce5a-a321-9a5a-113f13a37cf1</t>
  </si>
  <si>
    <t>67d47549-15df-a39d-9115-698e73c7ad49</t>
  </si>
  <si>
    <t>67d3faf5-19b7-aa84-9bf1-0721909bc9ff</t>
  </si>
  <si>
    <t>67d49383-f2a7-abbd-8c2b-529417e5f25c</t>
  </si>
  <si>
    <t>67d402f0-12b3-a31e-8f4d-0a99f269cae3</t>
  </si>
  <si>
    <t>67d39d6b-196c-a6d8-afca-2851f5b37e30</t>
  </si>
  <si>
    <t>67d3aba8-51aa-afb2-8c57-5a8c7aaf302e</t>
  </si>
  <si>
    <t>67d34a78-cdad-a909-b7a7-f47ec482ce98</t>
  </si>
  <si>
    <t>67d27d7d-97ae-aa96-95a0-e0db13d841db</t>
  </si>
  <si>
    <t>67d34891-1bd7-acb1-b8b4-2f5f2df6dabe</t>
  </si>
  <si>
    <t>67d3453e-bc73-ab91-9c94-8ebc00da6ca7</t>
  </si>
  <si>
    <t>67d2cb1a-95ce-a504-b80d-02be58d1ba06</t>
  </si>
  <si>
    <t>67d33de4-8071-a8fc-a8d6-321ae8c12d6f</t>
  </si>
  <si>
    <t>67d2d83d-4b50-ad19-9206-e42d04fa6b45</t>
  </si>
  <si>
    <t>67d1e613-f937-a53d-a657-f08d2695f66e</t>
  </si>
  <si>
    <t>67d198d6-41e4-a381-be36-a04c91e3c420</t>
  </si>
  <si>
    <t>67d00d61-395f-ac41-8909-74072a9cd37a</t>
  </si>
  <si>
    <t>67d0a2b7-bf72-a6db-8ce4-ea60b3579384</t>
  </si>
  <si>
    <t>67d071cb-21d8-a77d-b67a-ccba8b767afa</t>
  </si>
  <si>
    <t>67cfe1af-e6bf-a7d0-a9b7-3590bc25627b</t>
  </si>
  <si>
    <t>67cff2ef-95f7-a617-acf1-d630a09d7c7b</t>
  </si>
  <si>
    <t>67cfcb1c-e746-a6ff-acd2-6a5181d0267e</t>
  </si>
  <si>
    <t>67ceea65-fd22-a28c-9a87-5697e556d3c4</t>
  </si>
  <si>
    <t>67cf3de5-3500-a1ee-955c-575a614334e2</t>
  </si>
  <si>
    <t>67cf10e9-af31-a3dc-954d-cd5d37f13cbb</t>
  </si>
  <si>
    <t>67cef8ef-beb7-a9d2-a94e-c1c3d949a886</t>
  </si>
  <si>
    <t>67cdbd58-0f86-a544-bdb6-48b5a528523d</t>
  </si>
  <si>
    <t>67ce11c6-d8e6-af38-a45d-424de89f8f7b</t>
  </si>
  <si>
    <t>67ce1159-2552-ae8f-b368-461108472233</t>
  </si>
  <si>
    <t>67cc4469-2f0e-ad64-9341-cb2b72872cce</t>
  </si>
  <si>
    <t>67cc3b65-f9c1-ad4a-a278-1b071dee9d68</t>
  </si>
  <si>
    <t>67cc806c-d198-a9b1-87bb-59e0593196a5</t>
  </si>
  <si>
    <t>67cb8daf-a59f-acfe-af44-403943132f87</t>
  </si>
  <si>
    <t>67ccd184-53ea-a2f8-bc01-3980bc72297d</t>
  </si>
  <si>
    <t>67cb24be-0d69-a7bc-8cf6-4d99a630ee08</t>
  </si>
  <si>
    <t>67cadef6-34be-a374-a208-b86145856906</t>
  </si>
  <si>
    <t>67c963ef-08df-a550-b657-439e83a3ce5c</t>
  </si>
  <si>
    <t>67c92d28-945d-ac4c-bb6b-a9839dfb8084</t>
  </si>
  <si>
    <t>67c9da21-aab7-ab82-a954-40d6d450dc58</t>
  </si>
  <si>
    <t>67c9e6b9-dfef-abf1-8055-34875331de55</t>
  </si>
  <si>
    <t>67c7e9c7-10db-abbf-b7ea-fabe2db8f6e0</t>
  </si>
  <si>
    <t>67c84506-3a97-ae06-a5bd-60241410468a</t>
  </si>
  <si>
    <t>67c845bd-f753-a249-9e6f-f4b010e8e231</t>
  </si>
  <si>
    <t>67c7596f-7440-a100-b106-cac757e25d69</t>
  </si>
  <si>
    <t>67c74c27-a0bf-ab56-8c40-f0566795a874</t>
  </si>
  <si>
    <t>67c6e763-961b-af35-8532-63667c184064</t>
  </si>
  <si>
    <t>67befae5-dbd3-ae4e-9221-89a5a36dcc25</t>
  </si>
  <si>
    <t>67c404bf-8d21-ae19-a25c-d7ff2ab55657</t>
  </si>
  <si>
    <t>67c37744-3ca3-a2c1-91a2-4a0b429d3818</t>
  </si>
  <si>
    <t>67c36d8c-6377-a2c3-bfeb-60d7c6e82a94</t>
  </si>
  <si>
    <t>67c3602f-19a0-a396-a7fc-df24a527cf54</t>
  </si>
  <si>
    <t>67c35e99-391c-a0d7-90c3-52328ba8307f</t>
  </si>
  <si>
    <t>67c35e66-5a19-ac74-ab65-f513aecb3749</t>
  </si>
  <si>
    <t>67c2541c-b480-a8ca-8745-7875e5663a54</t>
  </si>
  <si>
    <t>67c253fa-d038-ac8e-b62d-82b9ca025be4</t>
  </si>
  <si>
    <t>67c0a42d-3bf7-aeb2-88b3-9f5e95dd5996</t>
  </si>
  <si>
    <t>67c1a037-83cd-aeb5-b414-1abbc1f7d2ae</t>
  </si>
  <si>
    <t>67c083dd-80c0-aba3-b322-8edc385525e6</t>
  </si>
  <si>
    <t>67c0f016-51a2-a1c5-af8c-5ed60651b604</t>
  </si>
  <si>
    <t>67bfec16-dbcd-a931-bcda-56b855d922a2</t>
  </si>
  <si>
    <t>67c0a2a8-dbdf-af97-8b8a-da5cee48748f</t>
  </si>
  <si>
    <t>67bfad67-606f-a8ba-9311-cd759dbf31e8</t>
  </si>
  <si>
    <t>67c098c0-194d-a369-a73a-5f6966e85956</t>
  </si>
  <si>
    <t>67bee59e-a349-aa28-b123-1107fc5c68d0</t>
  </si>
  <si>
    <t>67beda4f-8e72-a2b3-8cff-32acff75b6c1</t>
  </si>
  <si>
    <t>67bebb03-c574-a114-b77c-b42b2f4a6559</t>
  </si>
  <si>
    <t>67be0274-31ab-abd7-97ec-627d9de3813e</t>
  </si>
  <si>
    <t>67bef3b5-9b0e-af8a-8a7a-9a607f413d2a</t>
  </si>
  <si>
    <t>67bef1e2-cbb1-a2c2-ba2a-31476fadf965</t>
  </si>
  <si>
    <t>67beea70-daad-a3cc-b48b-a016549b790e</t>
  </si>
  <si>
    <t>67bda664-c9b7-a1f0-9771-d277baf89dcd</t>
  </si>
  <si>
    <t>67bda54d-08fd-a63d-bbf5-629790b0a379</t>
  </si>
  <si>
    <t>67be00ba-6b4c-a8fa-98d5-cc09ca544001</t>
  </si>
  <si>
    <t>67bd7652-30f3-a764-a57d-1d74acf1b021</t>
  </si>
  <si>
    <t>67be1651-7a23-adbe-9b8f-fe306e63bb1b</t>
  </si>
  <si>
    <t>67be33e6-4f2f-a48e-b2cf-4985fe80d376</t>
  </si>
  <si>
    <t>67bd2162-92ae-a1e2-9599-ef043c2ba563</t>
  </si>
  <si>
    <t>67bafb92-7843-a920-86e0-2d4f16a4a436</t>
  </si>
  <si>
    <t>67bb94d5-b5bb-a2a5-b7b1-0f24cd6747d0</t>
  </si>
  <si>
    <t>67bb9186-022f-a18f-97e7-7e3c3a9249d6</t>
  </si>
  <si>
    <t>67bb2021-a2bd-aea5-85b0-1d0f3eea5e56</t>
  </si>
  <si>
    <t>67bb1609-1d1f-a59b-9f2f-76a9b9fd9902</t>
  </si>
  <si>
    <t>67bb30d8-6365-ad0f-97e5-4a2be9b16ec9</t>
  </si>
  <si>
    <t>67b9d495-9c9f-a08f-a7dc-be2dca43ebad</t>
  </si>
  <si>
    <t>67b97cc3-2750-a03a-8fa5-e7294aa9f668</t>
  </si>
  <si>
    <t>67ba1560-d9ad-acd0-95d9-7d5025ef734b</t>
  </si>
  <si>
    <t>67b9ff51-3603-a631-a5df-ef4f4ff8a143</t>
  </si>
  <si>
    <t>67b909aa-97f5-a9fa-bc07-00c654df607c</t>
  </si>
  <si>
    <t>67b864c7-c600-abbf-9eec-8d78481004d3</t>
  </si>
  <si>
    <t>67b86379-fae8-abee-ab12-6c7102824c23</t>
  </si>
  <si>
    <t>67b7a3da-6594-a025-bd49-9b10a113598b</t>
  </si>
  <si>
    <t>67b79ad2-5b8f-a770-9962-8398652f1e5a</t>
  </si>
  <si>
    <t>67b859d2-f6bb-a50a-9b4d-dda465923e69</t>
  </si>
  <si>
    <t>67b77118-02c2-ac6b-8ad7-dcf95e6ad0fb</t>
  </si>
  <si>
    <t>67b75c98-86a0-af98-b167-91e6ce71d097</t>
  </si>
  <si>
    <t>67b758ce-ac67-a762-a683-8effb7fe664f</t>
  </si>
  <si>
    <t>67b5508f-cbc5-a85b-b384-faad4f97cfed</t>
  </si>
  <si>
    <t>67b62466-632e-af3c-b83e-b231d7bfa5af</t>
  </si>
  <si>
    <t>67b662ca-60f5-ac8a-8b9a-72db6e434dbc</t>
  </si>
  <si>
    <t>67b60cd0-9566-acb4-9854-16910fc3d550</t>
  </si>
  <si>
    <t>67b6099a-7bec-af78-b481-6aaea7f0b60f</t>
  </si>
  <si>
    <t>67b607f5-4466-aa88-9165-848c00feb26a</t>
  </si>
  <si>
    <t>67b6653e-b53c-a410-a5f8-807477701b93</t>
  </si>
  <si>
    <t>67b64e3c-119c-a23b-8c72-e2489a4cfcfc</t>
  </si>
  <si>
    <t>67b64b0b-0e2d-aa2d-ac93-4d212110d72d</t>
  </si>
  <si>
    <t>67b64acc-58b5-a06b-ab83-43eff75e56c6</t>
  </si>
  <si>
    <t>67b4f85c-018b-a611-a89c-98899d41963d</t>
  </si>
  <si>
    <t>67b46b2a-27b3-a48a-a543-86ff5652e1d8</t>
  </si>
  <si>
    <t>67b4db87-6fbb-a5e2-b88b-5d7a70ab325d</t>
  </si>
  <si>
    <t>67b4d1e4-514e-add5-a3c0-4b890616edc7</t>
  </si>
  <si>
    <t>67b478cd-e4d5-ac12-b8eb-118f11764db8</t>
  </si>
  <si>
    <t>67b47932-c47a-a16e-876d-2b7c4ac9ad1d</t>
  </si>
  <si>
    <t>67b4a37b-303b-ad3e-a5ba-ac92626164a9</t>
  </si>
  <si>
    <t>67b4c872-b969-a43a-a291-5f63e74ada08</t>
  </si>
  <si>
    <t>67b4c823-8fc9-a8d9-9da2-88df8aa33933</t>
  </si>
  <si>
    <t>67b4a4fe-a1c6-a238-acbc-b9bff23161a4</t>
  </si>
  <si>
    <t>67b4914b-d4a8-a287-91a4-f41093097d6c</t>
  </si>
  <si>
    <t>67b380e5-aa8a-a315-84ae-1aa0b4651972</t>
  </si>
  <si>
    <t>67b38015-72cf-a1d5-817e-ec52630a2217</t>
  </si>
  <si>
    <t>67b394fe-feee-a2f5-ad6b-3adf9a1b08cf</t>
  </si>
  <si>
    <t>67b30333-819b-ad37-93b6-26b16ba400ee</t>
  </si>
  <si>
    <t>67b301be-d22b-ace4-a2e7-56736591433e</t>
  </si>
  <si>
    <t>67b3359c-441f-a1c9-bb9b-ddd5dc048474</t>
  </si>
  <si>
    <t>67b47a44-c4fc-a9f1-ad59-35b2c8f42727</t>
  </si>
  <si>
    <t>67b478a4-15f0-afb0-ab62-1c2107b2e6a6</t>
  </si>
  <si>
    <t>67b31844-3372-a819-a5b5-23c12d8eeb2d</t>
  </si>
  <si>
    <t>67b3646c-4b36-a949-af5c-552ccfe9ef49</t>
  </si>
  <si>
    <t>67b34fca-e02f-ac08-95c5-bc0e516f4d40</t>
  </si>
  <si>
    <t>67b28f2d-cdbf-a26f-b187-52399d15a57a</t>
  </si>
  <si>
    <t>67af7b9e-e56f-a112-9df3-78313fcdb35a</t>
  </si>
  <si>
    <t>67b1de94-d041-a67f-afa4-ac9515bff4ff</t>
  </si>
  <si>
    <t>67b167f3-b7a8-a1d0-82e1-e173f8a2b0ff</t>
  </si>
  <si>
    <t>67b16122-1489-aac8-a355-67cb9e432df6</t>
  </si>
  <si>
    <t>67b11476-d6d4-a522-9964-2851a0c9eef8</t>
  </si>
  <si>
    <t>67b0b90b-3db1-a17d-873e-be0f33f59624</t>
  </si>
  <si>
    <t>67b0f16c-1cbf-a4e1-aa5f-44a118841c5c</t>
  </si>
  <si>
    <t>67b0bfbf-2f19-a724-a27a-7b797578ae47</t>
  </si>
  <si>
    <t>67b0bfbd-e121-a4be-9269-4abd00c3f4d8</t>
  </si>
  <si>
    <t>67b0fad5-615d-ac2e-bb9e-32766f69a79f</t>
  </si>
  <si>
    <t>67b088bb-7e53-aee0-8dd1-f8356e48659d</t>
  </si>
  <si>
    <t>67af638f-1376-a9ca-92c4-bda3c9908afa</t>
  </si>
  <si>
    <t>67af9c00-ea31-a46e-be0c-54c6b4ca9b6c</t>
  </si>
  <si>
    <t>67af821f-5abb-a90f-b066-e9155642387c</t>
  </si>
  <si>
    <t>67af9b49-8967-af77-b57e-011004b52a82</t>
  </si>
  <si>
    <t>67af9dbc-dfca-aaa1-8cc1-75d8e46bf285</t>
  </si>
  <si>
    <t>67afa406-ec4a-af11-8bf9-25a899f61656</t>
  </si>
  <si>
    <t>67addbe8-1a85-a017-875f-87355af06c6a</t>
  </si>
  <si>
    <t>67ae433e-9ca9-a9d9-b632-d35ba12a53c8</t>
  </si>
  <si>
    <t>67ae4340-11f1-ae24-8e8a-1757c8477a2d</t>
  </si>
  <si>
    <t>67ada0a5-3d5b-a864-9095-2252579fe751</t>
  </si>
  <si>
    <t>67af2e22-0a13-ac43-9291-1fefea4a1616</t>
  </si>
  <si>
    <t>67adfb4b-52ad-ae75-92f6-e14f02addb5e</t>
  </si>
  <si>
    <t>67ae5469-6f46-ae81-b2fe-2c661dd8ced3</t>
  </si>
  <si>
    <t>67ad04a9-6d4a-a717-a340-6f427f073811</t>
  </si>
  <si>
    <t>67adfa62-8d5f-a6b4-bdd4-785dcdd1aeac</t>
  </si>
  <si>
    <t>67adf93a-e31f-af65-b55e-7cf15c0efcb1</t>
  </si>
  <si>
    <t>67ac95f0-cd51-ac4e-a332-979bc9056774</t>
  </si>
  <si>
    <t>67aa2151-a8dc-a67c-98f8-dcae5ca79d72</t>
  </si>
  <si>
    <t>67a74b34-d6fa-ab80-9e6b-9e7d201346e5</t>
  </si>
  <si>
    <t>67dca40f-83a4-a308-aae6-14e01e890c6d</t>
  </si>
  <si>
    <t>67afa435-9f33-a428-a1e5-d46e8e2044bf</t>
  </si>
  <si>
    <t>67af2e43-fb7b-a993-9125-6fb3e3ce344c</t>
  </si>
  <si>
    <t>67ae84bd-d116-ab9b-ae83-54b68c4ea2df</t>
  </si>
  <si>
    <t>67ae5542-a171-a5e0-9de1-56d5cf667ab8</t>
  </si>
  <si>
    <t>67ea820c-4d3e-ad9b-b6c7-41ea41984b7b</t>
  </si>
  <si>
    <t>67dfff07-33b7-a762-b562-8909968f5e39</t>
  </si>
  <si>
    <t>67d6aa63-08a4-a88b-a080-46aa43eb0afe</t>
  </si>
  <si>
    <t>67ccf70d-f085-a7c2-ac20-a17da674866f</t>
  </si>
  <si>
    <t>67cccb76-a3cf-a9fd-b2be-1e4ddd709367</t>
  </si>
  <si>
    <t>67be133b-d1c9-af3e-9a08-3cf585989dbe</t>
  </si>
  <si>
    <t>67b93bc8-0c7c-a308-a4bd-2851eec73b52</t>
  </si>
  <si>
    <t>67e06a63-67ea-a1c8-a522-103f4c931b51</t>
  </si>
  <si>
    <t>67d81cda-e941-a11b-b52b-21fd7f32d56e</t>
  </si>
  <si>
    <t>67d0eee5-3807-a8e6-a3aa-7f5a6fab1746</t>
  </si>
  <si>
    <t>67ce1bda-39af-ad3d-8f03-24840b79a3a8</t>
  </si>
  <si>
    <t>67b2f7c0-16d7-a431-9647-092398a7ff02</t>
  </si>
  <si>
    <t>67d59258-79f4-a174-88a2-ac3291f8b250</t>
  </si>
  <si>
    <t>67c25494-d945-a762-8da0-7972b75ba3ae</t>
  </si>
  <si>
    <t>67b672d8-9a6a-a19a-8b6f-870e4b985e2a</t>
  </si>
  <si>
    <t>67bc1ae8-4117-af4a-812a-ba14b8067507</t>
  </si>
  <si>
    <t>67bc1aea-c956-a0ba-872e-53ab0de34407</t>
  </si>
  <si>
    <t>67e64af6-c50c-af8c-935d-73c8abb5358d</t>
  </si>
  <si>
    <t>67e5adab-36b7-a5ec-9f30-2486869e640a</t>
  </si>
  <si>
    <t>67e1e812-3072-a80a-a3c0-ac66bd3ff755</t>
  </si>
  <si>
    <t>67df0cc4-d103-aa6e-8127-85c138ee81a0</t>
  </si>
  <si>
    <t>67dc0b6e-139f-a59d-818f-fd516f181337</t>
  </si>
  <si>
    <t>67db5f87-dd78-a486-a17d-20f4f1f9ae02</t>
  </si>
  <si>
    <t>67db5f73-c2e8-a248-8ade-2f09f8613cb8</t>
  </si>
  <si>
    <t>67d0f06b-4a0f-a526-a456-41db528b39e8</t>
  </si>
  <si>
    <t>67d0ef04-4091-abfe-9dac-defc5bc7a121</t>
  </si>
  <si>
    <t>67d0e444-ecf8-aa8c-bd57-6725447610f3</t>
  </si>
  <si>
    <t>67c36054-5d68-ab3f-953d-31ca7c14d728</t>
  </si>
  <si>
    <t>67b5ba19-0bf5-a285-b465-a9f5b8913eab</t>
  </si>
  <si>
    <t>67b5b6a3-cf84-aa8c-aa2b-b15c857739c4</t>
  </si>
  <si>
    <t>67b5221c-7f02-a91a-a65b-b2c1283d4a6d</t>
  </si>
  <si>
    <t>67af27bc-bc81-a1dc-b534-691400f82ede</t>
  </si>
  <si>
    <t>67ae49e8-87cf-aa23-a31c-32fdc709ec56</t>
  </si>
  <si>
    <t>67ae32cc-b122-a5f8-80f5-12b058a525a4</t>
  </si>
  <si>
    <t>67ae30f3-703a-a90f-8ee2-5af83b3a92bb</t>
  </si>
  <si>
    <t>67a9e81a-3771-a18c-b1ef-6d951078fa7d</t>
  </si>
  <si>
    <t>67dec0b2-6f5d-a7a2-ba3c-2e26fb9b5d9a</t>
  </si>
  <si>
    <t>67df583b-612f-a5f5-859b-35426c314ca3</t>
  </si>
  <si>
    <t>67dca8ab-a970-a56d-adc8-76539ce7e37e</t>
  </si>
  <si>
    <t>67d8f562-54ae-ae07-94ec-d3be8c07b233</t>
  </si>
  <si>
    <t>67cef40f-fe6b-a750-be92-a5b26cab272c</t>
  </si>
  <si>
    <t>67c35f2c-7929-ae5f-8f07-a8ca223b7eea</t>
  </si>
  <si>
    <t>67adc7d8-bbb2-a9fb-b699-f4ddac7f4e79</t>
  </si>
  <si>
    <t>69554eb8-df01-a85b-88e5-1935eb5a84cd</t>
  </si>
  <si>
    <t>6953d8d3-8569-a32d-8647-58449b10f57f</t>
  </si>
  <si>
    <t>69514eb9-c103-a4fa-a30f-c124eceec319</t>
  </si>
  <si>
    <t>69509d76-34e9-a972-8f02-0bb82b20edd6</t>
  </si>
  <si>
    <t>6951980f-bc11-a1c6-b3bb-57cafafa8c02</t>
  </si>
  <si>
    <t>69501b8a-8cb6-a739-8890-1ffe1fd61f8b</t>
  </si>
  <si>
    <t>69501682-7ca2-a779-87c6-f3559fa73bd4</t>
  </si>
  <si>
    <t>694f1cb6-3acf-abfa-afd2-d235dd90ec27</t>
  </si>
  <si>
    <t>694f9722-f711-a2a1-ad43-9bbbebb6b3bf</t>
  </si>
  <si>
    <t>694daa91-ecff-a5f3-8cc5-a2fd84ead256</t>
  </si>
  <si>
    <t>694ca9f5-b53c-af9c-a14a-a63584900d3e</t>
  </si>
  <si>
    <t>694cb352-85d5-a97d-8512-000f8e1e7901</t>
  </si>
  <si>
    <t>694d154e-9793-a697-ba90-838d64b02fde</t>
  </si>
  <si>
    <t>694b9834-936b-a63d-8e68-d4eaa6f2b8f8</t>
  </si>
  <si>
    <t>694b6b6c-d384-a77c-b57a-dcf6b36e24f7</t>
  </si>
  <si>
    <t>694bf110-9059-a6c9-8572-c1ee833f970a</t>
  </si>
  <si>
    <t>694a8868-9bca-a762-ab09-0fb00240cb16</t>
  </si>
  <si>
    <t>694a914d-f7e8-a7ab-ac8c-7e2415f4208c</t>
  </si>
  <si>
    <t>694aa5df-e2a9-a66a-a6b1-09374ecc6d61</t>
  </si>
  <si>
    <t>694932a6-5f7b-ad13-85c8-0fb2a819edf7</t>
  </si>
  <si>
    <t>69499b20-28aa-abcf-b467-11f97968c9d0</t>
  </si>
  <si>
    <t>69481d85-0121-abd0-a4aa-f3df26ce57b0</t>
  </si>
  <si>
    <t>694880ef-1856-a029-a059-eaefce6a33de</t>
  </si>
  <si>
    <t>69481341-0e63-a9ab-aea8-60e159c0cf14</t>
  </si>
  <si>
    <t>69473192-85f1-acea-b1f1-195c30b543a8</t>
  </si>
  <si>
    <t>69488f12-0155-a0ac-989e-977c9ccc2c15</t>
  </si>
  <si>
    <t>6945c8b0-e3a3-aa00-ad4c-e8d507db4746</t>
  </si>
  <si>
    <t>6945ffa9-715c-a247-bc55-f41e10e9fe64</t>
  </si>
  <si>
    <t>6947307c-10ad-a36d-b3d5-78a24759dade</t>
  </si>
  <si>
    <t>694674dc-ad5c-a34b-9a97-be92620bd5a2</t>
  </si>
  <si>
    <t>69452082-05c8-a74b-ac57-99f253516050</t>
  </si>
  <si>
    <t>6944ca7d-e8dd-a814-a6ae-8f991092a68c</t>
  </si>
  <si>
    <t>69457e88-46ab-acea-9d8b-9f6881b8109a</t>
  </si>
  <si>
    <t>694431ad-be52-a3d1-a235-2e0926ad2477</t>
  </si>
  <si>
    <t>694463dd-e876-ad9c-a23d-442ffadeda03</t>
  </si>
  <si>
    <t>69446777-11b3-ac62-bffa-517f1373cec7</t>
  </si>
  <si>
    <t>69428087-54b4-a5bf-887f-117e91851f2e</t>
  </si>
  <si>
    <t>6941b6b0-4998-a816-8b56-64f76346b877</t>
  </si>
  <si>
    <t>694b90ed-a565-a020-adfc-c84e36c0697f</t>
  </si>
  <si>
    <t>MAN-20260109-004555-239551</t>
  </si>
  <si>
    <t>MAN-20260219-133941-487205</t>
  </si>
  <si>
    <t>MAN-20260219-135115-223621</t>
  </si>
  <si>
    <t>Money added from WALEED AHMED - weluxrevinvestment</t>
  </si>
  <si>
    <t>Money added from BLACKLANE GMBH - C727000733 01/2025</t>
  </si>
  <si>
    <t>Money added from WALEED AHMED - rev-faisal</t>
  </si>
  <si>
    <t>Money added from WALEED AHMED - Inv</t>
  </si>
  <si>
    <t>Money added from WALEED AHMED - imrsclass</t>
  </si>
  <si>
    <t>Money added from WALEED AHMED - vclasswaleed</t>
  </si>
  <si>
    <t>Money added from WALEED AHMED - ebaypart</t>
  </si>
  <si>
    <t>Money added from R SYMONS LTD - EQV paint</t>
  </si>
  <si>
    <t>Money added from WELUX CHAUFFEURS LTD - Weluxsumup</t>
  </si>
  <si>
    <t>Money added from WALEED AHMED - waleedrange</t>
  </si>
  <si>
    <t>Money added from ATIFA LTD - TripleAAAChauffeur</t>
  </si>
  <si>
    <t>Money added from ATIFA LTD - Insurance</t>
  </si>
  <si>
    <t>Money added from HARIS SERVICES LTD - Insurance</t>
  </si>
  <si>
    <t>Money added from DONKOR EA - VCLASS</t>
  </si>
  <si>
    <t>Money added from WALEED AHMED - loan return</t>
  </si>
  <si>
    <t>From INTEL FM LTD - Awais</t>
  </si>
  <si>
    <t>Money added from WELUX CHAUFF LTD - EXPENSE</t>
  </si>
  <si>
    <t>Money added from JUSKEVICIUS A - WX21VZN</t>
  </si>
  <si>
    <t>Money added from TEMI AIYEOLA - S class</t>
  </si>
  <si>
    <t>Money added from WALEED AHMED - loan</t>
  </si>
  <si>
    <t>Money added from WALEED AHMED - eqvhusn</t>
  </si>
  <si>
    <t>Money added from WALEED AHMED - nwz</t>
  </si>
  <si>
    <t>Money added from WALEED AHMED - fuel</t>
  </si>
  <si>
    <t>Money added from ATIFA LTD - TRIPLEAAACHAUFFEUR</t>
  </si>
  <si>
    <t>Money added from BLACKLANE GMBH - BLACKLANE 0225 C56</t>
  </si>
  <si>
    <t>Money added from WALEED AHMED - BROMLEY</t>
  </si>
  <si>
    <t>Money added from AGIS EXECUTIVE LTD T A LUXOR CARS - Wembley</t>
  </si>
  <si>
    <t>Money added from WALEED AHMED - iminv</t>
  </si>
  <si>
    <t>Money added from WALEED AHMED - yinka</t>
  </si>
  <si>
    <t>Money added from WORLD ENDS LTD - TRANSPORT SERVICE</t>
  </si>
  <si>
    <t>Money added from AL-SALEH AB - INV-29352</t>
  </si>
  <si>
    <t>Money added from WALEED AHMED - rashidreturn</t>
  </si>
  <si>
    <t>Money added from WALEED AHMED - imrsclassalex</t>
  </si>
  <si>
    <t>Money added from WALEED AHMED - expensepaid</t>
  </si>
  <si>
    <t>Money added from OMAR SAFIN KAMALADIN - From OK</t>
  </si>
  <si>
    <t>Money added from HARIS SERVICES LTD - Job payment</t>
  </si>
  <si>
    <t>Money added from N PAGARIYA - Booking for 6th</t>
  </si>
  <si>
    <t>Money added from WILLIAM IWOK ROMAN - wroman</t>
  </si>
  <si>
    <t>Money added from N PAGARIYA - BOOKING FOR 6TH</t>
  </si>
  <si>
    <t>Money added from IMRAN NIAZI - Sent from SumUp</t>
  </si>
  <si>
    <t>Money added from TARIQ M S - REFUND SAAD</t>
  </si>
  <si>
    <t>Money added from MACMILLAN CHAUFFEU - Kevan</t>
  </si>
  <si>
    <t>Money added from N PAGARIYA - BOOKING FOR 10TH</t>
  </si>
  <si>
    <t>Money added from CITIBANK IRE FIN S - BLACKLANE GMBH</t>
  </si>
  <si>
    <t>From OLAYINKA HAKEEM TINUBU - Drive</t>
  </si>
  <si>
    <t>Money added from TEYJARN YEBOAH - 18:30 tmr</t>
  </si>
  <si>
    <t>From CALEB JOSHUA BEDDOE - May 3rd</t>
  </si>
  <si>
    <t>Money added from N PAGARIYA - BOOKING FOR 9th</t>
  </si>
  <si>
    <t>Money added from MANNAN A M - MATIN</t>
  </si>
  <si>
    <t>Money added from RK CHAUFFEURS - Range Rover Rent</t>
  </si>
  <si>
    <t>Money added from BLACKLANE HAVN UK - BLACKLANE 04/25 C3</t>
  </si>
  <si>
    <t>Money added from SAHAL ABDI</t>
  </si>
  <si>
    <t>Money added from WELUX CHAUFFEURS LTD - Sent from SumUp</t>
  </si>
  <si>
    <t>Money added from AGIS EXECUTIVE LTD T A LUXOR CARS - Daventry 2</t>
  </si>
  <si>
    <t>Money added from MACMILLAN CHAUFFEU - jobs</t>
  </si>
  <si>
    <t>Money added from BORJAN CARS</t>
  </si>
  <si>
    <t>Money added from WELUX CHAUFFEURS LTD - Revolut</t>
  </si>
  <si>
    <t>Money added from AGIS EXECUTIVE LTD T A LUXOR CARS - Luton</t>
  </si>
  <si>
    <t>Money added from AL-SALEH AB - INV-29353 ( 600 TOTAL - 500 TO WALEED)</t>
  </si>
  <si>
    <t>From PHILIPPE CLERK MWAKI - Sent from Revolut</t>
  </si>
  <si>
    <t>Money added from N PAGARIYA</t>
  </si>
  <si>
    <t>Money added from GRILO D S - Car</t>
  </si>
  <si>
    <t>Money added from AZ LUXE LTD SW - AZL</t>
  </si>
  <si>
    <t>Money added from WELUX CHAUFFEURS LTD - Se1tostansted</t>
  </si>
  <si>
    <t>Money added from MACMILLAN CHAUFFEU - JOBS</t>
  </si>
  <si>
    <t>Money added from BLACKLANE HAVN UK - PYMT TYPEIAT3</t>
  </si>
  <si>
    <t>Money added from MONTCLARES INTERNA - INV-29358</t>
  </si>
  <si>
    <t>Money added from WELUX CHAUFFEURS LTD - ARMANGUPTAANDSE1jb</t>
  </si>
  <si>
    <t>Money added from MONTCLARES INTERNA - INV-29361</t>
  </si>
  <si>
    <t>Money added from WELUX CHAUFFEURS LTD - Madam basamA</t>
  </si>
  <si>
    <t>Money added from VINTAGE LUXURY CHAUFFEURS LONDON LTD - Sclassdeposit</t>
  </si>
  <si>
    <t>Money added from FIRST CLASS CHAUFF - Empire</t>
  </si>
  <si>
    <t>Money added from WELUX CHAUFFEURS LTD - S class deposit</t>
  </si>
  <si>
    <t>Money added from AGIS EXECUTIVE LTD T A LUXOR CARS - Gatwick Jobs</t>
  </si>
  <si>
    <t>From IMRAN ALI KHAN NIAZI - Raees</t>
  </si>
  <si>
    <t>Money added from WELUX CHAUFFEURS LTD - CanarywharfRange</t>
  </si>
  <si>
    <t>Money added from AGIS EXECUTIVE LTD T A LUXOR CARS - Euston job</t>
  </si>
  <si>
    <t>Money added from AGIS EXECUTIVE LTD T A LUXOR CARS - Jobs Payment</t>
  </si>
  <si>
    <t>Money added from AL AHRAM AGENCY FOR TRAVEL AND TOUR - Operating Expenses Operational Main tenance</t>
  </si>
  <si>
    <t>Money added from ZAZA 12 TRANSPORT LIMITED - sub contr</t>
  </si>
  <si>
    <t>Money added from WELUX CHAUFFEURS LTD - Madambasma</t>
  </si>
  <si>
    <t>Money added from BESPOKE LONDON CHA - Blc work</t>
  </si>
  <si>
    <t>Money added from M UPPAL - DR TAHA</t>
  </si>
  <si>
    <t>Money added from VINTAGE LUXURY CHAUFFEURS LONDON LTD - LoN return</t>
  </si>
  <si>
    <t>Money added from WALEED AHMED - williamcash</t>
  </si>
  <si>
    <t>Money added from WALEED AHMED - rangeuse</t>
  </si>
  <si>
    <t>Money added from MONTCLARES INTERNA - INV-29362</t>
  </si>
  <si>
    <t>Money added from WELUX CHAUFFEURS LTD - Madamhiba</t>
  </si>
  <si>
    <t>Money added from VIP CARRIAGE LTD - Vipcarriage</t>
  </si>
  <si>
    <t>Money added from BLACKLANE HAVN UK - BLACKLANE 06/25 C7</t>
  </si>
  <si>
    <t>Money added from WELUX CHAUFFEURS LTD - Bournmouth trip</t>
  </si>
  <si>
    <t>From OLUGBENGA J - Sent from Revolut</t>
  </si>
  <si>
    <t>From Imran N - Laura LHR transfer</t>
  </si>
  <si>
    <t>Money added from WELUX CHAUFFEURS LTD - Basmaphantomothers</t>
  </si>
  <si>
    <t>Money added from MONTCLARES INTERNA - INV-29364</t>
  </si>
  <si>
    <t>Money added from WELUX CHAUFFEURS LTD - Husnain</t>
  </si>
  <si>
    <t>From 88 TRANSPORT LTD - INV-29365</t>
  </si>
  <si>
    <t>Money added from WALEED AHMED - fred V class arlin</t>
  </si>
  <si>
    <t>Money added from TRANS LONDON LIMITED - Invoice 29366</t>
  </si>
  <si>
    <t>Money added from GOOGLE IRELAND - GG1042PPPA</t>
  </si>
  <si>
    <t>Money added from TRANS LONDON LIMITED - INVOICE 29367</t>
  </si>
  <si>
    <t>Money added from MUHAMMAD ZAMAN - NIAZ</t>
  </si>
  <si>
    <t>Money added from T YEBOAH</t>
  </si>
  <si>
    <t>Money added from BLACKLANE HAVN UK - BLACKLANE 07/25 C1</t>
  </si>
  <si>
    <t>Money added from CHIN K - NEW SHAPE S CLASS</t>
  </si>
  <si>
    <t>Money added from WELUX CHAUFFEURS LTD - Clyde and Range lh</t>
  </si>
  <si>
    <t>Money added from MONTCLARES INTERNA - INV-29370</t>
  </si>
  <si>
    <t>Money added from FAZAL AHMED</t>
  </si>
  <si>
    <t>From Neel P - Sent from Revolut</t>
  </si>
  <si>
    <t>From INTEL FM LTD - Awaisadmola</t>
  </si>
  <si>
    <t>Money added from OLUGB R O - Rental Car bill</t>
  </si>
  <si>
    <t>Money added from KETSIA KIALA - CHASE</t>
  </si>
  <si>
    <t>From Imran N - Kai</t>
  </si>
  <si>
    <t>Money added from OUNO APP LTD - 29368</t>
  </si>
  <si>
    <t>Money added from WELUX CHAUFFEURS LTD - Eliajob</t>
  </si>
  <si>
    <t>Money added from MONTCLARES INTERNA - INV-29374</t>
  </si>
  <si>
    <t>Money added from SILENCE AITKEN-TILL - Se1 7ay car</t>
  </si>
  <si>
    <t>Money added from WELUX CHAUFFEURS LTD - American client</t>
  </si>
  <si>
    <t>Money added from RAVICHANDR V - fromVanmathi</t>
  </si>
  <si>
    <t>Money added from DIMITRIOS CHRISTOV - Grozdan</t>
  </si>
  <si>
    <t>Money added from WALEED AHMED - HAFIZ RANGE AD HE</t>
  </si>
  <si>
    <t>Money added from BLACKLANE HAVN UK - BLACKLANE 08/25 C2</t>
  </si>
  <si>
    <t>From British Pound</t>
  </si>
  <si>
    <t>Money added from DCL CON SERV LTD - P24BLC</t>
  </si>
  <si>
    <t>Money added from WELUX CHAUFFEURS LTD - Husnain bhai paym</t>
  </si>
  <si>
    <t>Money added from YASIR S - EXP</t>
  </si>
  <si>
    <t>Money added from WELUX CHAUFFEURS LTD - Basma and qoudous</t>
  </si>
  <si>
    <t>Money added from A ALI</t>
  </si>
  <si>
    <t>Money added from MORRIS RF - RM</t>
  </si>
  <si>
    <t>Money added from WELUX CHAUFFEURS LTD - Phantom</t>
  </si>
  <si>
    <t>Money added from WELUX CHAUFFEURS LTD - Mr brian RR+Christ</t>
  </si>
  <si>
    <t>From Haven T - Chauffuer booking</t>
  </si>
  <si>
    <t>Money added from T LTD T/AS TRIP - TRIP ENROUTE</t>
  </si>
  <si>
    <t>Money added from WELUX CHAUFFEURS LTD - Christo</t>
  </si>
  <si>
    <t>Money added from WELUX CHAUFFEURS LTD - Phantomamdllg</t>
  </si>
  <si>
    <t>Money added from MONTCLARES INTERNA - INV-29378</t>
  </si>
  <si>
    <t>Money added from BLACKLANE HAVN UK - BLACKLANE 09/25 C6</t>
  </si>
  <si>
    <t>Money added from MONTCLARES INTERNA - INV-29381</t>
  </si>
  <si>
    <t>Money added from WELUX CHAUFFEURS LTD - LLG AND MS AYA</t>
  </si>
  <si>
    <t>Money added from MONTCLARES INTERNA - INV-29382</t>
  </si>
  <si>
    <t>From INTEL FM LTD - Investment</t>
  </si>
  <si>
    <t>Money added from SAMEER SHEIKH - Deposit Sameer She</t>
  </si>
  <si>
    <t>From Imran N - VC JOB FAISAL</t>
  </si>
  <si>
    <t>Money added from AK CHAUFFEUR - INVAKMU1</t>
  </si>
  <si>
    <t>From Imran N - Faisal AD VC</t>
  </si>
  <si>
    <t>Money added from BLACKLANE HAVN UK - BLACKLANE 10/25 C1</t>
  </si>
  <si>
    <t>Money added from THE PROFESSI - Tour london</t>
  </si>
  <si>
    <t>Money added from AGIS EXECUTIVE LTD T A LUXOR CARS - 551</t>
  </si>
  <si>
    <t>Money added from AGIS EXECUTIVE LTD T A LUXOR CARS - 5514</t>
  </si>
  <si>
    <t>From Devina P - Sent from Revolut</t>
  </si>
  <si>
    <t>From Salma Turki A - Sent from Revolut</t>
  </si>
  <si>
    <t>Money added from AK TRANSPORTATION SERVICES LTD - INVAKMU1</t>
  </si>
  <si>
    <t>Money added from WALEED AHMED - fred v</t>
  </si>
  <si>
    <t>Money added from WELUX CHAUFFEURS LTD - Sajil-Christo</t>
  </si>
  <si>
    <t>Money added from MONTCLARES INTERNA - INV-29385/2</t>
  </si>
  <si>
    <t>Money added from MONTCLARES INTERNA - INV-29385</t>
  </si>
  <si>
    <t>Money added from WELUX CHAUFFEURS LTD - CHRISTO &amp; Tomoaso</t>
  </si>
  <si>
    <t>Money added from WALEED AHMED - eclassCorny Chauf</t>
  </si>
  <si>
    <t>Money added from BLACKLANE HAVN UK - BLACKLANE 11/25 C5</t>
  </si>
  <si>
    <t>Money added from IMRAN NIAZI - Beee payment</t>
  </si>
  <si>
    <t>Money added from WELUX CHAUFFEURS LTD - Thomoasa and chris</t>
  </si>
  <si>
    <t>Money added from HEATHROW CARRIER LIMITED - HEATHROW CARRIER L</t>
  </si>
  <si>
    <t>########</t>
  </si>
  <si>
    <t>Money added from NIAZI IAK - INVE RTN T212</t>
  </si>
  <si>
    <t>Money added from VINTAGE LUXURY CHAUFFEURS LONDON LTD - 1stnat Farh</t>
  </si>
  <si>
    <t>Money added from WALEED AHMED - rashidinsurance</t>
  </si>
  <si>
    <t>Money added from EUI LIMITED - 980836</t>
  </si>
  <si>
    <t>Money added from WELUX CHAUFFEURS LTD - WaleedRANGE Bespok</t>
  </si>
  <si>
    <t>Money added from WELUX CHAUFFEURS LTD - MS FRSON</t>
  </si>
  <si>
    <t>Money added from THE PROFESSI - Mike Ad</t>
  </si>
  <si>
    <t>Money added from Z AKRAM - PAYMENT</t>
  </si>
  <si>
    <t>Money added from WALEED AHMED - Hena</t>
  </si>
  <si>
    <t>Money added from WALEED AHMED - range use</t>
  </si>
  <si>
    <t>Money added from HOWDEN UK BROKERS - INSURANCE REFUND</t>
  </si>
  <si>
    <t>Money added from Z AKRAM - Payment</t>
  </si>
  <si>
    <t>Money added from WELUX CHAUFFEURS LTD - Mad Hiba</t>
  </si>
  <si>
    <t>Money added from BLACKLANE HAVN UK - BLACKLANE 01/26 C2</t>
  </si>
  <si>
    <t>Money added from Z RASHID - accounts</t>
  </si>
  <si>
    <t>Money added from WELUX CHAUFFEURS LTD - Chrsisto</t>
  </si>
  <si>
    <t>Money added from WELUX CHAUFFEURS LTD - CHP</t>
  </si>
  <si>
    <t>Money added from FT LOGISTICS LTD. - Inv29396</t>
  </si>
  <si>
    <t>Money added from WELUX CHAUFFEURS LTD - Furguson</t>
  </si>
  <si>
    <t>Money added from WALEED AHMED - zaryab S Lgw</t>
  </si>
  <si>
    <t>Money added from MONTCLARES INTERNA - INV-29390</t>
  </si>
  <si>
    <t>Money added from DARREN PLANGE - WeluxService 28-02</t>
  </si>
  <si>
    <t>Money added from AHMED SALEM M - SALEM LOGO</t>
  </si>
  <si>
    <t>Money added from FT LOGISTICS LTD. - Inv29388</t>
  </si>
  <si>
    <t>Money added from BLACKLANE HAVN UK - BLACKLANE 12/25 C6</t>
  </si>
  <si>
    <t>To Andrei Alexandru Petroi - Ad</t>
  </si>
  <si>
    <t>To Waleed Ahmed - Yinka23-3</t>
  </si>
  <si>
    <t>To Bayram Aslan - Ad</t>
  </si>
  <si>
    <t>To Privilege Luxury Travel Ltd - AD</t>
  </si>
  <si>
    <t>To Andrei Alexandru Petroi - Ad 5-4-25</t>
  </si>
  <si>
    <t>To Executive Drive Ltd - Ad</t>
  </si>
  <si>
    <t>To Muhammad Tabasum khan - Ad</t>
  </si>
  <si>
    <t>To Meron Ghebregiorgis - Ad</t>
  </si>
  <si>
    <t>To Muhammad saad Tariq - AD</t>
  </si>
  <si>
    <t>To Amir Zeeshan - AD</t>
  </si>
  <si>
    <t>To Fida Mohammad Alakozai - Ad</t>
  </si>
  <si>
    <t>To Imran Niazi - CHAUFFEUR JOBS</t>
  </si>
  <si>
    <t>To Amir Zeeshan - Lhr</t>
  </si>
  <si>
    <t>To Aazed Syed - Lhr</t>
  </si>
  <si>
    <t>To Muhammad Ali - Serv</t>
  </si>
  <si>
    <t>To T Hussain - W12CANINGTWN</t>
  </si>
  <si>
    <t>To Waleed Ahmed - Faisal410on20-04</t>
  </si>
  <si>
    <t>To Muhammad Bilal - Ad</t>
  </si>
  <si>
    <t>To Hyde park luxury chauffeuring Ltd - W12</t>
  </si>
  <si>
    <t>To Boulous Kaadi - Lcy</t>
  </si>
  <si>
    <t>To Ghulam Khakwani - Cashforclnt</t>
  </si>
  <si>
    <t>To Huda Malik - Coatco</t>
  </si>
  <si>
    <t>To Benz chauffeur Ltd - Ad</t>
  </si>
  <si>
    <t>To Raees Khan - Lhr</t>
  </si>
  <si>
    <t>To Kinga Niedzinska - BLJOB</t>
  </si>
  <si>
    <t>To Meron Ghebregiorgis - Flowers</t>
  </si>
  <si>
    <t>To Meron Ghebregiorgis - Lhr</t>
  </si>
  <si>
    <t>To M D Uddin - Ad</t>
  </si>
  <si>
    <t>To Rizwan Iqbal - Lhr</t>
  </si>
  <si>
    <t>To Valeriu C Luca - Ad</t>
  </si>
  <si>
    <t>To Elena Beatrice Moga - STANS</t>
  </si>
  <si>
    <t>To Marius Duta - Lhr2transffer</t>
  </si>
  <si>
    <t>To Catalin ionut Arghire - Lhr</t>
  </si>
  <si>
    <t>To Kla chauffeurs - Lhr2jobs</t>
  </si>
  <si>
    <t>To M I Stefanita - LHR</t>
  </si>
  <si>
    <t>To Valeriu C Luca - Lhr</t>
  </si>
  <si>
    <t>To A Pc Fix Centre Ltd - Services</t>
  </si>
  <si>
    <t>To M D Uddin - Lgw</t>
  </si>
  <si>
    <t>To Raees Khan - Ad</t>
  </si>
  <si>
    <t>To Raees Khan - Lhrmontclares</t>
  </si>
  <si>
    <t>To Ansar Javed - BirmtoLDN</t>
  </si>
  <si>
    <t>To Comfort london cars ltd - Ad</t>
  </si>
  <si>
    <t>To Moazzam Qureshi - Adplusstansted</t>
  </si>
  <si>
    <t>To Asif Ali - June1charge</t>
  </si>
  <si>
    <t>To Imran Niazi - Husnain job</t>
  </si>
  <si>
    <t>To Aminul Haque - W12transf</t>
  </si>
  <si>
    <t>To Raees Khan - Ad14-6</t>
  </si>
  <si>
    <t>To M D Uddin - W12tomayfair</t>
  </si>
  <si>
    <t>To Mohammad Islam Ltd Trading As Llc Ltd - Gwagon</t>
  </si>
  <si>
    <t>To Semida Ghinea - ADPLUSTRANSFFER</t>
  </si>
  <si>
    <t>To Raees Khan - Sun Jun 15 2025 08:00:00 GMT+0100 (British Summer Time)</t>
  </si>
  <si>
    <t>To ABK INC LIMITED - Ad</t>
  </si>
  <si>
    <t>To Besmir Elezi - Ad15-6</t>
  </si>
  <si>
    <t>To Alexandru Tapelea - Lhr</t>
  </si>
  <si>
    <t>To Hafiz Raza - Servicesuntill18-6-25</t>
  </si>
  <si>
    <t>To Ivaylo Vakrilov Trading As E&amp;a Transport Services - Ad</t>
  </si>
  <si>
    <t>To M m Uddin - MSNAFFYLHR</t>
  </si>
  <si>
    <t>To Imran Rashid - Lhrjaylin</t>
  </si>
  <si>
    <t>To Asif Iqbal - WillAD21-6</t>
  </si>
  <si>
    <t>To Andrei Alexandru Petroi - Ad20-6</t>
  </si>
  <si>
    <t>To Mamdouh Tawadros - Ad20-6</t>
  </si>
  <si>
    <t>To Mohammed Aminul Hoque - Se1tolhr</t>
  </si>
  <si>
    <t>To Bilal Majeed - ADCANECLATION CHARGES</t>
  </si>
  <si>
    <t>To Abdulahi Faris - ADJAYLIN18-6</t>
  </si>
  <si>
    <t>To Ammar Mahfooz - ADHINKA22-6</t>
  </si>
  <si>
    <t>To Waleed Ahmed - KaiAD</t>
  </si>
  <si>
    <t>To Andrei Alexandru Petroi - Ad22-6</t>
  </si>
  <si>
    <t>To Raees Khan - 22-6 william job</t>
  </si>
  <si>
    <t>To Shahid Iqbal - Srv</t>
  </si>
  <si>
    <t>To Mohammad rajib Hossain - RM9Moyin</t>
  </si>
  <si>
    <t>To J Constantindis - 22/23-6-23</t>
  </si>
  <si>
    <t>To Besmir Elezi - Wed Jun 25 2025 08:00:00 GMT+0100 (British Summer Time)</t>
  </si>
  <si>
    <t>To Mazhar Qaisar Trading As Mb Chauffeur - 23-6 jobs</t>
  </si>
  <si>
    <t>To Kashif Jawaid - AG AD</t>
  </si>
  <si>
    <t>To Abdulahi Faris - AdMiyinplusEburyplusse5</t>
  </si>
  <si>
    <t>To Ikram Sheikh - AD30-6</t>
  </si>
  <si>
    <t>To M D Uddin - W12tomayfairandback24-6</t>
  </si>
  <si>
    <t>To Raees Khan - AD29-6</t>
  </si>
  <si>
    <t>To Ammar Al Alrajjal - Ad30-06-william</t>
  </si>
  <si>
    <t>To Zahid Achha - Services</t>
  </si>
  <si>
    <t>To Mamdouh Tawadros - Lhrtoe14</t>
  </si>
  <si>
    <t>To Imtiaz Uddin - AD3-7</t>
  </si>
  <si>
    <t>To RAJA Tariq - AD3-7</t>
  </si>
  <si>
    <t>To VIP PRIME LTD - 1-7lhr to mayfair</t>
  </si>
  <si>
    <t>To Mamdouh Tawadros - Toandbacklhr5-7</t>
  </si>
  <si>
    <t>To Imran Niazi - Madam aya</t>
  </si>
  <si>
    <t>To Julian Neziraj - Canceljob fee</t>
  </si>
  <si>
    <t>To Mamdouh Tawadros - Sun Jul 06 2025 08:00:00 GMT+0100 (British Summer Time)</t>
  </si>
  <si>
    <t>To Raees Khan - 2-7 lhr to Ebury</t>
  </si>
  <si>
    <t>To Rococo chauffeurs - 30-06niel</t>
  </si>
  <si>
    <t>To Mian Ali - JOB2-7-25</t>
  </si>
  <si>
    <t>To Hasana Tahir - AD1-7</t>
  </si>
  <si>
    <t>To Mohammad rajib Hossain - 28-6 william</t>
  </si>
  <si>
    <t>To Agha saqlain haider - LHR 9-7</t>
  </si>
  <si>
    <t>To Michael Rezk - Job5-7 william</t>
  </si>
  <si>
    <t>To Asif Ali - Wed Jul 02 2025 08:00:00 GMT+0100 (British Summer Time)</t>
  </si>
  <si>
    <t>To Michal Pszczola - Lhr11-7</t>
  </si>
  <si>
    <t>To Abdulahi Faris - AD 10-7</t>
  </si>
  <si>
    <t>To Meron Ghebregiorgis - AD 10-7</t>
  </si>
  <si>
    <t>To Mamdouh Tawadros - Fri Jul 11 2025 08:00:00 GMT+0100 (British Summer Time)</t>
  </si>
  <si>
    <t>To Mahmudur Rahman - Lhrtocomo</t>
  </si>
  <si>
    <t>To Muckshudul A Bhuiyan - 13-7 AD</t>
  </si>
  <si>
    <t>To Grosvenor Chauffeurs Ltd - 12-7 13-7 AD</t>
  </si>
  <si>
    <t>To Mamdouh Tawadros - 11-7- 12-7 13-7</t>
  </si>
  <si>
    <t>To Adytho Das - 13-7AD</t>
  </si>
  <si>
    <t>To Hassan Dawood - AD 11-7 &amp; 13-7</t>
  </si>
  <si>
    <t>To Muhammad Ayas - MONTCLRJOB</t>
  </si>
  <si>
    <t>To Muhammad Hamza Shaukat - AD14-7</t>
  </si>
  <si>
    <t>To Abdulahi Faris - TransffertoLHR&amp;AD15-7</t>
  </si>
  <si>
    <t>To Mohammad Taqweem Ahsan - AD13-7</t>
  </si>
  <si>
    <t>To Waleed Ahmed - Paidtovclassdriverfor15-7AD admola</t>
  </si>
  <si>
    <t>To Hafiz Raza - All clear</t>
  </si>
  <si>
    <t>To Simranjeet Singh - LHR17-7 shaogn</t>
  </si>
  <si>
    <t>To Abdulahi Faris - LgwAD17-7</t>
  </si>
  <si>
    <t>To Blacktie London Chauffeurs ltd - ADWILLIAM16-7</t>
  </si>
  <si>
    <t>To Muhammad Dhakho - PenninsulatoSE1</t>
  </si>
  <si>
    <t>To Seaikh Ahmed - Transfer 17-7</t>
  </si>
  <si>
    <t>To Waleed Ahmed - Lgwpaymwntfor mettle account</t>
  </si>
  <si>
    <t>To London Private Chauffeurs Limited - AD</t>
  </si>
  <si>
    <t>To Muhammad Minhas - Lhr</t>
  </si>
  <si>
    <t>To Mohamed Eldhufairy - Lhr</t>
  </si>
  <si>
    <t>To Fateh Khan - LHR 22-7</t>
  </si>
  <si>
    <t>To J Constantindis - 21-6 lhr</t>
  </si>
  <si>
    <t>To Fateh Khan - Lhr23-7</t>
  </si>
  <si>
    <t>To Fateh Khan - Lhr24-7</t>
  </si>
  <si>
    <t>To Asif Iqbal - Camdtomayfair</t>
  </si>
  <si>
    <t>To Ammar Masud - LHTTOMAYFAIRTHENTOLGW</t>
  </si>
  <si>
    <t>To Sohaib Muhammad Anwar - AD21-7</t>
  </si>
  <si>
    <t>To 2nlb ltd - AD21-07+24-07</t>
  </si>
  <si>
    <t>To Abdul Saboor - LHRTOMAYFAIR</t>
  </si>
  <si>
    <t>To Rasheed Adebesin - Lhrtomayfaur25-7</t>
  </si>
  <si>
    <t>To Waleed Ahmed - Yinkapaymetoluton lamba chauffeurs</t>
  </si>
  <si>
    <t>To Fateh Khan - Lhr25-7</t>
  </si>
  <si>
    <t>To Comfort london cars ltd - EclassAD</t>
  </si>
  <si>
    <t>To Abdulahi Faris - Lhr25-7plusad</t>
  </si>
  <si>
    <t>To Falah Alinizi - Luton25-7</t>
  </si>
  <si>
    <t>To Nasir Mohammed - Luton25-7</t>
  </si>
  <si>
    <t>To Mohammed Wahid - Ad24-07</t>
  </si>
  <si>
    <t>To M Kashif - LGWvictoria/Hakimclient</t>
  </si>
  <si>
    <t>To Muhammad Hamza Shaukat - AD21-7</t>
  </si>
  <si>
    <t>To Imran Niazi - Awais</t>
  </si>
  <si>
    <t>To Fateh Khan - EburyToCambr</t>
  </si>
  <si>
    <t>To Amratpalsingh Heera - Lhrtomayfair</t>
  </si>
  <si>
    <t>To Raees Khan - 29-7 evurytofarnbrough</t>
  </si>
  <si>
    <t>To Paramjit Singh - LHR-28-7</t>
  </si>
  <si>
    <t>To Andrei Alexandru Petroi - 28-7lhr</t>
  </si>
  <si>
    <t>To Deborah Jean-gilles - RANGEAD26-7</t>
  </si>
  <si>
    <t>To Abdul Malik - Friend</t>
  </si>
  <si>
    <t>To Borisas Koreckij - Lhr30-07</t>
  </si>
  <si>
    <t>To Adnan Mushtaq - Vclassrent</t>
  </si>
  <si>
    <t>To Imran Niazi - Lgwtoe3</t>
  </si>
  <si>
    <t>To Imran Niazi - Husnain bhai range ad 1 day</t>
  </si>
  <si>
    <t>To Abdulahi Faris - Ad</t>
  </si>
  <si>
    <t>To RAJA Tariq - Thu Jul 31 2025 08:00:00 GMT+0100 (British Summer Time)</t>
  </si>
  <si>
    <t>To Fateh Khan - Services</t>
  </si>
  <si>
    <t>To Mian Ali - JOB 30-7</t>
  </si>
  <si>
    <t>To Hafiz Raza - Fredad</t>
  </si>
  <si>
    <t>To Oztas Star S. L. - ATHR AD</t>
  </si>
  <si>
    <t>To Qaisar Rehman - Lhrtoox1</t>
  </si>
  <si>
    <t>To R zeeshan Mushtaq - SERVICES</t>
  </si>
  <si>
    <t>To Imran Niazi - Yinka jobs payment</t>
  </si>
  <si>
    <t>To Rashad Mirza - Services</t>
  </si>
  <si>
    <t>To Bespoke luxe chauffeurs - Services</t>
  </si>
  <si>
    <t>To Grosvenor Chauffeurs Ltd - Services</t>
  </si>
  <si>
    <t>To Abul Uddin - Services</t>
  </si>
  <si>
    <t>To Mr M A Akhtar - Sevices</t>
  </si>
  <si>
    <t>To Agis executive - Fred</t>
  </si>
  <si>
    <t>To Mr khalid Mohammed Attia - Sat Aug 09 2025 08:00:00 GMT+0100 (British Summer Time)</t>
  </si>
  <si>
    <t>To Mian Ali - Gatwick+</t>
  </si>
  <si>
    <t>To Besmir Elezi - Services</t>
  </si>
  <si>
    <t>To Ali Ijaz - Services 6-8/ 08-08</t>
  </si>
  <si>
    <t>To A Al-kayoum - 6-8-25 AD</t>
  </si>
  <si>
    <t>To Rp Kancham - 7-8-25 lhr</t>
  </si>
  <si>
    <t>To Adam Mawi Chauffeur Services L - 6-8-25 lhr</t>
  </si>
  <si>
    <t>To Top chauffeuring ltd - ADCANECLATIONFEE</t>
  </si>
  <si>
    <t>To Our Blc Limited - Vclass 9-8 AD</t>
  </si>
  <si>
    <t>To Waleed Ahmed - Se5 to Stansted</t>
  </si>
  <si>
    <t>To Waleed Ahmed - Waleed oxford AD</t>
  </si>
  <si>
    <t>To Hafiz Raza - Range Rent</t>
  </si>
  <si>
    <t>To Asif Ali - Sat Aug 02 2025 08:00:00 GMT+0100 (British Summer Time)</t>
  </si>
  <si>
    <t>To Raees Khan - AD’s</t>
  </si>
  <si>
    <t>To Fateh Khan - 11-8 services</t>
  </si>
  <si>
    <t>To Mazhar Qaisar Trading As Mb Chauffeur - 11-8 AD</t>
  </si>
  <si>
    <t>To Catalin ionut Arghire - AD 12-8</t>
  </si>
  <si>
    <t>To Mazhar Qaisar Trading As Mb Chauffeur - Sat Aug 16 2025 08:00:00 GMT+0100 (British Summer Time)</t>
  </si>
  <si>
    <t>To Mazhar Qaisar Trading As Mb Chauffeur - Sun Aug 17 2025 08:00:00 GMT+0100 (British Summer Time)</t>
  </si>
  <si>
    <t>To Analya chauffeuring ltd - 16-8 lhr</t>
  </si>
  <si>
    <t>To Birmingham Corporate Travel Ltd - Old Trafford to Manchester train station</t>
  </si>
  <si>
    <t>To SaFFAT ltd - ECLASSJPB</t>
  </si>
  <si>
    <t>To Raees Khan - Lhr21-8</t>
  </si>
  <si>
    <t>To Pannu Services Ltd - Thu Aug 21 2025 08:00:00 GMT+0100 (British Summer Time)</t>
  </si>
  <si>
    <t>To Sri Subendran - LGW20-8</t>
  </si>
  <si>
    <t>To Grosvenor Chauffeurs Ltd - Wed Aug 06 2025 08:00:00 GMT+0100 (British Summer Time)</t>
  </si>
  <si>
    <t>To R zeeshan Mushtaq - Lhr23-8</t>
  </si>
  <si>
    <t>To Hafiz Raza - SHIEKH PLUS NEEL 2hrs</t>
  </si>
  <si>
    <t>To A-L-M travel ltd - 22-8-25 Wembley</t>
  </si>
  <si>
    <t>To Mazhar Qaisar Trading As Mb Chauffeur - Lhr</t>
  </si>
  <si>
    <t>To Albar Zadi - Cancelled job</t>
  </si>
  <si>
    <t>To Hafiz Raza - JOSEPHANE clinet</t>
  </si>
  <si>
    <t>To J Constantindis - 3-9 LHR</t>
  </si>
  <si>
    <t>To Abdul Qaudoos - LHR DROP OFF 13-8</t>
  </si>
  <si>
    <t>To Meron Ghebregiorgis - AD 31-8</t>
  </si>
  <si>
    <t>To Raees Khan - Ad2-9</t>
  </si>
  <si>
    <t>To Amigos Car Services Limited - LCY+LHR</t>
  </si>
  <si>
    <t>To Kashif Jawaid - AD 31-8</t>
  </si>
  <si>
    <t>To RAJA Tariq - Wed Sep 03 2025 08:00:00 GMT+0100 (British Summer Time)</t>
  </si>
  <si>
    <t>To Arslan Dogar - Wed Sep 03 2025 08:00:00 GMT+0100 (British Summer Time)</t>
  </si>
  <si>
    <t>To Profound Limited - GN74TLO V CLASS HIRE 07-08</t>
  </si>
  <si>
    <t>To Wajahat Majeed - Thu Sep 04 2025 08:00:00 GMT+0100 (British Summer Time)</t>
  </si>
  <si>
    <t>To Eiad Antar - 4-09 job</t>
  </si>
  <si>
    <t>To S.m.lux ltd - Inv0239</t>
  </si>
  <si>
    <t>To Michal Pszczola - 3 jobs</t>
  </si>
  <si>
    <t>To MR J S Alvarez ortiz - LGW TO COMO HOTEL</t>
  </si>
  <si>
    <t>To Muhammad Shahzad - Lhr07-9</t>
  </si>
  <si>
    <t>To J Constantnidis - Lhrtohp</t>
  </si>
  <si>
    <t>To Imran Niazi - Clyde peterkinson job payment</t>
  </si>
  <si>
    <t>To Imran Niazi - Elia job payment</t>
  </si>
  <si>
    <t>To Mamdouh Tawadros - AD UNTIL 16-07</t>
  </si>
  <si>
    <t>To S.m.lux ltd - Inv0244</t>
  </si>
  <si>
    <t>To RAJA Tariq - Thu Sep 11 2025 08:00:00 GMT+0100 (British Summer Time)</t>
  </si>
  <si>
    <t>To London private chauffeurs limited - Inv0010</t>
  </si>
  <si>
    <t>To MR AQEEL Butt - Inv00001</t>
  </si>
  <si>
    <t>To Jawed Shakari - AD 11-9</t>
  </si>
  <si>
    <t>To Grosvenor Chauffeurs Ltd - Fri Aug 29 2025 08:00:00 GMT+0100 (British Summer Time)</t>
  </si>
  <si>
    <t>To Raees Khan - Ad10-9</t>
  </si>
  <si>
    <t>To Mobs lux ride ltd - 7-925 to stanst</t>
  </si>
  <si>
    <t>To Sohail Riaz - USAIENTJOB</t>
  </si>
  <si>
    <t>To Mr N Hafeez - Tue Sep 16 2025 08:00:00 GMT+0100 (British Summer Time)</t>
  </si>
  <si>
    <t>To Ahmed Raza - Fri Sep 12 2025 08:00:00 GMT+0100 (British Summer Time)</t>
  </si>
  <si>
    <t>To Simranjeet Singh - LHR</t>
  </si>
  <si>
    <t>To Carmen Mitrofan - W12AD</t>
  </si>
  <si>
    <t>To Afzal ur Rehman - ZULFIQARBHAI</t>
  </si>
  <si>
    <t>To MR AQEEL Butt - Inv00002</t>
  </si>
  <si>
    <t>To Mamdouh Tawadros - AD’s</t>
  </si>
  <si>
    <t>To Tamim Ahmed - Lutontow3</t>
  </si>
  <si>
    <t>To Aminul Haque - SELFRIDGES SHOES PAYMENT</t>
  </si>
  <si>
    <t>To Kosey Alwasti - INV2409</t>
  </si>
  <si>
    <t>To U Afzal - AD</t>
  </si>
  <si>
    <t>To Sohail Riaz - 10 and 14 sept</t>
  </si>
  <si>
    <t>To Waqas afsar Ali - Sat Sep 27 2025 08:00:00 GMT+0100 (British Summer Time)</t>
  </si>
  <si>
    <t>To Bogdan Gafton - Sat Jul 26 2025 08:00:00 GMT+0100 (British Summer Time)</t>
  </si>
  <si>
    <t>To Waleed Ahmed - MR BRIAN PLUS CHRISTO</t>
  </si>
  <si>
    <t>To Asfan Javed - Transfer</t>
  </si>
  <si>
    <t>To Alex Pirjolea - Tue Sep 30 2025 08:00:00 GMT+0100 (British Summer Time)</t>
  </si>
  <si>
    <t>To Meron Ghebregiorgis - AD 4-10</t>
  </si>
  <si>
    <t>To Mian Ali - Lhr</t>
  </si>
  <si>
    <t>To Moazzam Qureshi - Ad</t>
  </si>
  <si>
    <t>To Imran Niazi - Range-Montclares -Bahrain</t>
  </si>
  <si>
    <t>To Zeenee ltd - LHR</t>
  </si>
  <si>
    <t>To Sohail Riaz - 9 octo</t>
  </si>
  <si>
    <t>To Mr shaukat Hussain - Inv</t>
  </si>
  <si>
    <t>To Imran Niazi - Madam aya -Montclares -Bahrain</t>
  </si>
  <si>
    <t>To Sohail Riaz - LV</t>
  </si>
  <si>
    <t>To Raees Khan - Lhrtose5</t>
  </si>
  <si>
    <t>To Asif Ali - Nov</t>
  </si>
  <si>
    <t>To Gurjeet singh - Lhr</t>
  </si>
  <si>
    <t>To RC SECURITY CHAUFFEURS LTD - HUNTINGTOUR</t>
  </si>
  <si>
    <t>To Signature chauffeurs ltd - Lhr</t>
  </si>
  <si>
    <t>To Amigos Car Services Limited - LHR</t>
  </si>
  <si>
    <t>To Waleed Ahmed - Devina p</t>
  </si>
  <si>
    <t>To MR AQEEL Butt - Inv00003</t>
  </si>
  <si>
    <t>To Anas Syed Anus Seemab Syed Mohammad - WLC01 - ADW12</t>
  </si>
  <si>
    <t>To MR AQEEL Butt - Inv00004</t>
  </si>
  <si>
    <t>To M D Uddin - Lhr</t>
  </si>
  <si>
    <t>To MR AQEEL Butt - Inv00005</t>
  </si>
  <si>
    <t>To Yadwinder Bhullar - Invoice: 2967</t>
  </si>
  <si>
    <t>To Grosvenor Chauffeurs Ltd - Wed Dec 10 2025 08:00:00 GMT+0000 (Greenwich Mean Time)</t>
  </si>
  <si>
    <t>To Mr Shaukat Hussain - Inv1</t>
  </si>
  <si>
    <t>To Akraam Basharat - 15-12LHR</t>
  </si>
  <si>
    <t>To Bespoke London Chauffeurs - Lcy</t>
  </si>
  <si>
    <t>To Muhammad Hassan - Chairt</t>
  </si>
  <si>
    <t>To Shahbaz Khan - ParcelcollectionSE5</t>
  </si>
  <si>
    <t>To Sohail Riaz - Stans</t>
  </si>
  <si>
    <t>To Muhammad Bilal - Se1tolhr</t>
  </si>
  <si>
    <t>To Muhammad Bilal - ESHERTOPARKLANE</t>
  </si>
  <si>
    <t>To Mr Murtaza Khalid - Enishtoesher</t>
  </si>
  <si>
    <t>To Waleed Ahmed - Bedre Saleh</t>
  </si>
  <si>
    <t>To Waleed Ahmed - Yinkarange</t>
  </si>
  <si>
    <t>To Waleed Ahmed - Yinkasclass</t>
  </si>
  <si>
    <t>To Waleed Ahmed - Yinkauberwaleedpersonal</t>
  </si>
  <si>
    <t>To Waleed Ahmed - Eclassgatwickvintage</t>
  </si>
  <si>
    <t>To Waleed Ahmed - Barclaysaccreturnpam</t>
  </si>
  <si>
    <t>To A Shafik - Inv</t>
  </si>
  <si>
    <t>To A q Bhatti - Lhr</t>
  </si>
  <si>
    <t>To J Constantnidis - Lhr</t>
  </si>
  <si>
    <t>To Michal Pszczola - Lhr</t>
  </si>
  <si>
    <t>To Imran Niazi - Sclassad</t>
  </si>
  <si>
    <t>To Rk chauffeurs - Lhr</t>
  </si>
  <si>
    <t>To Waleed Ahmed - Blacklanejob</t>
  </si>
  <si>
    <t>To Imran Niazi - Range Job</t>
  </si>
  <si>
    <t>To Sohail Riaz - USAJOB</t>
  </si>
  <si>
    <t>To BV EXECUTIVE LTD - Inv0000038</t>
  </si>
  <si>
    <t>To Top chauffeuring ltd - INV0000022</t>
  </si>
  <si>
    <t>To Lyft ltd - Chauffeur Services</t>
  </si>
  <si>
    <t>To MOUGHEES AFZAL - Blacklane</t>
  </si>
  <si>
    <t>To Sohail Riaz - Zjob</t>
  </si>
  <si>
    <t>To Best london chauffeur - Inv450</t>
  </si>
  <si>
    <t>To Rizwan Iqbal - Inv180</t>
  </si>
  <si>
    <t>To Tamim Ahmed - Stans</t>
  </si>
  <si>
    <t>To Kasahun k techema - Inv000009</t>
  </si>
  <si>
    <t>To Raza Nasim - Inv 30</t>
  </si>
  <si>
    <t>To Sohail Riaz - Lhr</t>
  </si>
  <si>
    <t>To Patrick Muliira - Lhr</t>
  </si>
  <si>
    <t>From IMRAN ALI KHAN NIAZI</t>
  </si>
  <si>
    <t>Money added from ATIFA LTD - INSURANCE</t>
  </si>
  <si>
    <t>From IMRAN ALI KHAN NIAZI - B22 ceo</t>
  </si>
  <si>
    <t>From IMRAN ALI KHAN NIAZI - B22 ceo rent</t>
  </si>
  <si>
    <t>From Imran N - B22 CEO RENT</t>
  </si>
  <si>
    <t>Money added from NIAZI IAK - INVESTMENT</t>
  </si>
  <si>
    <t>Money added from WALEED AHMED - ZWH</t>
  </si>
  <si>
    <t>Money added from WELUX CHAUFFEURS LTD - S SIAL</t>
  </si>
  <si>
    <t>Money added from Z LTD T/AS ZAR V - CHAUFFEUR</t>
  </si>
  <si>
    <t>Uber *trip</t>
  </si>
  <si>
    <t>Pizza Knight</t>
  </si>
  <si>
    <t>London Borough Hounslo</t>
  </si>
  <si>
    <t>Westfield E20</t>
  </si>
  <si>
    <t>George Street Hcw Ltd</t>
  </si>
  <si>
    <t>Kashing*parkgaragegrou</t>
  </si>
  <si>
    <t>Www.parkerdairies.co.u</t>
  </si>
  <si>
    <t>Costco Wholesale #102</t>
  </si>
  <si>
    <t>Lidl Gb</t>
  </si>
  <si>
    <t>Ebay O*11-12725-14090</t>
  </si>
  <si>
    <t>Amznmktplace*r89597pk4</t>
  </si>
  <si>
    <t>Hideaway London Ltd. 1</t>
  </si>
  <si>
    <t>Filli Cafe London</t>
  </si>
  <si>
    <t>Nyx*eurogaragesltd</t>
  </si>
  <si>
    <t>Amazon* R86v25664</t>
  </si>
  <si>
    <t>Refund from Amznmktplace</t>
  </si>
  <si>
    <t>To Zaryab Rashid - Welux hisaab</t>
  </si>
  <si>
    <t>Golden Valeting Center</t>
  </si>
  <si>
    <t>Iw Group Services (uk)</t>
  </si>
  <si>
    <t>Zettle_*g Wash</t>
  </si>
  <si>
    <t>To Rab Nawaz - Febwages</t>
  </si>
  <si>
    <t>Empark Uk Ltd</t>
  </si>
  <si>
    <t>Clapham Home Care</t>
  </si>
  <si>
    <t>Www.gov.uk</t>
  </si>
  <si>
    <t>Londonboroofredbridge</t>
  </si>
  <si>
    <t>Tower Bridge Chamber S</t>
  </si>
  <si>
    <t>Reportmyloss.com</t>
  </si>
  <si>
    <t>Amazon* Ri5ii8je4</t>
  </si>
  <si>
    <t>To Isma Batool - FEBWAGES</t>
  </si>
  <si>
    <t>Ebay O*12-12829-99606</t>
  </si>
  <si>
    <t>Waitrose 670</t>
  </si>
  <si>
    <t>Amznmktplace*ri3qc4db4</t>
  </si>
  <si>
    <t>Amazon* Ri9h46d14</t>
  </si>
  <si>
    <t>Amznmktplace*ri7pg9qj4</t>
  </si>
  <si>
    <t>Amazon.co.uk*ri2p92qp4</t>
  </si>
  <si>
    <t>Amznmktplace*ri2g87yu4</t>
  </si>
  <si>
    <t>Ancaster Group Croydon</t>
  </si>
  <si>
    <t>Park Welsh Harp Vmi</t>
  </si>
  <si>
    <t>Dnh*godaddy#3669108140</t>
  </si>
  <si>
    <t>Companieshouse Web Fil</t>
  </si>
  <si>
    <t>Amazon Prime*rz13c7ab4</t>
  </si>
  <si>
    <t>Amznmktplace*rz81g1tw4</t>
  </si>
  <si>
    <t>Amznmktplace*rz2oq6tg4</t>
  </si>
  <si>
    <t>To Chess Ict - 0324WC05/CH0225/54</t>
  </si>
  <si>
    <t>Amznmktplace*rz2op9264</t>
  </si>
  <si>
    <t>Sumup *www.eurocars.l</t>
  </si>
  <si>
    <t>To Zaryab Rashid - SHADIKATUHFA</t>
  </si>
  <si>
    <t>Cotton Street Service</t>
  </si>
  <si>
    <t>Revolut Business Fee - Basic plan fee</t>
  </si>
  <si>
    <t>Refund from Tfl Business Bops Web</t>
  </si>
  <si>
    <t>Westminster City Counc</t>
  </si>
  <si>
    <t>Www.amazon.* Rh9do2mw4</t>
  </si>
  <si>
    <t>Fc* Freepik Premium Mo</t>
  </si>
  <si>
    <t>Adobe Systems Software</t>
  </si>
  <si>
    <t>Ikea Ltd 141 Wembley E</t>
  </si>
  <si>
    <t>Bargain Superstore</t>
  </si>
  <si>
    <t>Ripple</t>
  </si>
  <si>
    <t>Waitrose 665</t>
  </si>
  <si>
    <t>Westfield Shopping</t>
  </si>
  <si>
    <t>Stanstead</t>
  </si>
  <si>
    <t>Uber   *trip</t>
  </si>
  <si>
    <t>Taxiplus</t>
  </si>
  <si>
    <t>To HMRC VAT - 483204109</t>
  </si>
  <si>
    <t>Google*gsuite Weluxcha</t>
  </si>
  <si>
    <t>Nyx*jpsservicesltd</t>
  </si>
  <si>
    <t>Adobe</t>
  </si>
  <si>
    <t>Tesco Stores 5391</t>
  </si>
  <si>
    <t>Workstation</t>
  </si>
  <si>
    <t>Redbridge Parks</t>
  </si>
  <si>
    <t>To Zaryab Rashid - Services</t>
  </si>
  <si>
    <t>B And Q Dagenham Expre</t>
  </si>
  <si>
    <t>Uber   *one</t>
  </si>
  <si>
    <t>Tesco Pfs 2553</t>
  </si>
  <si>
    <t>Canary Wharf Carpa</t>
  </si>
  <si>
    <t>Chopstix Canary Wharf</t>
  </si>
  <si>
    <t>Disclosure &amp; Barring</t>
  </si>
  <si>
    <t>Tesco Metro 2239</t>
  </si>
  <si>
    <t>Brown&amp;brown Insurance</t>
  </si>
  <si>
    <t>Halfords 0535</t>
  </si>
  <si>
    <t>Waitrose Fash&amp;home</t>
  </si>
  <si>
    <t>Ebay O*12-13110-82978</t>
  </si>
  <si>
    <t>Ebay O*15-13106-76903</t>
  </si>
  <si>
    <t>Facebk *fwdrypyx62</t>
  </si>
  <si>
    <t>Facebk *urjrrq4y62</t>
  </si>
  <si>
    <t>Berkeley Hand Car Wash</t>
  </si>
  <si>
    <t>Facebk *9g7mkpcy62</t>
  </si>
  <si>
    <t>Facebk *v86s2qqy62</t>
  </si>
  <si>
    <t>Facebk *ct584qqy62</t>
  </si>
  <si>
    <t>Asda Petrol</t>
  </si>
  <si>
    <t>Facebk *bznwqpcy62</t>
  </si>
  <si>
    <t>Facebk *eq3w2r4y62</t>
  </si>
  <si>
    <t>Tgc St Katherines</t>
  </si>
  <si>
    <t>Tfl Road Chg-penalty W</t>
  </si>
  <si>
    <t>To Zaryab Rashid - ServicesPKWAGES</t>
  </si>
  <si>
    <t>Ebay O*08-13145-64355</t>
  </si>
  <si>
    <t>Facebk *zn2app8y62</t>
  </si>
  <si>
    <t>Tesco Stores 2072</t>
  </si>
  <si>
    <t>To Zaryab Rashid - BlacklanePK</t>
  </si>
  <si>
    <t>To Zaryab Rashid - Stanstjob</t>
  </si>
  <si>
    <t>Wimbledon Land Rover</t>
  </si>
  <si>
    <t>Cranford Sf Connect</t>
  </si>
  <si>
    <t>Google Gsuite_weluxcha</t>
  </si>
  <si>
    <t>Post Office Counter</t>
  </si>
  <si>
    <t>Ryman</t>
  </si>
  <si>
    <t>To Zaryab Rashid - Rangevalet</t>
  </si>
  <si>
    <t>Waitrose 678</t>
  </si>
  <si>
    <t>To Tfl Congestn Chrge - 250212159002268561</t>
  </si>
  <si>
    <t>Ebay O*01-13170-86751</t>
  </si>
  <si>
    <t>Goodwin Tyres</t>
  </si>
  <si>
    <t>Kensingtons Hc</t>
  </si>
  <si>
    <t>To Zaryab Rashid - Officeworkandneel</t>
  </si>
  <si>
    <t>Citipark 03333444939</t>
  </si>
  <si>
    <t>Facebk *bzhsfqux62</t>
  </si>
  <si>
    <t>Facebk *s7a7wqqy62</t>
  </si>
  <si>
    <t>Facebk *49atjruy62</t>
  </si>
  <si>
    <t>Flyover Sf Connect</t>
  </si>
  <si>
    <t>Aliexpress.com</t>
  </si>
  <si>
    <t>Www.islington.gov.uk</t>
  </si>
  <si>
    <t>Alibaba.com</t>
  </si>
  <si>
    <t>Www.planningportal.co.</t>
  </si>
  <si>
    <t>Zigzag Global</t>
  </si>
  <si>
    <t>Sq *shot London</t>
  </si>
  <si>
    <t>Swiftreg Ltd</t>
  </si>
  <si>
    <t>The Highway Service St</t>
  </si>
  <si>
    <t>Sainsburys S</t>
  </si>
  <si>
    <t>Tgc Services</t>
  </si>
  <si>
    <t>Tower Hamlets Bc</t>
  </si>
  <si>
    <t>Obn*london Borough Of</t>
  </si>
  <si>
    <t>Argos Beckton</t>
  </si>
  <si>
    <t>Fedex37998053</t>
  </si>
  <si>
    <t>Facebk *cjxk6r8y62</t>
  </si>
  <si>
    <t>Uber   *one Membership</t>
  </si>
  <si>
    <t>To Zaryab Rashid - Shahzaibpkpay</t>
  </si>
  <si>
    <t>Facebk *8z7jws4y62</t>
  </si>
  <si>
    <t>Gumtree Com</t>
  </si>
  <si>
    <t>Tfl Cycle Hire</t>
  </si>
  <si>
    <t>Trainline</t>
  </si>
  <si>
    <t>Agim Car Wash</t>
  </si>
  <si>
    <t>Bolt.euo2506251418</t>
  </si>
  <si>
    <t>Sainsburys Superma</t>
  </si>
  <si>
    <t>Mercedes-benz Westl</t>
  </si>
  <si>
    <t>B &amp; Q 1056</t>
  </si>
  <si>
    <t>Refund from Mercedes-benz Westl</t>
  </si>
  <si>
    <t>St Pancras Renaissance</t>
  </si>
  <si>
    <t>Envato *70792646</t>
  </si>
  <si>
    <t>Google Ads7295565115</t>
  </si>
  <si>
    <t>Zoyan Limited</t>
  </si>
  <si>
    <t>To Sinclair Mckinsley ltd - Accounts</t>
  </si>
  <si>
    <t>Euro Car Parts P</t>
  </si>
  <si>
    <t>Facebk *2k2a2ugy62</t>
  </si>
  <si>
    <t>To Premium Credit Ltd - 04C14722AH5</t>
  </si>
  <si>
    <t>Jlr Incontrol</t>
  </si>
  <si>
    <t>Big Motoring Vantage P</t>
  </si>
  <si>
    <t>Big Motoring World</t>
  </si>
  <si>
    <t>To Abd Ullah - Web</t>
  </si>
  <si>
    <t>Walthamstow</t>
  </si>
  <si>
    <t>Limehouse Carwash And</t>
  </si>
  <si>
    <t>Aliexpress</t>
  </si>
  <si>
    <t>Bumper.co.uk</t>
  </si>
  <si>
    <t>Metatrak</t>
  </si>
  <si>
    <t>Tesco Pfs 2256</t>
  </si>
  <si>
    <t>W M Morrison Petrol</t>
  </si>
  <si>
    <t>Apple Store R242</t>
  </si>
  <si>
    <t>To Dvla-lc24ynh - 73079111</t>
  </si>
  <si>
    <t>Sunley Island</t>
  </si>
  <si>
    <t>Dvla Oeppwebecom</t>
  </si>
  <si>
    <t>London Borough Of Newh</t>
  </si>
  <si>
    <t>Imo Car Wash Merton</t>
  </si>
  <si>
    <t>M6 Toll</t>
  </si>
  <si>
    <t>Zettle_*cash   Traffic</t>
  </si>
  <si>
    <t>Sainsbury's S</t>
  </si>
  <si>
    <t>To Sinclair Mckinsley ltd - Accounts all paid until today</t>
  </si>
  <si>
    <t>To Waleed Ahmed - Pakadvwagesminahil</t>
  </si>
  <si>
    <t>Where 2 Save</t>
  </si>
  <si>
    <t>Direct Chauffeur Line</t>
  </si>
  <si>
    <t>Ebay O*03-13362-69828</t>
  </si>
  <si>
    <t>Marston Group Limited</t>
  </si>
  <si>
    <t>Name-cheap.com* Ywjvy2</t>
  </si>
  <si>
    <t>Sumup  *welux Chauffeu</t>
  </si>
  <si>
    <t>Tesco Stores 3482</t>
  </si>
  <si>
    <t>Csc Pcn</t>
  </si>
  <si>
    <t>Ocado</t>
  </si>
  <si>
    <t>Pcn Moto Gwk</t>
  </si>
  <si>
    <t>Www.pay-dartford-cross</t>
  </si>
  <si>
    <t>Ebay O*05-13394-08593</t>
  </si>
  <si>
    <t>Ebay O*18-13378-05018</t>
  </si>
  <si>
    <t>0518 Lon Wembley Black</t>
  </si>
  <si>
    <t>Refund from Bumper.co.uk</t>
  </si>
  <si>
    <t>To Dvla-wx21vzn - 73368653</t>
  </si>
  <si>
    <t>Www.amazon.* Rj8p22yp4</t>
  </si>
  <si>
    <t>Beirut London Gb</t>
  </si>
  <si>
    <t>Screwfix Dir Ltd</t>
  </si>
  <si>
    <t>To Supply N Fit Tyres Romford Ltd - WR24MRY</t>
  </si>
  <si>
    <t>Rontec Golders Green</t>
  </si>
  <si>
    <t>Scrubs Lane Service St</t>
  </si>
  <si>
    <t>Argos</t>
  </si>
  <si>
    <t>Carpo</t>
  </si>
  <si>
    <t>Mmm Auto Uk</t>
  </si>
  <si>
    <t>Trace Debt Recovery Ec</t>
  </si>
  <si>
    <t>To Dvla-wr24mry - 73778440</t>
  </si>
  <si>
    <t>Smyths Toys Beckton</t>
  </si>
  <si>
    <t>Cranbrook Supermarket</t>
  </si>
  <si>
    <t>One Stop Kitchen Ware</t>
  </si>
  <si>
    <t>Tesco Stores 5983</t>
  </si>
  <si>
    <t>To Muhammad Usman - Refund</t>
  </si>
  <si>
    <t>To Vodafone Ltd - 7083281886-1005</t>
  </si>
  <si>
    <t>Dvla Pr Online</t>
  </si>
  <si>
    <t>Tesco Stores 3093</t>
  </si>
  <si>
    <t>Zzps Limited</t>
  </si>
  <si>
    <t>Digitalocean.com</t>
  </si>
  <si>
    <t>Www.ico.org.uk</t>
  </si>
  <si>
    <t>Al Farabi Pharmacy</t>
  </si>
  <si>
    <t>Sumup  *cls Internatio</t>
  </si>
  <si>
    <t>Ebay O*11-13539-96900</t>
  </si>
  <si>
    <t>Group 1 Jlr Sidcup</t>
  </si>
  <si>
    <t>London Boro Of Redbrid</t>
  </si>
  <si>
    <t>To Zaryab Rashid - Services until 7-9</t>
  </si>
  <si>
    <t>Ubr* Pending.uber.com</t>
  </si>
  <si>
    <t>To Reliance cars ltd - Cullinan+range</t>
  </si>
  <si>
    <t>To Imran Niazi - Appleshr</t>
  </si>
  <si>
    <t>Apple.com</t>
  </si>
  <si>
    <t>Dnhgodaddy  *#91040779</t>
  </si>
  <si>
    <t>Mestizo Mexican Marke</t>
  </si>
  <si>
    <t>To Mbuk - 10055618</t>
  </si>
  <si>
    <t>Weluxchauffeurs.co.uk</t>
  </si>
  <si>
    <t>Paybyphone - Ecom</t>
  </si>
  <si>
    <t>Sumup  *chris Jackson</t>
  </si>
  <si>
    <t>Tesco Stores 4761</t>
  </si>
  <si>
    <t>To Zaryab Rashid - Services until 22-9</t>
  </si>
  <si>
    <t>Vodafone Ltd - 7083281886-1005</t>
  </si>
  <si>
    <t>Disclosure And Barring</t>
  </si>
  <si>
    <t>Excess Baggage Stanste</t>
  </si>
  <si>
    <t>Lhrt5shopb08000774250</t>
  </si>
  <si>
    <t>Wheely * 9c64a0</t>
  </si>
  <si>
    <t>British A1252219083799</t>
  </si>
  <si>
    <t>British A1254250397172</t>
  </si>
  <si>
    <t>Chess Ict - 0324WC05/CH0225/54</t>
  </si>
  <si>
    <t>Dvla-lc24ynh - 73079111</t>
  </si>
  <si>
    <t>Dvla-wr24mry - 73778440</t>
  </si>
  <si>
    <t>Dvla-wx21vzn - 73368653</t>
  </si>
  <si>
    <t>To Zaryab Rashid - Wages</t>
  </si>
  <si>
    <t>Planning Portal</t>
  </si>
  <si>
    <t>Tfl Congestn Chrge - 250212159002268561</t>
  </si>
  <si>
    <t>Bond Street</t>
  </si>
  <si>
    <t>To Zaryab Rashid - App devolpment</t>
  </si>
  <si>
    <t>Refund from Ebay O*11-13539-96900</t>
  </si>
  <si>
    <t>Mbuk - 10055618</t>
  </si>
  <si>
    <t>Premium Credit Ltd - 04C14722AH5</t>
  </si>
  <si>
    <t>Mcdonalds 722</t>
  </si>
  <si>
    <t>Nya*motor Fuel Ltd</t>
  </si>
  <si>
    <t>Tesco Pfs 4060</t>
  </si>
  <si>
    <t>Dvla-wx21vzn - Sun Jul 18 202776 08:00:00 GMT+0100 (British Summer Time)</t>
  </si>
  <si>
    <t>Nya*tesco</t>
  </si>
  <si>
    <t>Halfords</t>
  </si>
  <si>
    <t>Https:</t>
  </si>
  <si>
    <t>Cder Group Limited.</t>
  </si>
  <si>
    <t>Morden Car Wash</t>
  </si>
  <si>
    <t>To V.I.A Engineers Limited - Ins Report</t>
  </si>
  <si>
    <t>Allen Briggs Motors Lt</t>
  </si>
  <si>
    <t>T K Maxx</t>
  </si>
  <si>
    <t>Masjid E Owais E Qarni</t>
  </si>
  <si>
    <t>Zest Ced202212103</t>
  </si>
  <si>
    <t>Waitrose 230</t>
  </si>
  <si>
    <t>Tst-chai  Chapati - L</t>
  </si>
  <si>
    <t>To The tax practice ltd - Tax submission</t>
  </si>
  <si>
    <t>Www.hertsmere.gov.uk</t>
  </si>
  <si>
    <t>Fastned Redbridge Park</t>
  </si>
  <si>
    <t>Oxfordshire Cc Web1</t>
  </si>
  <si>
    <t>To Zaryab Rashid - Pk</t>
  </si>
  <si>
    <t>Rontec Walthamstow</t>
  </si>
  <si>
    <t>To Addison Accounts and buisness consultants - Accounts</t>
  </si>
  <si>
    <t>Char.gy</t>
  </si>
  <si>
    <t>Ebay O*16-13942-74455</t>
  </si>
  <si>
    <t>Hmrc Ndds - 109134156</t>
  </si>
  <si>
    <t>Ebay O*01-13969-50332</t>
  </si>
  <si>
    <t>To Zaryab Rashid - App2nd payment</t>
  </si>
  <si>
    <t>Mbuk - 10305795</t>
  </si>
  <si>
    <t>Ee Topup  Vesta</t>
  </si>
  <si>
    <t>Tfl Congestn Chrge - 250000000000000000</t>
  </si>
  <si>
    <t>To Addison Accounts and buisness consultants - Monthly installment</t>
  </si>
  <si>
    <t>Hmrc Ndds - 109000000</t>
  </si>
  <si>
    <t>To Addison Accounts and buisness consultants - Pension</t>
  </si>
  <si>
    <t>To Hafiz Raza - CC</t>
  </si>
  <si>
    <t>To Zaryab Rashid - Dec wages</t>
  </si>
  <si>
    <t>To Access to globe ltd - Waleed-Welux</t>
  </si>
  <si>
    <t>To INFinitSPACE UK TWO LTD - 2/2 INV- 2026.01-0893 Rent plus deposit</t>
  </si>
  <si>
    <t>To INFinitSPACE UK TWO LTD - Deposit plus Set fee</t>
  </si>
  <si>
    <t>To Addison Accounts and buisness consultants - Welux payee tax</t>
  </si>
  <si>
    <t>To Addison Accounts and buisness consultants - AML CHEck</t>
  </si>
  <si>
    <t>To Addison Accounts and buisness consultants - Febinv</t>
  </si>
  <si>
    <t>Dvla-ca71adz - 72868147</t>
  </si>
  <si>
    <t>To Zaryab Rashid - PK</t>
  </si>
  <si>
    <t>To INFinitSPACE UK TWO LTD - FC-INV-2026.01-0894</t>
  </si>
  <si>
    <t>To Ikram Sheikh - Chauffeur Services</t>
  </si>
  <si>
    <t>To HMRC CUMBERLAUND - 1448224202A00107A</t>
  </si>
  <si>
    <t>To Addison Accounts and buisness consultants - Inv-1435</t>
  </si>
  <si>
    <t>To Addison Accounts and buisness consultants - Inv-1439 2 months advance payment</t>
  </si>
  <si>
    <t>Acorn Insurance &amp; Fina</t>
  </si>
  <si>
    <t>To Zaryab Rashid - Wayzpayment</t>
  </si>
  <si>
    <t>To Asif Ali - March2charge</t>
  </si>
  <si>
    <t>To Welux chauffeurs ltd - Intra</t>
  </si>
  <si>
    <t>To Malik muzamil Haider - Refund</t>
  </si>
  <si>
    <t>To Asif Ali - May2charges</t>
  </si>
  <si>
    <t>To Haydock Fin Ltd - 1114553-1-24815</t>
  </si>
  <si>
    <t>To Asif Ali - Adw12</t>
  </si>
  <si>
    <t>To Asif Ali - Sept</t>
  </si>
  <si>
    <t>Haydock Fin Ltd - 1114553-1-24815</t>
  </si>
  <si>
    <t>To Asif Ali - Oct</t>
  </si>
  <si>
    <t>To Haydock Finance Limited - Agreement Number 1114553-1</t>
  </si>
  <si>
    <t>Ev Breakers</t>
  </si>
  <si>
    <t>To Waleed Ahmed - Loan</t>
  </si>
  <si>
    <t>To Howden UK Brokers Limited - NG899920117 welux chauffeurs</t>
  </si>
  <si>
    <t>To Waleed Ahmed - Momiret</t>
  </si>
  <si>
    <t>To Vintage luxury chauffeurs London - Mioara</t>
  </si>
  <si>
    <t>To Imran Niazi - Inv</t>
  </si>
  <si>
    <t>To Imran Niazi - Rangeinstallment</t>
  </si>
  <si>
    <t>To Hafiz Raza - Jan wages</t>
  </si>
  <si>
    <t>To Imran Niazi - Jan wages</t>
  </si>
  <si>
    <t>To Malik muzamil Haider - Sv</t>
  </si>
  <si>
    <t>To RC SECURITY CHAUFFEURS LTD - HUNTINGTOUR3</t>
  </si>
  <si>
    <t>To Imran Niazi - Dec wages</t>
  </si>
  <si>
    <t>Bp Ravenscroft S</t>
  </si>
  <si>
    <t>Shell Marylebone Road</t>
  </si>
  <si>
    <t>Bp Pyecombe Sf Connect</t>
  </si>
  <si>
    <t>Shell Wheatsheaf</t>
  </si>
  <si>
    <t>Mfg Park Lane</t>
  </si>
  <si>
    <t>Shell Ripple Rd467</t>
  </si>
  <si>
    <t>Shell Ilford</t>
  </si>
  <si>
    <t>Bp Newham Way F</t>
  </si>
  <si>
    <t>Bp Pinkham Way Connect</t>
  </si>
  <si>
    <t>Shell Savoy 437</t>
  </si>
  <si>
    <t>Esso Elstree Hill</t>
  </si>
  <si>
    <t>Bp Woodcote S</t>
  </si>
  <si>
    <t>Shell Slough East</t>
  </si>
  <si>
    <t>Bp Mfg Hatton Cross</t>
  </si>
  <si>
    <t>Shell West Drayton</t>
  </si>
  <si>
    <t>Shell 200 Ilford Lane</t>
  </si>
  <si>
    <t>Bp Wandsworth S</t>
  </si>
  <si>
    <t>Bp Trinity Connect</t>
  </si>
  <si>
    <t>Shell 114 Leaves Green</t>
  </si>
  <si>
    <t>Shell Newnham</t>
  </si>
  <si>
    <t>Nyx*shell</t>
  </si>
  <si>
    <t>Shell Barking 009</t>
  </si>
  <si>
    <t>Mfg Redbridge</t>
  </si>
  <si>
    <t>Bp Highway Bp Connect</t>
  </si>
  <si>
    <t>Bp Bush Centre Sf Conn</t>
  </si>
  <si>
    <t>Nyx*motorfuelltd</t>
  </si>
  <si>
    <t>Shell Gillette 63</t>
  </si>
  <si>
    <t>Esso Observatory</t>
  </si>
  <si>
    <t>Mfg Wellington</t>
  </si>
  <si>
    <t>Bp Perivale Connect</t>
  </si>
  <si>
    <t>Shell Victoria 76</t>
  </si>
  <si>
    <t>Bp Mfg Cherwell Fillin</t>
  </si>
  <si>
    <t>Shell Burgh Heth</t>
  </si>
  <si>
    <t>Shell 893-903 Romford</t>
  </si>
  <si>
    <t>Bp Pulse Cromwell Road</t>
  </si>
  <si>
    <t>Bp Trafalgar Connect</t>
  </si>
  <si>
    <t>Bp Motor Fuel Limited</t>
  </si>
  <si>
    <t>Bp Byron F</t>
  </si>
  <si>
    <t>Shell Old Ford 160</t>
  </si>
  <si>
    <t>Shell Layby 146</t>
  </si>
  <si>
    <t>Shell Hosp Bdg 353</t>
  </si>
  <si>
    <t>Bp Winchester North Co</t>
  </si>
  <si>
    <t>Bp South Mimms Msa</t>
  </si>
  <si>
    <t>Shell Pine 327</t>
  </si>
  <si>
    <t>Esso Ilford</t>
  </si>
  <si>
    <t>To Uk Fuels Limited - 2617763</t>
  </si>
  <si>
    <t>Bp Leytonstone Service</t>
  </si>
  <si>
    <t>Shell Chigwell 535</t>
  </si>
  <si>
    <t>Shell Old St 359</t>
  </si>
  <si>
    <t>Shell Old Bromp087</t>
  </si>
  <si>
    <t>Shell Westbourne</t>
  </si>
  <si>
    <t>Shell Ducklington</t>
  </si>
  <si>
    <t>Mfg Oxshott</t>
  </si>
  <si>
    <t>Shell &amp; Waitrose</t>
  </si>
  <si>
    <t>Uk Fuels Limited - 2617763</t>
  </si>
  <si>
    <t>Nyx*bp</t>
  </si>
  <si>
    <t>Bp Watford Gap South</t>
  </si>
  <si>
    <t>To Dvla-wr19eou - Thu Mar 02 193837 08:00:00 GMT+0000 (Greenwich Mean Time)</t>
  </si>
  <si>
    <t>To Dvla-km20yys - 70081377</t>
  </si>
  <si>
    <t>To Dvla-wr19eou - 70103612</t>
  </si>
  <si>
    <t>Mercedes-benz Stratfor</t>
  </si>
  <si>
    <t>Boots 0775</t>
  </si>
  <si>
    <t>Boots 1636</t>
  </si>
  <si>
    <t>Hotel At Booking.com</t>
  </si>
  <si>
    <t>To Reliance cars ltd - 1st rent</t>
  </si>
  <si>
    <t>Amazon* Rh3a16vc4</t>
  </si>
  <si>
    <t>To Olaf Enterprise Limited - KM20Repairs</t>
  </si>
  <si>
    <t>To Reliance cars ltd - 2nd rent</t>
  </si>
  <si>
    <t>To Reliance cars ltd - 3rd rent</t>
  </si>
  <si>
    <t>Amazon Prime*dh13p6ex5</t>
  </si>
  <si>
    <t>Boots The Chemist</t>
  </si>
  <si>
    <t>Uber* Trip</t>
  </si>
  <si>
    <t>Cuvva Motor Insurance</t>
  </si>
  <si>
    <t>Uber   *eats</t>
  </si>
  <si>
    <t>Amznmktplace*2y53g68h5</t>
  </si>
  <si>
    <t>Amznmktplace*115tg5li5</t>
  </si>
  <si>
    <t>To Reliance cars ltd - 4th rent - used tyre and car key battery</t>
  </si>
  <si>
    <t>Amazon* Y73d312l5</t>
  </si>
  <si>
    <t>Roadchef Whsmith</t>
  </si>
  <si>
    <t>To Reliance cars ltd - S&amp;range</t>
  </si>
  <si>
    <t>Apple Uk R329</t>
  </si>
  <si>
    <t>Mb Stratford</t>
  </si>
  <si>
    <t>Amazon* 5l9ia6ew5</t>
  </si>
  <si>
    <t>Refund from Ebay O*15-13106-76903</t>
  </si>
  <si>
    <t>Money added from SES</t>
  </si>
  <si>
    <t>To Waleed Ahmed - Ses</t>
  </si>
  <si>
    <t>Amazon Prime*4u2nx2lq5</t>
  </si>
  <si>
    <t>To Waleed Ahmed - Montclares job sajeel bhupi waqas</t>
  </si>
  <si>
    <t>To Waleed Ahmed - MontclareWalidyazbeck</t>
  </si>
  <si>
    <t>Mb Loughton</t>
  </si>
  <si>
    <t>To Waleed Ahmed - Adelalsaleh</t>
  </si>
  <si>
    <t>Money added from M UPPAL - Dr Taha</t>
  </si>
  <si>
    <t>Mercedes-benz Of C</t>
  </si>
  <si>
    <t>Amazon* C64ba25b5</t>
  </si>
  <si>
    <t>Money added from WALEED AHMED - sclassdeposit</t>
  </si>
  <si>
    <t>To HAYDOCKFINANCE LTD - AGREEMENT 1114553-2</t>
  </si>
  <si>
    <t>Refund from Ebay O*08-13145-64355</t>
  </si>
  <si>
    <t>Nandos Bayswater</t>
  </si>
  <si>
    <t>Refund from Argos Ltd</t>
  </si>
  <si>
    <t>Amznmktplace*5j6o26515</t>
  </si>
  <si>
    <t>Amazon Prime*8z5tk5x05</t>
  </si>
  <si>
    <t>Money added from WALEED AHMED - S class deposit</t>
  </si>
  <si>
    <t>Money added from HAFIZ RAZA - loan</t>
  </si>
  <si>
    <t>To Zaryab Rashid - WansteadBills</t>
  </si>
  <si>
    <t>Money added from VINTAGE LUXURY CHAUFFEURS LONDON LTD - Loan</t>
  </si>
  <si>
    <t>Refund from Amazon* C64ba25b5</t>
  </si>
  <si>
    <t>Argos Ltd</t>
  </si>
  <si>
    <t>To Vintage luxury chauffeurs London - Loan return</t>
  </si>
  <si>
    <t>To Dvla-ca71adz - 72868147</t>
  </si>
  <si>
    <t>Amazon* R74j88e34</t>
  </si>
  <si>
    <t>Hpi Check</t>
  </si>
  <si>
    <t>Refund from Amazon* R74j88e34</t>
  </si>
  <si>
    <t>Chashni Sweets And Bak</t>
  </si>
  <si>
    <t>To Haydock Fin Ltd - 1114553-2-26190</t>
  </si>
  <si>
    <t>Amazon* Rs3gd7su4</t>
  </si>
  <si>
    <t>Amznmktplace*rs9ie82i4</t>
  </si>
  <si>
    <t>Amznmktplace*rs5rm62p4</t>
  </si>
  <si>
    <t>Amazon Prime*rj88h4f24</t>
  </si>
  <si>
    <t>Money added from WALEED AHMED - loanreturn 27-7</t>
  </si>
  <si>
    <t>To Waleed Ahmed - Montclares</t>
  </si>
  <si>
    <t>To International Business And Professional Corp - Azadi Cup</t>
  </si>
  <si>
    <t>Deliveroo</t>
  </si>
  <si>
    <t>Refund from Euro Car Parts P</t>
  </si>
  <si>
    <t>Uber* Eats</t>
  </si>
  <si>
    <t>Money added from MONTCLARES INTERNA - INV-29369</t>
  </si>
  <si>
    <t>Amazon* Ru9kb1ze4</t>
  </si>
  <si>
    <t>To Waleed Ahmed - Montc s class ad 7 days paym</t>
  </si>
  <si>
    <t>Naan Staap Ilford</t>
  </si>
  <si>
    <t>Shabnam Superstore Ltd</t>
  </si>
  <si>
    <t>Money added from MONTCLARES INTERNA - INV-29371</t>
  </si>
  <si>
    <t>Pablo's Pizza</t>
  </si>
  <si>
    <t>Money added from MONTCLARES INTERNA - INV-29373</t>
  </si>
  <si>
    <t>Uber   * Eats Pending</t>
  </si>
  <si>
    <t>Gaardz Chicken</t>
  </si>
  <si>
    <t>Amazon* Se3us9fn5</t>
  </si>
  <si>
    <t>Money added from PEAK SAURCE TECHNOLOGY - COMPANIES FOR OTHER PURPOSES RENT M ERCEDES S CLASS CHAUFFEUR SERVICES</t>
  </si>
  <si>
    <t>Uber *trip Help.uber.c</t>
  </si>
  <si>
    <t>Haydock Fin Ltd - 1114553-2-26190</t>
  </si>
  <si>
    <t>Caffe Nero Esher</t>
  </si>
  <si>
    <t>Money added from VINTAGE LUXURY CHAUFFEURS LONDON LTD - Iphone</t>
  </si>
  <si>
    <t>Dvla-wr19eou - 70103612</t>
  </si>
  <si>
    <t>Refund from Apple.com</t>
  </si>
  <si>
    <t>Hugo Boss Uk</t>
  </si>
  <si>
    <t>To Waleed Ahmed - RangeMontc/Azl</t>
  </si>
  <si>
    <t>Mercedes Benz</t>
  </si>
  <si>
    <t>Royal Mahal</t>
  </si>
  <si>
    <t>Apple Store R092</t>
  </si>
  <si>
    <t>To Waleed Ahmed - Salma turkey</t>
  </si>
  <si>
    <t>To Waleed Ahmed - T yeobah</t>
  </si>
  <si>
    <t>Money added from WALEED AHMED - loan ret</t>
  </si>
  <si>
    <t>Money added from VINTAGE LUXURY CHAUFFEURS LONDON LTD - Loan return</t>
  </si>
  <si>
    <t>Money added from WALEED AHMED - rashinsurance</t>
  </si>
  <si>
    <t>Namak Mandi</t>
  </si>
  <si>
    <t>To Waleed Ahmed - Upal</t>
  </si>
  <si>
    <t>Mercedes-benz</t>
  </si>
  <si>
    <t>Rp*booked It-cookies I</t>
  </si>
  <si>
    <t>From Mitru R - KM20YYS</t>
  </si>
  <si>
    <t>To Waleed Ahmed - Km20vclass</t>
  </si>
  <si>
    <t>To Waleed Ahmed - Dec wages</t>
  </si>
  <si>
    <t>To Hafiz Raza - Dec wages</t>
  </si>
  <si>
    <t>To Rafaqat Shehzad - V&amp;S class</t>
  </si>
  <si>
    <t>To Vintage luxury chauffeurs London - Loan</t>
  </si>
  <si>
    <t>To SM AUTOS - Wr19</t>
  </si>
  <si>
    <t>To Waleed Ahmed - Wages</t>
  </si>
  <si>
    <t>CASH RECIEVED BY WALEED FOR RANGE ROVER</t>
  </si>
  <si>
    <t>CASH USE</t>
  </si>
  <si>
    <t>WILLIAM CASH</t>
  </si>
  <si>
    <t>YINKA JOBS</t>
  </si>
  <si>
    <t>ADEL AL SALEH PAYMENT</t>
  </si>
  <si>
    <t>KM20YYX DVLA ROAD TAX</t>
  </si>
  <si>
    <t>AZ luxe Range use-waleed</t>
  </si>
  <si>
    <t>AMERICAN CLIENTY</t>
  </si>
  <si>
    <t>CAR INSURANCE</t>
  </si>
  <si>
    <t>AMEX</t>
  </si>
  <si>
    <t>YINKA JOBS CASH</t>
  </si>
  <si>
    <t>To Supply N Fit Tyres Romford Ltd - B22CEO</t>
  </si>
  <si>
    <t>Ebay O*26-13519-70242</t>
  </si>
  <si>
    <t>Ebay O*26-13534-98466</t>
  </si>
  <si>
    <t>CASH</t>
  </si>
  <si>
    <t>CASH TAKEN</t>
  </si>
  <si>
    <t>QUDUS PAYMENT</t>
  </si>
  <si>
    <t>To Rafaqat Shehzad - S class</t>
  </si>
  <si>
    <t>Refund from Ebay O*26-13534-98466</t>
  </si>
  <si>
    <t>INSURANCE TILL DECEMBER FROM JANUARY</t>
  </si>
  <si>
    <t>To Atif Shah - Imi</t>
  </si>
  <si>
    <t>To Hafiz Raza - Imranbhai car cash</t>
  </si>
  <si>
    <t>YINKA JOBS TOTAL</t>
  </si>
  <si>
    <t>WX21 RENT</t>
  </si>
  <si>
    <t>WR24 INSTALMENT FEB 2025</t>
  </si>
  <si>
    <t>AMERICAN EXPRESS</t>
  </si>
  <si>
    <t>S class road tax</t>
  </si>
  <si>
    <t>Installment difference</t>
  </si>
  <si>
    <t>Service plan difference</t>
  </si>
  <si>
    <t>yinka jobs cash from 20k</t>
  </si>
  <si>
    <t>transfer to imran with calculation clear.</t>
  </si>
  <si>
    <t>From Robert Trojanowski - WX21 VZN</t>
  </si>
  <si>
    <t>From Imran N - Wx21</t>
  </si>
  <si>
    <t>From Robert Trojanowski - WysÅ‚ano z Revolut</t>
  </si>
  <si>
    <t>Money added from ENT MULT SER LTD - WX21VZN RENT</t>
  </si>
  <si>
    <t>Money added from ABUL UDDIN - From A Uddin</t>
  </si>
  <si>
    <t>Money added from A UDDIN - car rant</t>
  </si>
  <si>
    <t>Money added from A UDDIN - CAR RANT</t>
  </si>
  <si>
    <t>Mercedes-benz Temple</t>
  </si>
  <si>
    <t>To Robert trojanowski - FULL&amp;FINAL REFUND SETTLEMENT WX21VZN</t>
  </si>
  <si>
    <t>To Zaryab Rashid - S class repairs</t>
  </si>
  <si>
    <t>To Alex Pirjolea - Charge</t>
  </si>
  <si>
    <t>To Muhammed Mushtaq - SERVICES/Drive</t>
  </si>
  <si>
    <t>To Muhammed Mushtaq - Zulfiq bhai</t>
  </si>
  <si>
    <t>To Muhammed Mushtaq - Services</t>
  </si>
  <si>
    <t>Lidl Gb Clapham</t>
  </si>
  <si>
    <t>To United Trust Bank Ltd - A000015660</t>
  </si>
  <si>
    <t>Instavolt Limited</t>
  </si>
  <si>
    <t>Mfg Ev Power</t>
  </si>
  <si>
    <t>To Hafiz Raza - Eqv charging</t>
  </si>
  <si>
    <t>Lidl Gb  Waltham Cross</t>
  </si>
  <si>
    <t>To United Trust Bk - A000015660</t>
  </si>
  <si>
    <t>Bp Chargemaster Limite</t>
  </si>
  <si>
    <t>Smart Charge 0069</t>
  </si>
  <si>
    <t>Esb Ev Solutions Ev Ch</t>
  </si>
  <si>
    <t>To Muhammed Mushtaq - Services+Thanksbonus</t>
  </si>
  <si>
    <t>Receipts Ionity Eu</t>
  </si>
  <si>
    <t>To Muhammed Mushtaq - Services 31-8</t>
  </si>
  <si>
    <t>Smart Charge 2665</t>
  </si>
  <si>
    <t>Chargepoint</t>
  </si>
  <si>
    <t>United Trust Bk - A000015660</t>
  </si>
  <si>
    <t>To Muhammed Mushtaq - Services14-12</t>
  </si>
  <si>
    <t>To Waleed Ahmed - Mushtaqwages</t>
  </si>
  <si>
    <t>Affordable Ev Charging</t>
  </si>
  <si>
    <t>To Alex Pirjolea - Services</t>
  </si>
  <si>
    <t>To Waleed Ahmed - Alexpayvintagetransffer</t>
  </si>
  <si>
    <t>To Alex Pirjolea - Invoice until 15-02-26</t>
  </si>
  <si>
    <t>To Alex Pirjolea - Electriccharge</t>
  </si>
  <si>
    <t>To Alex Pirjolea - Wagesuntil31-1</t>
  </si>
  <si>
    <t>To Alex Pirjolea - Insurance January</t>
  </si>
  <si>
    <t>Apcoa - Hal - Ss T5</t>
  </si>
  <si>
    <t>Apcoa-hal-ss T2</t>
  </si>
  <si>
    <t>Gatwick Airport-ss Sou</t>
  </si>
  <si>
    <t>Stansted Parking</t>
  </si>
  <si>
    <t>Gatwick Airport-ss Nor</t>
  </si>
  <si>
    <t>Shell Gatwick Nort</t>
  </si>
  <si>
    <t>Apcoa-hal-ss T3</t>
  </si>
  <si>
    <t>Saba St Pancras</t>
  </si>
  <si>
    <t>Luton Exp Drop Off</t>
  </si>
  <si>
    <t>G24ltd Parking Sol</t>
  </si>
  <si>
    <t>Avalon Parking</t>
  </si>
  <si>
    <t>Q Park Heathrow</t>
  </si>
  <si>
    <t>Stn Pc Ecom</t>
  </si>
  <si>
    <t>Bp Heathrow</t>
  </si>
  <si>
    <t>Shell Luton Airpor</t>
  </si>
  <si>
    <t>The O2 Car Park</t>
  </si>
  <si>
    <t>Grand Arcade Car Park</t>
  </si>
  <si>
    <t>Saba Park St Pancras</t>
  </si>
  <si>
    <t>Stansted Sf Connect</t>
  </si>
  <si>
    <t>Yourparkingspace</t>
  </si>
  <si>
    <t>Apcoa Luton Airport Pa</t>
  </si>
  <si>
    <t>Uk Cpm Parking Tariff</t>
  </si>
  <si>
    <t>Bhcc-paybyphoneparking</t>
  </si>
  <si>
    <t>Money added from WALEED AHMED - wayzAli</t>
  </si>
  <si>
    <t>To Malik Farhan - REPAIRS/WAYZ</t>
  </si>
  <si>
    <t>To Dial a spare limited - Wayzinvoice</t>
  </si>
  <si>
    <t>To MA AUTOS WIMBLEDON LTD - WAYZREPAIR</t>
  </si>
  <si>
    <t>To Mr z Akram - Ins</t>
  </si>
  <si>
    <t>To Car craft wimblidon ltd - EF70 HYUNDAI</t>
  </si>
  <si>
    <t>To Zahoor Ahmed - Deposit refund</t>
  </si>
  <si>
    <t>To Reddie Weldeslase - Refund</t>
  </si>
  <si>
    <t>To Mumtaz Bajwa - Deposit refund</t>
  </si>
  <si>
    <t>To Rizwan Rashid - Deposit refund</t>
  </si>
  <si>
    <t>To Mr s Mahmoud - Deposit refund</t>
  </si>
  <si>
    <t>To M Ahilan - Deposit refund</t>
  </si>
  <si>
    <t>To 1st Nationwide Security Ltd - WR24APRIL</t>
  </si>
  <si>
    <t>To 1st Nationwide Security Ltd - B22</t>
  </si>
  <si>
    <t>To 1st Nationwide Security Ltd - WR24may</t>
  </si>
  <si>
    <t>To 1st Nationwide Security Ltd - Wr24 july</t>
  </si>
  <si>
    <t>To 1st Nationwide Security Ltd - Wr24june</t>
  </si>
  <si>
    <t>To 1st Nationwide Security Ltd - WR24MARCH</t>
  </si>
  <si>
    <t>To 1st Nationwide Security Ltd - Imrsclass</t>
  </si>
  <si>
    <t>To 1st Nationwide Security Ltd - Vclassjan</t>
  </si>
  <si>
    <t>To 1st Nationwide Security Ltd - Sclassinst</t>
  </si>
  <si>
    <t>To 1st Nationwide Security Ltd - Merc</t>
  </si>
  <si>
    <t>To 1st nationwide security Ltd - VclassJan</t>
  </si>
  <si>
    <t>To 1st nationwide security Ltd - ImrSjan</t>
  </si>
  <si>
    <t>To 1st nationwide security Ltd - Sclass jan</t>
  </si>
  <si>
    <t>To 1st nationwide security Ltd - Vclass</t>
  </si>
  <si>
    <t>To 1st Nationwide Security Ltd - KM20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</si>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</sst>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yyyy\-mm\-dd"/>
    <numFmt numFmtId="165" formatCode="d/m/yyyy"/>
    <numFmt numFmtId="166" formatCode="d\-m\-yy"/>
    <numFmt numFmtId="167" formatCode="d\-m"/>
    <numFmt numFmtId="168" formatCode="mmmmd"/>
    <numFmt numFmtId="169" formatCode="dd\-mm"/>
    <numFmt numFmtId="170" formatCode="dd\-mm\-yy"/>
    <numFmt numFmtId="171" formatCode="0.0%"/>
    <numFmt numFmtId="172" formatCode="m/d/yyyy\ h:mm:ss"/>
    <numFmt numFmtId="173" formatCode="dd/mm/yy"/>
    <numFmt numFmtId="174" formatCode="dddd\,\ d\ mmmm\ yyyy"/>
    <numFmt numFmtId="175" formatCode="d\-m\-yyyy"/>
    <numFmt numFmtId="176" formatCode="dd\-mm\-yyyy"/>
  </numFmts>
  <fonts count="11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u/>
      <sz val="11"/>
      <color rgb="FF000000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555555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1" fontId="1" fillId="0" borderId="0" xfId="0" applyNumberFormat="1" applyFont="1"/>
    <xf numFmtId="165" fontId="1" fillId="0" borderId="0" xfId="0" applyNumberFormat="1" applyFont="1" applyAlignment="1">
      <alignment horizontal="right"/>
    </xf>
    <xf numFmtId="11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0" xfId="0" applyFont="1"/>
    <xf numFmtId="166" fontId="2" fillId="0" borderId="0" xfId="0" applyNumberFormat="1" applyFont="1"/>
    <xf numFmtId="167" fontId="2" fillId="0" borderId="0" xfId="0" applyNumberFormat="1" applyFont="1"/>
    <xf numFmtId="14" fontId="2" fillId="0" borderId="0" xfId="0" applyNumberFormat="1" applyFont="1"/>
    <xf numFmtId="168" fontId="2" fillId="0" borderId="0" xfId="0" applyNumberFormat="1" applyFont="1"/>
    <xf numFmtId="0" fontId="5" fillId="0" borderId="0" xfId="0" applyFont="1"/>
    <xf numFmtId="169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164" fontId="7" fillId="0" borderId="0" xfId="0" applyNumberFormat="1" applyFont="1"/>
    <xf numFmtId="0" fontId="9" fillId="0" borderId="0" xfId="0" applyFont="1"/>
    <xf numFmtId="0" fontId="8" fillId="0" borderId="1" xfId="0" applyFont="1" applyBorder="1"/>
    <xf numFmtId="0" fontId="7" fillId="0" borderId="1" xfId="0" applyFont="1" applyBorder="1"/>
    <xf numFmtId="4" fontId="7" fillId="0" borderId="0" xfId="0" applyNumberFormat="1" applyFont="1"/>
    <xf numFmtId="164" fontId="7" fillId="0" borderId="1" xfId="0" applyNumberFormat="1" applyFont="1" applyBorder="1"/>
    <xf numFmtId="4" fontId="7" fillId="0" borderId="1" xfId="0" applyNumberFormat="1" applyFont="1" applyBorder="1"/>
    <xf numFmtId="4" fontId="8" fillId="0" borderId="0" xfId="0" applyNumberFormat="1" applyFont="1"/>
    <xf numFmtId="171" fontId="7" fillId="0" borderId="0" xfId="0" applyNumberFormat="1" applyFont="1"/>
    <xf numFmtId="171" fontId="8" fillId="0" borderId="0" xfId="0" applyNumberFormat="1" applyFont="1"/>
    <xf numFmtId="14" fontId="7" fillId="0" borderId="0" xfId="0" applyNumberFormat="1" applyFont="1"/>
    <xf numFmtId="172" fontId="7" fillId="0" borderId="0" xfId="0" applyNumberFormat="1" applyFont="1"/>
    <xf numFmtId="0" fontId="10" fillId="0" borderId="0" xfId="0" applyFont="1"/>
    <xf numFmtId="173" fontId="7" fillId="0" borderId="0" xfId="0" applyNumberFormat="1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right"/>
    </xf>
    <xf numFmtId="174" fontId="7" fillId="0" borderId="0" xfId="0" applyNumberFormat="1" applyFont="1"/>
    <xf numFmtId="175" fontId="7" fillId="0" borderId="0" xfId="0" applyNumberFormat="1" applyFont="1"/>
    <xf numFmtId="176" fontId="7" fillId="0" borderId="0" xfId="0" applyNumberFormat="1" applyFont="1"/>
    <xf numFmtId="166" fontId="7" fillId="0" borderId="0" xfId="0" applyNumberFormat="1" applyFont="1"/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ubitricity.com/" TargetMode="External"/><Relationship Id="rId1" Type="http://schemas.openxmlformats.org/officeDocument/2006/relationships/hyperlink" Target="http://netflix.com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://aliexpress.com/" TargetMode="External"/><Relationship Id="rId18" Type="http://schemas.openxmlformats.org/officeDocument/2006/relationships/hyperlink" Target="http://alibaba.com/" TargetMode="External"/><Relationship Id="rId26" Type="http://schemas.openxmlformats.org/officeDocument/2006/relationships/hyperlink" Target="http://www.gov.uk/" TargetMode="External"/><Relationship Id="rId3" Type="http://schemas.openxmlformats.org/officeDocument/2006/relationships/hyperlink" Target="http://reportmyloss.com/" TargetMode="External"/><Relationship Id="rId21" Type="http://schemas.openxmlformats.org/officeDocument/2006/relationships/hyperlink" Target="http://www.pay-dartford-cross/" TargetMode="External"/><Relationship Id="rId7" Type="http://schemas.openxmlformats.org/officeDocument/2006/relationships/hyperlink" Target="http://www.islington.gov.uk/" TargetMode="External"/><Relationship Id="rId12" Type="http://schemas.openxmlformats.org/officeDocument/2006/relationships/hyperlink" Target="http://bumper.co.uk/" TargetMode="External"/><Relationship Id="rId17" Type="http://schemas.openxmlformats.org/officeDocument/2006/relationships/hyperlink" Target="http://bumper.co.uk/" TargetMode="External"/><Relationship Id="rId25" Type="http://schemas.openxmlformats.org/officeDocument/2006/relationships/hyperlink" Target="http://weluxchauffeurs.co.uk/" TargetMode="External"/><Relationship Id="rId33" Type="http://schemas.openxmlformats.org/officeDocument/2006/relationships/hyperlink" Target="http://netflix.com/" TargetMode="External"/><Relationship Id="rId2" Type="http://schemas.openxmlformats.org/officeDocument/2006/relationships/hyperlink" Target="http://www.gov.uk/" TargetMode="External"/><Relationship Id="rId16" Type="http://schemas.openxmlformats.org/officeDocument/2006/relationships/hyperlink" Target="http://aliexpress.com/" TargetMode="External"/><Relationship Id="rId20" Type="http://schemas.openxmlformats.org/officeDocument/2006/relationships/hyperlink" Target="http://www.ico.org.uk/" TargetMode="External"/><Relationship Id="rId29" Type="http://schemas.openxmlformats.org/officeDocument/2006/relationships/hyperlink" Target="http://bumper.co.uk/" TargetMode="External"/><Relationship Id="rId1" Type="http://schemas.openxmlformats.org/officeDocument/2006/relationships/hyperlink" Target="http://www.parkerdairies.co.u/" TargetMode="External"/><Relationship Id="rId6" Type="http://schemas.openxmlformats.org/officeDocument/2006/relationships/hyperlink" Target="http://aliexpress.com/" TargetMode="External"/><Relationship Id="rId11" Type="http://schemas.openxmlformats.org/officeDocument/2006/relationships/hyperlink" Target="http://bumper.co.uk/" TargetMode="External"/><Relationship Id="rId24" Type="http://schemas.openxmlformats.org/officeDocument/2006/relationships/hyperlink" Target="http://apple.com/" TargetMode="External"/><Relationship Id="rId32" Type="http://schemas.openxmlformats.org/officeDocument/2006/relationships/hyperlink" Target="http://netflix.com/" TargetMode="External"/><Relationship Id="rId5" Type="http://schemas.openxmlformats.org/officeDocument/2006/relationships/hyperlink" Target="http://www.gov.uk/" TargetMode="External"/><Relationship Id="rId15" Type="http://schemas.openxmlformats.org/officeDocument/2006/relationships/hyperlink" Target="http://www.pay-dartford-cross/" TargetMode="External"/><Relationship Id="rId23" Type="http://schemas.openxmlformats.org/officeDocument/2006/relationships/hyperlink" Target="http://aliexpress.com/" TargetMode="External"/><Relationship Id="rId28" Type="http://schemas.openxmlformats.org/officeDocument/2006/relationships/hyperlink" Target="http://www.pay-dartford-cross/" TargetMode="External"/><Relationship Id="rId10" Type="http://schemas.openxmlformats.org/officeDocument/2006/relationships/hyperlink" Target="http://www.gov.uk/" TargetMode="External"/><Relationship Id="rId19" Type="http://schemas.openxmlformats.org/officeDocument/2006/relationships/hyperlink" Target="http://digitalocean.com/" TargetMode="External"/><Relationship Id="rId31" Type="http://schemas.openxmlformats.org/officeDocument/2006/relationships/hyperlink" Target="http://char.gy/" TargetMode="External"/><Relationship Id="rId4" Type="http://schemas.openxmlformats.org/officeDocument/2006/relationships/hyperlink" Target="http://www.gov.uk/" TargetMode="External"/><Relationship Id="rId9" Type="http://schemas.openxmlformats.org/officeDocument/2006/relationships/hyperlink" Target="http://aliexpress.com/" TargetMode="External"/><Relationship Id="rId14" Type="http://schemas.openxmlformats.org/officeDocument/2006/relationships/hyperlink" Target="http://www.pay-dartford-cross/" TargetMode="External"/><Relationship Id="rId22" Type="http://schemas.openxmlformats.org/officeDocument/2006/relationships/hyperlink" Target="http://bumper.co.uk/" TargetMode="External"/><Relationship Id="rId27" Type="http://schemas.openxmlformats.org/officeDocument/2006/relationships/hyperlink" Target="http://apple.com/" TargetMode="External"/><Relationship Id="rId30" Type="http://schemas.openxmlformats.org/officeDocument/2006/relationships/hyperlink" Target="http://www.hertsmere.gov.uk/" TargetMode="External"/><Relationship Id="rId8" Type="http://schemas.openxmlformats.org/officeDocument/2006/relationships/hyperlink" Target="http://alibaba.com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netflix.com/" TargetMode="External"/><Relationship Id="rId1" Type="http://schemas.openxmlformats.org/officeDocument/2006/relationships/hyperlink" Target="http://apple.com/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://ubitricity.com/" TargetMode="External"/><Relationship Id="rId18" Type="http://schemas.openxmlformats.org/officeDocument/2006/relationships/hyperlink" Target="http://ubitricity.com/" TargetMode="External"/><Relationship Id="rId26" Type="http://schemas.openxmlformats.org/officeDocument/2006/relationships/hyperlink" Target="http://ubitricity.com/" TargetMode="External"/><Relationship Id="rId39" Type="http://schemas.openxmlformats.org/officeDocument/2006/relationships/hyperlink" Target="http://ubitricity.com/" TargetMode="External"/><Relationship Id="rId21" Type="http://schemas.openxmlformats.org/officeDocument/2006/relationships/hyperlink" Target="http://ubitricity.com/" TargetMode="External"/><Relationship Id="rId34" Type="http://schemas.openxmlformats.org/officeDocument/2006/relationships/hyperlink" Target="http://ubitricity.com/" TargetMode="External"/><Relationship Id="rId42" Type="http://schemas.openxmlformats.org/officeDocument/2006/relationships/hyperlink" Target="http://ubitricity.com/" TargetMode="External"/><Relationship Id="rId47" Type="http://schemas.openxmlformats.org/officeDocument/2006/relationships/hyperlink" Target="http://ubitricity.com/" TargetMode="External"/><Relationship Id="rId50" Type="http://schemas.openxmlformats.org/officeDocument/2006/relationships/hyperlink" Target="http://ubitricity.com/" TargetMode="External"/><Relationship Id="rId55" Type="http://schemas.openxmlformats.org/officeDocument/2006/relationships/hyperlink" Target="http://ubitricity.com/" TargetMode="External"/><Relationship Id="rId7" Type="http://schemas.openxmlformats.org/officeDocument/2006/relationships/hyperlink" Target="http://ubitricity.com/" TargetMode="External"/><Relationship Id="rId2" Type="http://schemas.openxmlformats.org/officeDocument/2006/relationships/hyperlink" Target="http://ubitricity.com/" TargetMode="External"/><Relationship Id="rId16" Type="http://schemas.openxmlformats.org/officeDocument/2006/relationships/hyperlink" Target="http://ubitricity.com/" TargetMode="External"/><Relationship Id="rId29" Type="http://schemas.openxmlformats.org/officeDocument/2006/relationships/hyperlink" Target="http://ubitricity.com/" TargetMode="External"/><Relationship Id="rId11" Type="http://schemas.openxmlformats.org/officeDocument/2006/relationships/hyperlink" Target="http://ubitricity.com/" TargetMode="External"/><Relationship Id="rId24" Type="http://schemas.openxmlformats.org/officeDocument/2006/relationships/hyperlink" Target="http://ubitricity.com/" TargetMode="External"/><Relationship Id="rId32" Type="http://schemas.openxmlformats.org/officeDocument/2006/relationships/hyperlink" Target="http://ubitricity.com/" TargetMode="External"/><Relationship Id="rId37" Type="http://schemas.openxmlformats.org/officeDocument/2006/relationships/hyperlink" Target="http://ubitricity.com/" TargetMode="External"/><Relationship Id="rId40" Type="http://schemas.openxmlformats.org/officeDocument/2006/relationships/hyperlink" Target="http://ubitricity.com/" TargetMode="External"/><Relationship Id="rId45" Type="http://schemas.openxmlformats.org/officeDocument/2006/relationships/hyperlink" Target="http://ubitricity.com/" TargetMode="External"/><Relationship Id="rId53" Type="http://schemas.openxmlformats.org/officeDocument/2006/relationships/hyperlink" Target="http://ubitricity.com/" TargetMode="External"/><Relationship Id="rId58" Type="http://schemas.openxmlformats.org/officeDocument/2006/relationships/hyperlink" Target="http://ubitricity.com/" TargetMode="External"/><Relationship Id="rId5" Type="http://schemas.openxmlformats.org/officeDocument/2006/relationships/hyperlink" Target="http://ubitricity.com/" TargetMode="External"/><Relationship Id="rId61" Type="http://schemas.openxmlformats.org/officeDocument/2006/relationships/hyperlink" Target="http://ubitricity.com/" TargetMode="External"/><Relationship Id="rId19" Type="http://schemas.openxmlformats.org/officeDocument/2006/relationships/hyperlink" Target="http://ubitricity.com/" TargetMode="External"/><Relationship Id="rId14" Type="http://schemas.openxmlformats.org/officeDocument/2006/relationships/hyperlink" Target="http://ubitricity.com/" TargetMode="External"/><Relationship Id="rId22" Type="http://schemas.openxmlformats.org/officeDocument/2006/relationships/hyperlink" Target="http://ubitricity.com/" TargetMode="External"/><Relationship Id="rId27" Type="http://schemas.openxmlformats.org/officeDocument/2006/relationships/hyperlink" Target="http://ubitricity.com/" TargetMode="External"/><Relationship Id="rId30" Type="http://schemas.openxmlformats.org/officeDocument/2006/relationships/hyperlink" Target="http://ubitricity.com/" TargetMode="External"/><Relationship Id="rId35" Type="http://schemas.openxmlformats.org/officeDocument/2006/relationships/hyperlink" Target="http://ubitricity.com/" TargetMode="External"/><Relationship Id="rId43" Type="http://schemas.openxmlformats.org/officeDocument/2006/relationships/hyperlink" Target="http://ubitricity.com/" TargetMode="External"/><Relationship Id="rId48" Type="http://schemas.openxmlformats.org/officeDocument/2006/relationships/hyperlink" Target="http://ubitricity.com/" TargetMode="External"/><Relationship Id="rId56" Type="http://schemas.openxmlformats.org/officeDocument/2006/relationships/hyperlink" Target="http://ubitricity.com/" TargetMode="External"/><Relationship Id="rId8" Type="http://schemas.openxmlformats.org/officeDocument/2006/relationships/hyperlink" Target="http://ubitricity.com/" TargetMode="External"/><Relationship Id="rId51" Type="http://schemas.openxmlformats.org/officeDocument/2006/relationships/hyperlink" Target="http://ubitricity.com/" TargetMode="External"/><Relationship Id="rId3" Type="http://schemas.openxmlformats.org/officeDocument/2006/relationships/hyperlink" Target="http://ubitricity.com/" TargetMode="External"/><Relationship Id="rId12" Type="http://schemas.openxmlformats.org/officeDocument/2006/relationships/hyperlink" Target="http://ubitricity.com/" TargetMode="External"/><Relationship Id="rId17" Type="http://schemas.openxmlformats.org/officeDocument/2006/relationships/hyperlink" Target="http://ubitricity.com/" TargetMode="External"/><Relationship Id="rId25" Type="http://schemas.openxmlformats.org/officeDocument/2006/relationships/hyperlink" Target="http://ubitricity.com/" TargetMode="External"/><Relationship Id="rId33" Type="http://schemas.openxmlformats.org/officeDocument/2006/relationships/hyperlink" Target="http://ubitricity.com/" TargetMode="External"/><Relationship Id="rId38" Type="http://schemas.openxmlformats.org/officeDocument/2006/relationships/hyperlink" Target="http://ubitricity.com/" TargetMode="External"/><Relationship Id="rId46" Type="http://schemas.openxmlformats.org/officeDocument/2006/relationships/hyperlink" Target="http://ubitricity.com/" TargetMode="External"/><Relationship Id="rId59" Type="http://schemas.openxmlformats.org/officeDocument/2006/relationships/hyperlink" Target="http://ubitricity.com/" TargetMode="External"/><Relationship Id="rId20" Type="http://schemas.openxmlformats.org/officeDocument/2006/relationships/hyperlink" Target="http://ubitricity.com/" TargetMode="External"/><Relationship Id="rId41" Type="http://schemas.openxmlformats.org/officeDocument/2006/relationships/hyperlink" Target="http://ubitricity.com/" TargetMode="External"/><Relationship Id="rId54" Type="http://schemas.openxmlformats.org/officeDocument/2006/relationships/hyperlink" Target="http://ubitricity.com/" TargetMode="External"/><Relationship Id="rId62" Type="http://schemas.openxmlformats.org/officeDocument/2006/relationships/hyperlink" Target="http://ubitricity.com/" TargetMode="External"/><Relationship Id="rId1" Type="http://schemas.openxmlformats.org/officeDocument/2006/relationships/hyperlink" Target="http://ubitricity.com/" TargetMode="External"/><Relationship Id="rId6" Type="http://schemas.openxmlformats.org/officeDocument/2006/relationships/hyperlink" Target="http://ubitricity.com/" TargetMode="External"/><Relationship Id="rId15" Type="http://schemas.openxmlformats.org/officeDocument/2006/relationships/hyperlink" Target="http://ubitricity.com/" TargetMode="External"/><Relationship Id="rId23" Type="http://schemas.openxmlformats.org/officeDocument/2006/relationships/hyperlink" Target="http://ubitricity.com/" TargetMode="External"/><Relationship Id="rId28" Type="http://schemas.openxmlformats.org/officeDocument/2006/relationships/hyperlink" Target="http://ubitricity.com/" TargetMode="External"/><Relationship Id="rId36" Type="http://schemas.openxmlformats.org/officeDocument/2006/relationships/hyperlink" Target="http://ubitricity.com/" TargetMode="External"/><Relationship Id="rId49" Type="http://schemas.openxmlformats.org/officeDocument/2006/relationships/hyperlink" Target="http://ubitricity.com/" TargetMode="External"/><Relationship Id="rId57" Type="http://schemas.openxmlformats.org/officeDocument/2006/relationships/hyperlink" Target="http://ubitricity.com/" TargetMode="External"/><Relationship Id="rId10" Type="http://schemas.openxmlformats.org/officeDocument/2006/relationships/hyperlink" Target="http://ubitricity.com/" TargetMode="External"/><Relationship Id="rId31" Type="http://schemas.openxmlformats.org/officeDocument/2006/relationships/hyperlink" Target="http://ubitricity.com/" TargetMode="External"/><Relationship Id="rId44" Type="http://schemas.openxmlformats.org/officeDocument/2006/relationships/hyperlink" Target="http://ubitricity.com/" TargetMode="External"/><Relationship Id="rId52" Type="http://schemas.openxmlformats.org/officeDocument/2006/relationships/hyperlink" Target="http://ubitricity.com/" TargetMode="External"/><Relationship Id="rId60" Type="http://schemas.openxmlformats.org/officeDocument/2006/relationships/hyperlink" Target="http://ubitricity.com/" TargetMode="External"/><Relationship Id="rId4" Type="http://schemas.openxmlformats.org/officeDocument/2006/relationships/hyperlink" Target="http://ubitricity.com/" TargetMode="External"/><Relationship Id="rId9" Type="http://schemas.openxmlformats.org/officeDocument/2006/relationships/hyperlink" Target="http://ubitricit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150"/>
  <sheetViews>
    <sheetView workbookViewId="0"/>
  </sheetViews>
  <sheetFormatPr defaultColWidth="12.6640625" defaultRowHeight="15.75" customHeight="1" x14ac:dyDescent="0.25"/>
  <cols>
    <col min="6" max="6" width="38.33203125" customWidth="1"/>
    <col min="7" max="7" width="23.88671875" customWidth="1"/>
  </cols>
  <sheetData>
    <row r="1" spans="1:3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2"/>
    </row>
    <row r="2" spans="1:30" ht="15.75" customHeight="1" x14ac:dyDescent="0.3">
      <c r="A2" s="3">
        <v>46071</v>
      </c>
      <c r="B2" s="4">
        <v>46072</v>
      </c>
      <c r="C2" s="1" t="s">
        <v>28</v>
      </c>
      <c r="D2" s="1" t="s">
        <v>29</v>
      </c>
      <c r="E2" s="1" t="s">
        <v>30</v>
      </c>
      <c r="F2" s="44" t="s">
        <v>31</v>
      </c>
      <c r="G2" s="45"/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5">
        <v>8</v>
      </c>
      <c r="N2" s="1" t="s">
        <v>36</v>
      </c>
      <c r="O2" s="5">
        <v>-8</v>
      </c>
      <c r="P2" s="5">
        <v>-8</v>
      </c>
      <c r="Q2" s="1"/>
      <c r="R2" s="5">
        <v>0</v>
      </c>
      <c r="S2" s="1" t="s">
        <v>36</v>
      </c>
      <c r="T2" s="5">
        <v>4717.6899999999996</v>
      </c>
      <c r="U2" s="1" t="s">
        <v>37</v>
      </c>
      <c r="V2" s="1"/>
      <c r="W2" s="1"/>
      <c r="X2" s="1"/>
      <c r="Y2" s="1"/>
      <c r="Z2" s="5">
        <v>7523</v>
      </c>
      <c r="AA2" s="1"/>
      <c r="AB2" s="1"/>
      <c r="AC2" s="2"/>
      <c r="AD2" s="2"/>
    </row>
    <row r="3" spans="1:30" ht="15.75" customHeight="1" x14ac:dyDescent="0.3">
      <c r="A3" s="3">
        <v>46071</v>
      </c>
      <c r="B3" s="4">
        <v>46072</v>
      </c>
      <c r="C3" s="1" t="s">
        <v>38</v>
      </c>
      <c r="D3" s="1" t="s">
        <v>29</v>
      </c>
      <c r="E3" s="1" t="s">
        <v>30</v>
      </c>
      <c r="F3" s="44" t="s">
        <v>39</v>
      </c>
      <c r="G3" s="45"/>
      <c r="H3" s="1" t="s">
        <v>32</v>
      </c>
      <c r="I3" s="1" t="s">
        <v>40</v>
      </c>
      <c r="J3" s="1" t="s">
        <v>41</v>
      </c>
      <c r="K3" s="1" t="s">
        <v>35</v>
      </c>
      <c r="L3" s="1" t="s">
        <v>36</v>
      </c>
      <c r="M3" s="5">
        <v>1.99</v>
      </c>
      <c r="N3" s="1" t="s">
        <v>36</v>
      </c>
      <c r="O3" s="5">
        <v>-1.99</v>
      </c>
      <c r="P3" s="5">
        <v>-1.99</v>
      </c>
      <c r="Q3" s="1"/>
      <c r="R3" s="5">
        <v>0</v>
      </c>
      <c r="S3" s="1" t="s">
        <v>36</v>
      </c>
      <c r="T3" s="5">
        <v>4725.6899999999996</v>
      </c>
      <c r="U3" s="1" t="s">
        <v>37</v>
      </c>
      <c r="V3" s="1"/>
      <c r="W3" s="1"/>
      <c r="X3" s="1"/>
      <c r="Y3" s="1"/>
      <c r="Z3" s="5">
        <v>7523</v>
      </c>
      <c r="AA3" s="1"/>
      <c r="AB3" s="1"/>
      <c r="AC3" s="2"/>
      <c r="AD3" s="2"/>
    </row>
    <row r="4" spans="1:30" ht="15.75" customHeight="1" x14ac:dyDescent="0.3">
      <c r="A4" s="3">
        <v>46071</v>
      </c>
      <c r="B4" s="4">
        <v>46071</v>
      </c>
      <c r="C4" s="1" t="s">
        <v>42</v>
      </c>
      <c r="D4" s="1" t="s">
        <v>43</v>
      </c>
      <c r="E4" s="1" t="s">
        <v>30</v>
      </c>
      <c r="F4" s="1" t="s">
        <v>44</v>
      </c>
      <c r="G4" s="1" t="s">
        <v>45</v>
      </c>
      <c r="H4" s="44" t="s">
        <v>32</v>
      </c>
      <c r="I4" s="45"/>
      <c r="J4" s="1"/>
      <c r="K4" s="1"/>
      <c r="L4" s="1" t="s">
        <v>36</v>
      </c>
      <c r="M4" s="5">
        <v>120</v>
      </c>
      <c r="N4" s="1" t="s">
        <v>36</v>
      </c>
      <c r="O4" s="5">
        <v>-120</v>
      </c>
      <c r="P4" s="5">
        <v>-120.2</v>
      </c>
      <c r="Q4" s="1"/>
      <c r="R4" s="5">
        <v>-0.2</v>
      </c>
      <c r="S4" s="1" t="s">
        <v>36</v>
      </c>
      <c r="T4" s="5">
        <v>4727.68</v>
      </c>
      <c r="U4" s="1" t="s">
        <v>37</v>
      </c>
      <c r="V4" s="5">
        <v>81777815</v>
      </c>
      <c r="W4" s="5">
        <v>400234</v>
      </c>
      <c r="X4" s="1"/>
      <c r="Y4" s="1"/>
      <c r="Z4" s="1"/>
      <c r="AA4" s="1"/>
      <c r="AB4" s="1"/>
      <c r="AC4" s="2"/>
      <c r="AD4" s="2"/>
    </row>
    <row r="5" spans="1:30" ht="15.75" customHeight="1" x14ac:dyDescent="0.3">
      <c r="A5" s="3">
        <v>46071</v>
      </c>
      <c r="B5" s="4">
        <v>46071</v>
      </c>
      <c r="C5" s="1" t="s">
        <v>46</v>
      </c>
      <c r="D5" s="1" t="s">
        <v>29</v>
      </c>
      <c r="E5" s="1" t="s">
        <v>30</v>
      </c>
      <c r="F5" s="44" t="s">
        <v>47</v>
      </c>
      <c r="G5" s="45"/>
      <c r="H5" s="1" t="s">
        <v>32</v>
      </c>
      <c r="I5" s="1" t="s">
        <v>40</v>
      </c>
      <c r="J5" s="1" t="s">
        <v>41</v>
      </c>
      <c r="K5" s="1" t="s">
        <v>35</v>
      </c>
      <c r="L5" s="1" t="s">
        <v>36</v>
      </c>
      <c r="M5" s="5">
        <v>12</v>
      </c>
      <c r="N5" s="1" t="s">
        <v>36</v>
      </c>
      <c r="O5" s="5">
        <v>-12</v>
      </c>
      <c r="P5" s="5">
        <v>-12</v>
      </c>
      <c r="Q5" s="1"/>
      <c r="R5" s="5">
        <v>0</v>
      </c>
      <c r="S5" s="1" t="s">
        <v>36</v>
      </c>
      <c r="T5" s="5">
        <v>4847.88</v>
      </c>
      <c r="U5" s="1" t="s">
        <v>37</v>
      </c>
      <c r="V5" s="1"/>
      <c r="W5" s="1"/>
      <c r="X5" s="1"/>
      <c r="Y5" s="1"/>
      <c r="Z5" s="5">
        <v>8999</v>
      </c>
      <c r="AA5" s="1"/>
      <c r="AB5" s="1"/>
      <c r="AC5" s="2"/>
      <c r="AD5" s="2"/>
    </row>
    <row r="6" spans="1:30" ht="15.75" customHeight="1" x14ac:dyDescent="0.3">
      <c r="A6" s="3">
        <v>46070</v>
      </c>
      <c r="B6" s="4">
        <v>46071</v>
      </c>
      <c r="C6" s="1" t="s">
        <v>48</v>
      </c>
      <c r="D6" s="1" t="s">
        <v>29</v>
      </c>
      <c r="E6" s="1" t="s">
        <v>30</v>
      </c>
      <c r="F6" s="44" t="s">
        <v>31</v>
      </c>
      <c r="G6" s="45"/>
      <c r="H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5">
        <v>14.9</v>
      </c>
      <c r="N6" s="1" t="s">
        <v>36</v>
      </c>
      <c r="O6" s="5">
        <v>-14.9</v>
      </c>
      <c r="P6" s="5">
        <v>-14.9</v>
      </c>
      <c r="Q6" s="1"/>
      <c r="R6" s="5">
        <v>0</v>
      </c>
      <c r="S6" s="1" t="s">
        <v>36</v>
      </c>
      <c r="T6" s="5">
        <v>4859.88</v>
      </c>
      <c r="U6" s="1" t="s">
        <v>37</v>
      </c>
      <c r="V6" s="1"/>
      <c r="W6" s="1"/>
      <c r="X6" s="1"/>
      <c r="Y6" s="1"/>
      <c r="Z6" s="5">
        <v>7523</v>
      </c>
      <c r="AA6" s="1"/>
      <c r="AB6" s="1"/>
      <c r="AC6" s="2"/>
      <c r="AD6" s="2"/>
    </row>
    <row r="7" spans="1:30" ht="15.75" customHeight="1" x14ac:dyDescent="0.3">
      <c r="A7" s="3">
        <v>46070</v>
      </c>
      <c r="B7" s="4">
        <v>46071</v>
      </c>
      <c r="C7" s="1" t="s">
        <v>49</v>
      </c>
      <c r="D7" s="1" t="s">
        <v>29</v>
      </c>
      <c r="E7" s="1" t="s">
        <v>30</v>
      </c>
      <c r="F7" s="44" t="s">
        <v>50</v>
      </c>
      <c r="G7" s="45"/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5">
        <v>42.5</v>
      </c>
      <c r="N7" s="1" t="s">
        <v>36</v>
      </c>
      <c r="O7" s="5">
        <v>-42.5</v>
      </c>
      <c r="P7" s="5">
        <v>-42.5</v>
      </c>
      <c r="Q7" s="1"/>
      <c r="R7" s="5">
        <v>0</v>
      </c>
      <c r="S7" s="1" t="s">
        <v>36</v>
      </c>
      <c r="T7" s="5">
        <v>4874.78</v>
      </c>
      <c r="U7" s="1" t="s">
        <v>37</v>
      </c>
      <c r="V7" s="1"/>
      <c r="W7" s="1"/>
      <c r="X7" s="1"/>
      <c r="Y7" s="1"/>
      <c r="Z7" s="5">
        <v>7322</v>
      </c>
      <c r="AA7" s="1"/>
      <c r="AB7" s="1"/>
      <c r="AC7" s="2"/>
      <c r="AD7" s="2"/>
    </row>
    <row r="8" spans="1:30" ht="15.75" customHeight="1" x14ac:dyDescent="0.3">
      <c r="A8" s="3">
        <v>46070</v>
      </c>
      <c r="B8" s="4">
        <v>46070</v>
      </c>
      <c r="C8" s="1" t="s">
        <v>51</v>
      </c>
      <c r="D8" s="1" t="s">
        <v>52</v>
      </c>
      <c r="E8" s="1" t="s">
        <v>30</v>
      </c>
      <c r="F8" s="1" t="s">
        <v>53</v>
      </c>
      <c r="G8" s="1" t="s">
        <v>54</v>
      </c>
      <c r="H8" s="1"/>
      <c r="I8" s="1"/>
      <c r="J8" s="1"/>
      <c r="K8" s="1"/>
      <c r="L8" s="1" t="s">
        <v>36</v>
      </c>
      <c r="M8" s="5">
        <v>2688</v>
      </c>
      <c r="N8" s="1" t="s">
        <v>36</v>
      </c>
      <c r="O8" s="5">
        <v>2688</v>
      </c>
      <c r="P8" s="5">
        <v>2688</v>
      </c>
      <c r="Q8" s="1"/>
      <c r="R8" s="5">
        <v>0</v>
      </c>
      <c r="S8" s="1" t="s">
        <v>36</v>
      </c>
      <c r="T8" s="5">
        <v>4917.28</v>
      </c>
      <c r="U8" s="1" t="s">
        <v>37</v>
      </c>
      <c r="V8" s="1"/>
      <c r="W8" s="1"/>
      <c r="X8" s="1"/>
      <c r="Y8" s="1"/>
      <c r="Z8" s="1"/>
      <c r="AA8" s="1"/>
      <c r="AB8" s="1"/>
      <c r="AC8" s="2"/>
      <c r="AD8" s="2"/>
    </row>
    <row r="9" spans="1:30" ht="15.75" customHeight="1" x14ac:dyDescent="0.3">
      <c r="A9" s="3">
        <v>46070</v>
      </c>
      <c r="B9" s="4">
        <v>46070</v>
      </c>
      <c r="C9" s="1" t="s">
        <v>55</v>
      </c>
      <c r="D9" s="1" t="s">
        <v>43</v>
      </c>
      <c r="E9" s="1" t="s">
        <v>30</v>
      </c>
      <c r="F9" s="1" t="s">
        <v>56</v>
      </c>
      <c r="G9" s="1" t="s">
        <v>57</v>
      </c>
      <c r="H9" s="44" t="s">
        <v>32</v>
      </c>
      <c r="I9" s="45"/>
      <c r="J9" s="1"/>
      <c r="K9" s="1"/>
      <c r="L9" s="1" t="s">
        <v>36</v>
      </c>
      <c r="M9" s="5">
        <v>287.5</v>
      </c>
      <c r="N9" s="1" t="s">
        <v>36</v>
      </c>
      <c r="O9" s="5">
        <v>-287.5</v>
      </c>
      <c r="P9" s="5">
        <v>-287.7</v>
      </c>
      <c r="Q9" s="1"/>
      <c r="R9" s="5">
        <v>-0.2</v>
      </c>
      <c r="S9" s="1" t="s">
        <v>36</v>
      </c>
      <c r="T9" s="5">
        <v>2229.2800000000002</v>
      </c>
      <c r="U9" s="1" t="s">
        <v>37</v>
      </c>
      <c r="V9" s="5">
        <v>85669377</v>
      </c>
      <c r="W9" s="5">
        <v>40004</v>
      </c>
      <c r="X9" s="1"/>
      <c r="Y9" s="1"/>
      <c r="Z9" s="1"/>
      <c r="AA9" s="1"/>
      <c r="AB9" s="1"/>
      <c r="AC9" s="2"/>
      <c r="AD9" s="2"/>
    </row>
    <row r="10" spans="1:30" ht="15.75" customHeight="1" x14ac:dyDescent="0.3">
      <c r="A10" s="3">
        <v>46070</v>
      </c>
      <c r="B10" s="4">
        <v>46070</v>
      </c>
      <c r="C10" s="1" t="s">
        <v>58</v>
      </c>
      <c r="D10" s="1" t="s">
        <v>52</v>
      </c>
      <c r="E10" s="1" t="s">
        <v>30</v>
      </c>
      <c r="F10" s="1" t="s">
        <v>59</v>
      </c>
      <c r="G10" s="1" t="s">
        <v>60</v>
      </c>
      <c r="H10" s="1"/>
      <c r="I10" s="1"/>
      <c r="J10" s="1"/>
      <c r="K10" s="1"/>
      <c r="L10" s="1" t="s">
        <v>36</v>
      </c>
      <c r="M10" s="5">
        <v>488</v>
      </c>
      <c r="N10" s="1" t="s">
        <v>36</v>
      </c>
      <c r="O10" s="5">
        <v>488</v>
      </c>
      <c r="P10" s="5">
        <v>488</v>
      </c>
      <c r="Q10" s="1"/>
      <c r="R10" s="5">
        <v>0</v>
      </c>
      <c r="S10" s="1" t="s">
        <v>36</v>
      </c>
      <c r="T10" s="5">
        <v>2516.98</v>
      </c>
      <c r="U10" s="1" t="s">
        <v>37</v>
      </c>
      <c r="V10" s="1"/>
      <c r="W10" s="1"/>
      <c r="X10" s="1"/>
      <c r="Y10" s="1"/>
      <c r="Z10" s="1"/>
      <c r="AA10" s="1"/>
      <c r="AB10" s="1"/>
      <c r="AC10" s="2"/>
      <c r="AD10" s="2"/>
    </row>
    <row r="11" spans="1:30" ht="15.75" customHeight="1" x14ac:dyDescent="0.3">
      <c r="A11" s="3">
        <v>46069</v>
      </c>
      <c r="B11" s="4">
        <v>46070</v>
      </c>
      <c r="C11" s="1" t="s">
        <v>61</v>
      </c>
      <c r="D11" s="1" t="s">
        <v>29</v>
      </c>
      <c r="E11" s="1" t="s">
        <v>30</v>
      </c>
      <c r="F11" s="44" t="s">
        <v>31</v>
      </c>
      <c r="G11" s="45"/>
      <c r="H11" s="1" t="s">
        <v>32</v>
      </c>
      <c r="I11" s="1" t="s">
        <v>33</v>
      </c>
      <c r="J11" s="1" t="s">
        <v>34</v>
      </c>
      <c r="K11" s="1" t="s">
        <v>35</v>
      </c>
      <c r="L11" s="1" t="s">
        <v>36</v>
      </c>
      <c r="M11" s="5">
        <v>8</v>
      </c>
      <c r="N11" s="1" t="s">
        <v>36</v>
      </c>
      <c r="O11" s="5">
        <v>-8</v>
      </c>
      <c r="P11" s="5">
        <v>-8</v>
      </c>
      <c r="Q11" s="1"/>
      <c r="R11" s="5">
        <v>0</v>
      </c>
      <c r="S11" s="1" t="s">
        <v>36</v>
      </c>
      <c r="T11" s="5">
        <v>2028.98</v>
      </c>
      <c r="U11" s="1" t="s">
        <v>37</v>
      </c>
      <c r="V11" s="1"/>
      <c r="W11" s="1"/>
      <c r="X11" s="1"/>
      <c r="Y11" s="1"/>
      <c r="Z11" s="5">
        <v>7523</v>
      </c>
      <c r="AA11" s="1"/>
      <c r="AB11" s="1"/>
      <c r="AC11" s="2"/>
      <c r="AD11" s="2"/>
    </row>
    <row r="12" spans="1:30" ht="15.75" customHeight="1" x14ac:dyDescent="0.3">
      <c r="A12" s="3">
        <v>46069</v>
      </c>
      <c r="B12" s="4">
        <v>46070</v>
      </c>
      <c r="C12" s="1" t="s">
        <v>62</v>
      </c>
      <c r="D12" s="1" t="s">
        <v>29</v>
      </c>
      <c r="E12" s="1" t="s">
        <v>30</v>
      </c>
      <c r="F12" s="44" t="s">
        <v>63</v>
      </c>
      <c r="G12" s="45"/>
      <c r="H12" s="1" t="s">
        <v>32</v>
      </c>
      <c r="I12" s="1" t="s">
        <v>40</v>
      </c>
      <c r="J12" s="1" t="s">
        <v>41</v>
      </c>
      <c r="K12" s="1" t="s">
        <v>35</v>
      </c>
      <c r="L12" s="1" t="s">
        <v>36</v>
      </c>
      <c r="M12" s="5">
        <v>7</v>
      </c>
      <c r="N12" s="1" t="s">
        <v>36</v>
      </c>
      <c r="O12" s="5">
        <v>-7</v>
      </c>
      <c r="P12" s="5">
        <v>-7</v>
      </c>
      <c r="Q12" s="1"/>
      <c r="R12" s="5">
        <v>0</v>
      </c>
      <c r="S12" s="1" t="s">
        <v>36</v>
      </c>
      <c r="T12" s="5">
        <v>2036.98</v>
      </c>
      <c r="U12" s="1" t="s">
        <v>37</v>
      </c>
      <c r="V12" s="1"/>
      <c r="W12" s="1"/>
      <c r="X12" s="1"/>
      <c r="Y12" s="1"/>
      <c r="Z12" s="5">
        <v>7523</v>
      </c>
      <c r="AA12" s="1"/>
      <c r="AB12" s="1"/>
      <c r="AC12" s="2"/>
      <c r="AD12" s="2"/>
    </row>
    <row r="13" spans="1:30" ht="15.75" customHeight="1" x14ac:dyDescent="0.3">
      <c r="A13" s="3">
        <v>46069</v>
      </c>
      <c r="B13" s="4">
        <v>46069</v>
      </c>
      <c r="C13" s="1" t="s">
        <v>64</v>
      </c>
      <c r="D13" s="1" t="s">
        <v>43</v>
      </c>
      <c r="E13" s="1" t="s">
        <v>30</v>
      </c>
      <c r="F13" s="1" t="s">
        <v>56</v>
      </c>
      <c r="G13" s="6" t="s">
        <v>57</v>
      </c>
      <c r="H13" s="44" t="s">
        <v>32</v>
      </c>
      <c r="I13" s="45"/>
      <c r="J13" s="1"/>
      <c r="K13" s="1"/>
      <c r="L13" s="1" t="s">
        <v>36</v>
      </c>
      <c r="M13" s="5">
        <v>200</v>
      </c>
      <c r="N13" s="1" t="s">
        <v>36</v>
      </c>
      <c r="O13" s="5">
        <v>-200</v>
      </c>
      <c r="P13" s="5">
        <v>-200.2</v>
      </c>
      <c r="Q13" s="1"/>
      <c r="R13" s="5">
        <v>-0.2</v>
      </c>
      <c r="S13" s="1" t="s">
        <v>36</v>
      </c>
      <c r="T13" s="5">
        <v>2043.98</v>
      </c>
      <c r="U13" s="1" t="s">
        <v>37</v>
      </c>
      <c r="V13" s="5">
        <v>85669377</v>
      </c>
      <c r="W13" s="5">
        <v>40004</v>
      </c>
      <c r="X13" s="1"/>
      <c r="Y13" s="1"/>
      <c r="Z13" s="1"/>
      <c r="AA13" s="1"/>
      <c r="AB13" s="1"/>
      <c r="AC13" s="2"/>
      <c r="AD13" s="2"/>
    </row>
    <row r="14" spans="1:30" ht="15.75" customHeight="1" x14ac:dyDescent="0.3">
      <c r="A14" s="3">
        <v>46069</v>
      </c>
      <c r="B14" s="4">
        <v>46069</v>
      </c>
      <c r="C14" s="1" t="s">
        <v>65</v>
      </c>
      <c r="D14" s="1" t="s">
        <v>43</v>
      </c>
      <c r="E14" s="1" t="s">
        <v>30</v>
      </c>
      <c r="F14" s="1" t="s">
        <v>66</v>
      </c>
      <c r="G14" s="1" t="s">
        <v>67</v>
      </c>
      <c r="H14" s="44" t="s">
        <v>32</v>
      </c>
      <c r="I14" s="45"/>
      <c r="J14" s="1"/>
      <c r="K14" s="1"/>
      <c r="L14" s="1" t="s">
        <v>36</v>
      </c>
      <c r="M14" s="5">
        <v>976</v>
      </c>
      <c r="N14" s="1" t="s">
        <v>36</v>
      </c>
      <c r="O14" s="5">
        <v>-976</v>
      </c>
      <c r="P14" s="5">
        <v>-976.2</v>
      </c>
      <c r="Q14" s="1"/>
      <c r="R14" s="5">
        <v>-0.2</v>
      </c>
      <c r="S14" s="1" t="s">
        <v>36</v>
      </c>
      <c r="T14" s="5">
        <v>2244.1799999999998</v>
      </c>
      <c r="U14" s="1" t="s">
        <v>37</v>
      </c>
      <c r="V14" s="5">
        <v>47239381</v>
      </c>
      <c r="W14" s="5">
        <v>90128</v>
      </c>
      <c r="X14" s="1"/>
      <c r="Y14" s="1"/>
      <c r="Z14" s="1"/>
      <c r="AA14" s="1"/>
      <c r="AB14" s="1"/>
      <c r="AC14" s="2"/>
      <c r="AD14" s="2"/>
    </row>
    <row r="15" spans="1:30" ht="15.75" customHeight="1" x14ac:dyDescent="0.3">
      <c r="A15" s="3">
        <v>46069</v>
      </c>
      <c r="B15" s="4">
        <v>46069</v>
      </c>
      <c r="C15" s="1" t="s">
        <v>68</v>
      </c>
      <c r="D15" s="1" t="s">
        <v>43</v>
      </c>
      <c r="E15" s="1" t="s">
        <v>30</v>
      </c>
      <c r="F15" s="1" t="s">
        <v>69</v>
      </c>
      <c r="G15" s="1" t="s">
        <v>67</v>
      </c>
      <c r="H15" s="44" t="s">
        <v>32</v>
      </c>
      <c r="I15" s="45"/>
      <c r="J15" s="1"/>
      <c r="K15" s="1"/>
      <c r="L15" s="1" t="s">
        <v>36</v>
      </c>
      <c r="M15" s="5">
        <v>976</v>
      </c>
      <c r="N15" s="1" t="s">
        <v>36</v>
      </c>
      <c r="O15" s="5">
        <v>-976</v>
      </c>
      <c r="P15" s="5">
        <v>-976.2</v>
      </c>
      <c r="Q15" s="1"/>
      <c r="R15" s="5">
        <v>-0.2</v>
      </c>
      <c r="S15" s="1" t="s">
        <v>36</v>
      </c>
      <c r="T15" s="5">
        <v>3220.38</v>
      </c>
      <c r="U15" s="1" t="s">
        <v>37</v>
      </c>
      <c r="V15" s="5">
        <v>684481</v>
      </c>
      <c r="W15" s="5">
        <v>206788</v>
      </c>
      <c r="X15" s="1"/>
      <c r="Y15" s="1"/>
      <c r="Z15" s="1"/>
      <c r="AA15" s="1"/>
      <c r="AB15" s="1"/>
      <c r="AC15" s="2"/>
      <c r="AD15" s="2"/>
    </row>
    <row r="16" spans="1:30" ht="15.75" customHeight="1" x14ac:dyDescent="0.3">
      <c r="A16" s="3">
        <v>46069</v>
      </c>
      <c r="B16" s="4">
        <v>46069</v>
      </c>
      <c r="C16" s="1" t="s">
        <v>70</v>
      </c>
      <c r="D16" s="1" t="s">
        <v>43</v>
      </c>
      <c r="E16" s="1" t="s">
        <v>30</v>
      </c>
      <c r="F16" s="1" t="s">
        <v>71</v>
      </c>
      <c r="G16" s="1" t="s">
        <v>72</v>
      </c>
      <c r="H16" s="44" t="s">
        <v>32</v>
      </c>
      <c r="I16" s="45"/>
      <c r="J16" s="1"/>
      <c r="K16" s="1"/>
      <c r="L16" s="1" t="s">
        <v>36</v>
      </c>
      <c r="M16" s="5">
        <v>976</v>
      </c>
      <c r="N16" s="1" t="s">
        <v>36</v>
      </c>
      <c r="O16" s="5">
        <v>-976</v>
      </c>
      <c r="P16" s="5">
        <v>-976.2</v>
      </c>
      <c r="Q16" s="1"/>
      <c r="R16" s="5">
        <v>-0.2</v>
      </c>
      <c r="S16" s="1" t="s">
        <v>36</v>
      </c>
      <c r="T16" s="5">
        <v>4196.58</v>
      </c>
      <c r="U16" s="1" t="s">
        <v>37</v>
      </c>
      <c r="V16" s="5">
        <v>63189198</v>
      </c>
      <c r="W16" s="5">
        <v>202728</v>
      </c>
      <c r="X16" s="1"/>
      <c r="Y16" s="1"/>
      <c r="Z16" s="1"/>
      <c r="AA16" s="1"/>
      <c r="AB16" s="1"/>
      <c r="AC16" s="2"/>
      <c r="AD16" s="2"/>
    </row>
    <row r="17" spans="1:30" ht="15.75" customHeight="1" x14ac:dyDescent="0.3">
      <c r="A17" s="3">
        <v>46069</v>
      </c>
      <c r="B17" s="4">
        <v>46069</v>
      </c>
      <c r="C17" s="1" t="s">
        <v>73</v>
      </c>
      <c r="D17" s="1" t="s">
        <v>43</v>
      </c>
      <c r="E17" s="1" t="s">
        <v>30</v>
      </c>
      <c r="F17" s="1" t="s">
        <v>74</v>
      </c>
      <c r="G17" s="1" t="s">
        <v>72</v>
      </c>
      <c r="H17" s="44" t="s">
        <v>32</v>
      </c>
      <c r="I17" s="45"/>
      <c r="J17" s="1"/>
      <c r="K17" s="1"/>
      <c r="L17" s="1" t="s">
        <v>36</v>
      </c>
      <c r="M17" s="5">
        <v>976</v>
      </c>
      <c r="N17" s="1" t="s">
        <v>36</v>
      </c>
      <c r="O17" s="5">
        <v>-976</v>
      </c>
      <c r="P17" s="5">
        <v>-976.2</v>
      </c>
      <c r="Q17" s="1"/>
      <c r="R17" s="5">
        <v>-0.2</v>
      </c>
      <c r="S17" s="1" t="s">
        <v>36</v>
      </c>
      <c r="T17" s="5">
        <v>5172.78</v>
      </c>
      <c r="U17" s="1" t="s">
        <v>37</v>
      </c>
      <c r="V17" s="5">
        <v>39904763</v>
      </c>
      <c r="W17" s="5">
        <v>90128</v>
      </c>
      <c r="X17" s="1"/>
      <c r="Y17" s="1"/>
      <c r="Z17" s="1"/>
      <c r="AA17" s="1"/>
      <c r="AB17" s="1"/>
      <c r="AC17" s="2"/>
      <c r="AD17" s="2"/>
    </row>
    <row r="18" spans="1:30" ht="15.75" customHeight="1" x14ac:dyDescent="0.3">
      <c r="A18" s="3">
        <v>46069</v>
      </c>
      <c r="B18" s="4">
        <v>46069</v>
      </c>
      <c r="C18" s="1" t="s">
        <v>75</v>
      </c>
      <c r="D18" s="1" t="s">
        <v>52</v>
      </c>
      <c r="E18" s="1" t="s">
        <v>30</v>
      </c>
      <c r="F18" s="1" t="s">
        <v>76</v>
      </c>
      <c r="G18" s="44" t="s">
        <v>77</v>
      </c>
      <c r="H18" s="45"/>
      <c r="I18" s="1"/>
      <c r="J18" s="1"/>
      <c r="K18" s="1"/>
      <c r="L18" s="1" t="s">
        <v>36</v>
      </c>
      <c r="M18" s="5">
        <v>2900</v>
      </c>
      <c r="N18" s="1" t="s">
        <v>36</v>
      </c>
      <c r="O18" s="5">
        <v>2900</v>
      </c>
      <c r="P18" s="5">
        <v>2900</v>
      </c>
      <c r="Q18" s="1"/>
      <c r="R18" s="5">
        <v>0</v>
      </c>
      <c r="S18" s="1" t="s">
        <v>36</v>
      </c>
      <c r="T18" s="5">
        <v>6148.98</v>
      </c>
      <c r="U18" s="1" t="s">
        <v>37</v>
      </c>
      <c r="V18" s="1"/>
      <c r="W18" s="1"/>
      <c r="X18" s="1"/>
      <c r="Y18" s="1"/>
      <c r="Z18" s="1"/>
      <c r="AA18" s="1"/>
      <c r="AB18" s="1"/>
      <c r="AC18" s="2"/>
      <c r="AD18" s="2"/>
    </row>
    <row r="19" spans="1:30" ht="15.75" customHeight="1" x14ac:dyDescent="0.3">
      <c r="A19" s="3">
        <v>46069</v>
      </c>
      <c r="B19" s="4">
        <v>46069</v>
      </c>
      <c r="C19" s="1" t="s">
        <v>78</v>
      </c>
      <c r="D19" s="1" t="s">
        <v>43</v>
      </c>
      <c r="E19" s="1" t="s">
        <v>30</v>
      </c>
      <c r="F19" s="1" t="s">
        <v>79</v>
      </c>
      <c r="G19" s="5">
        <v>10305795</v>
      </c>
      <c r="H19" s="1"/>
      <c r="I19" s="1"/>
      <c r="J19" s="1"/>
      <c r="K19" s="1"/>
      <c r="L19" s="1" t="s">
        <v>36</v>
      </c>
      <c r="M19" s="5">
        <v>100</v>
      </c>
      <c r="N19" s="1" t="s">
        <v>36</v>
      </c>
      <c r="O19" s="5">
        <v>-100</v>
      </c>
      <c r="P19" s="5">
        <v>-100</v>
      </c>
      <c r="Q19" s="1"/>
      <c r="R19" s="5">
        <v>0</v>
      </c>
      <c r="S19" s="1" t="s">
        <v>36</v>
      </c>
      <c r="T19" s="5">
        <v>3248.98</v>
      </c>
      <c r="U19" s="1" t="s">
        <v>37</v>
      </c>
      <c r="V19" s="5">
        <v>31373854</v>
      </c>
      <c r="W19" s="5">
        <v>400250</v>
      </c>
      <c r="X19" s="1"/>
      <c r="Y19" s="1"/>
      <c r="Z19" s="1"/>
      <c r="AA19" s="1"/>
      <c r="AB19" s="1"/>
      <c r="AC19" s="2"/>
      <c r="AD19" s="2"/>
    </row>
    <row r="20" spans="1:30" ht="15.75" customHeight="1" x14ac:dyDescent="0.3">
      <c r="A20" s="3">
        <v>46069</v>
      </c>
      <c r="B20" s="4">
        <v>46069</v>
      </c>
      <c r="C20" s="1" t="s">
        <v>80</v>
      </c>
      <c r="D20" s="1" t="s">
        <v>43</v>
      </c>
      <c r="E20" s="1" t="s">
        <v>30</v>
      </c>
      <c r="F20" s="1" t="s">
        <v>79</v>
      </c>
      <c r="G20" s="5">
        <v>10055618</v>
      </c>
      <c r="H20" s="1"/>
      <c r="I20" s="1"/>
      <c r="J20" s="1"/>
      <c r="K20" s="1"/>
      <c r="L20" s="1" t="s">
        <v>36</v>
      </c>
      <c r="M20" s="5">
        <v>52</v>
      </c>
      <c r="N20" s="1" t="s">
        <v>36</v>
      </c>
      <c r="O20" s="5">
        <v>-52</v>
      </c>
      <c r="P20" s="5">
        <v>-52</v>
      </c>
      <c r="Q20" s="1"/>
      <c r="R20" s="5">
        <v>0</v>
      </c>
      <c r="S20" s="1" t="s">
        <v>36</v>
      </c>
      <c r="T20" s="5">
        <v>3348.98</v>
      </c>
      <c r="U20" s="1" t="s">
        <v>37</v>
      </c>
      <c r="V20" s="5">
        <v>31373854</v>
      </c>
      <c r="W20" s="5">
        <v>400250</v>
      </c>
      <c r="X20" s="1"/>
      <c r="Y20" s="1"/>
      <c r="Z20" s="1"/>
      <c r="AA20" s="1"/>
      <c r="AB20" s="1"/>
      <c r="AC20" s="2"/>
      <c r="AD20" s="2"/>
    </row>
    <row r="21" spans="1:30" ht="15.75" customHeight="1" x14ac:dyDescent="0.3">
      <c r="A21" s="3">
        <v>46069</v>
      </c>
      <c r="B21" s="4">
        <v>46069</v>
      </c>
      <c r="C21" s="1" t="s">
        <v>81</v>
      </c>
      <c r="D21" s="1" t="s">
        <v>52</v>
      </c>
      <c r="E21" s="1" t="s">
        <v>30</v>
      </c>
      <c r="F21" s="1" t="s">
        <v>59</v>
      </c>
      <c r="G21" s="1" t="s">
        <v>82</v>
      </c>
      <c r="H21" s="1"/>
      <c r="I21" s="1"/>
      <c r="J21" s="1"/>
      <c r="K21" s="1"/>
      <c r="L21" s="1" t="s">
        <v>36</v>
      </c>
      <c r="M21" s="5">
        <v>589</v>
      </c>
      <c r="N21" s="1" t="s">
        <v>36</v>
      </c>
      <c r="O21" s="5">
        <v>589</v>
      </c>
      <c r="P21" s="5">
        <v>589</v>
      </c>
      <c r="Q21" s="1"/>
      <c r="R21" s="5">
        <v>0</v>
      </c>
      <c r="S21" s="1" t="s">
        <v>36</v>
      </c>
      <c r="T21" s="5">
        <v>3400.98</v>
      </c>
      <c r="U21" s="1" t="s">
        <v>37</v>
      </c>
      <c r="V21" s="1"/>
      <c r="W21" s="1"/>
      <c r="X21" s="1"/>
      <c r="Y21" s="1"/>
      <c r="Z21" s="1"/>
      <c r="AA21" s="1"/>
      <c r="AB21" s="1"/>
      <c r="AC21" s="2"/>
      <c r="AD21" s="2"/>
    </row>
    <row r="22" spans="1:30" ht="15.75" customHeight="1" x14ac:dyDescent="0.3">
      <c r="A22" s="3">
        <v>46068</v>
      </c>
      <c r="B22" s="4">
        <v>46069</v>
      </c>
      <c r="C22" s="1" t="s">
        <v>83</v>
      </c>
      <c r="D22" s="1" t="s">
        <v>29</v>
      </c>
      <c r="E22" s="1" t="s">
        <v>30</v>
      </c>
      <c r="F22" s="44" t="s">
        <v>31</v>
      </c>
      <c r="G22" s="45"/>
      <c r="H22" s="1" t="s">
        <v>32</v>
      </c>
      <c r="I22" s="1" t="s">
        <v>33</v>
      </c>
      <c r="J22" s="1" t="s">
        <v>34</v>
      </c>
      <c r="K22" s="1" t="s">
        <v>35</v>
      </c>
      <c r="L22" s="1" t="s">
        <v>36</v>
      </c>
      <c r="M22" s="5">
        <v>8</v>
      </c>
      <c r="N22" s="1" t="s">
        <v>36</v>
      </c>
      <c r="O22" s="5">
        <v>-8</v>
      </c>
      <c r="P22" s="5">
        <v>-8</v>
      </c>
      <c r="Q22" s="1"/>
      <c r="R22" s="5">
        <v>0</v>
      </c>
      <c r="S22" s="1" t="s">
        <v>36</v>
      </c>
      <c r="T22" s="5">
        <v>2811.98</v>
      </c>
      <c r="U22" s="1" t="s">
        <v>37</v>
      </c>
      <c r="V22" s="1"/>
      <c r="W22" s="1"/>
      <c r="X22" s="1"/>
      <c r="Y22" s="1"/>
      <c r="Z22" s="5">
        <v>7523</v>
      </c>
      <c r="AA22" s="1"/>
      <c r="AB22" s="1"/>
      <c r="AC22" s="2"/>
      <c r="AD22" s="2"/>
    </row>
    <row r="23" spans="1:30" ht="15.75" customHeight="1" x14ac:dyDescent="0.3">
      <c r="A23" s="3">
        <v>46068</v>
      </c>
      <c r="B23" s="4">
        <v>46068</v>
      </c>
      <c r="C23" s="1" t="s">
        <v>84</v>
      </c>
      <c r="D23" s="1" t="s">
        <v>43</v>
      </c>
      <c r="E23" s="1" t="s">
        <v>30</v>
      </c>
      <c r="F23" s="1" t="s">
        <v>85</v>
      </c>
      <c r="G23" s="1" t="s">
        <v>86</v>
      </c>
      <c r="H23" s="44" t="s">
        <v>32</v>
      </c>
      <c r="I23" s="45"/>
      <c r="J23" s="1"/>
      <c r="K23" s="1"/>
      <c r="L23" s="1" t="s">
        <v>36</v>
      </c>
      <c r="M23" s="5">
        <v>1645.2</v>
      </c>
      <c r="N23" s="1" t="s">
        <v>36</v>
      </c>
      <c r="O23" s="5">
        <v>-1645.2</v>
      </c>
      <c r="P23" s="5">
        <v>-1645.4</v>
      </c>
      <c r="Q23" s="1"/>
      <c r="R23" s="5">
        <v>-0.2</v>
      </c>
      <c r="S23" s="1" t="s">
        <v>36</v>
      </c>
      <c r="T23" s="5">
        <v>2819.98</v>
      </c>
      <c r="U23" s="1" t="s">
        <v>37</v>
      </c>
      <c r="V23" s="5">
        <v>19870940</v>
      </c>
      <c r="W23" s="5">
        <v>90129</v>
      </c>
      <c r="X23" s="1"/>
      <c r="Y23" s="1"/>
      <c r="Z23" s="1"/>
      <c r="AA23" s="1"/>
      <c r="AB23" s="1"/>
      <c r="AC23" s="2"/>
      <c r="AD23" s="2"/>
    </row>
    <row r="24" spans="1:30" ht="15.75" customHeight="1" x14ac:dyDescent="0.3">
      <c r="A24" s="3">
        <v>46068</v>
      </c>
      <c r="B24" s="4">
        <v>46068</v>
      </c>
      <c r="C24" s="1" t="s">
        <v>87</v>
      </c>
      <c r="D24" s="1" t="s">
        <v>43</v>
      </c>
      <c r="E24" s="1" t="s">
        <v>30</v>
      </c>
      <c r="F24" s="1" t="s">
        <v>85</v>
      </c>
      <c r="G24" s="1" t="s">
        <v>88</v>
      </c>
      <c r="H24" s="44" t="s">
        <v>32</v>
      </c>
      <c r="I24" s="45"/>
      <c r="J24" s="1"/>
      <c r="K24" s="1"/>
      <c r="L24" s="1" t="s">
        <v>36</v>
      </c>
      <c r="M24" s="5">
        <v>267.69</v>
      </c>
      <c r="N24" s="1" t="s">
        <v>36</v>
      </c>
      <c r="O24" s="5">
        <v>-267.69</v>
      </c>
      <c r="P24" s="5">
        <v>-267.69</v>
      </c>
      <c r="Q24" s="1"/>
      <c r="R24" s="5">
        <v>0</v>
      </c>
      <c r="S24" s="1" t="s">
        <v>36</v>
      </c>
      <c r="T24" s="5">
        <v>4465.38</v>
      </c>
      <c r="U24" s="1" t="s">
        <v>37</v>
      </c>
      <c r="V24" s="5">
        <v>19870940</v>
      </c>
      <c r="W24" s="5">
        <v>90129</v>
      </c>
      <c r="X24" s="1"/>
      <c r="Y24" s="1"/>
      <c r="Z24" s="1"/>
      <c r="AA24" s="1"/>
      <c r="AB24" s="1"/>
      <c r="AC24" s="2"/>
      <c r="AD24" s="2"/>
    </row>
    <row r="25" spans="1:30" ht="14.4" x14ac:dyDescent="0.3">
      <c r="A25" s="3">
        <v>46067</v>
      </c>
      <c r="B25" s="4">
        <v>46068</v>
      </c>
      <c r="C25" s="1" t="s">
        <v>89</v>
      </c>
      <c r="D25" s="1" t="s">
        <v>29</v>
      </c>
      <c r="E25" s="1" t="s">
        <v>30</v>
      </c>
      <c r="F25" s="44" t="s">
        <v>31</v>
      </c>
      <c r="G25" s="45"/>
      <c r="H25" s="1" t="s">
        <v>32</v>
      </c>
      <c r="I25" s="1" t="s">
        <v>33</v>
      </c>
      <c r="J25" s="1" t="s">
        <v>34</v>
      </c>
      <c r="K25" s="1" t="s">
        <v>35</v>
      </c>
      <c r="L25" s="1" t="s">
        <v>36</v>
      </c>
      <c r="M25" s="5">
        <v>14.9</v>
      </c>
      <c r="N25" s="1" t="s">
        <v>36</v>
      </c>
      <c r="O25" s="5">
        <v>-14.9</v>
      </c>
      <c r="P25" s="5">
        <v>-14.9</v>
      </c>
      <c r="Q25" s="1"/>
      <c r="R25" s="5">
        <v>0</v>
      </c>
      <c r="S25" s="1" t="s">
        <v>36</v>
      </c>
      <c r="T25" s="5">
        <v>4733.07</v>
      </c>
      <c r="U25" s="1" t="s">
        <v>37</v>
      </c>
      <c r="V25" s="1"/>
      <c r="W25" s="1"/>
      <c r="X25" s="1"/>
      <c r="Y25" s="1"/>
      <c r="Z25" s="5">
        <v>7523</v>
      </c>
      <c r="AA25" s="1"/>
      <c r="AB25" s="1"/>
      <c r="AC25" s="2"/>
      <c r="AD25" s="2"/>
    </row>
    <row r="26" spans="1:30" ht="14.4" x14ac:dyDescent="0.3">
      <c r="A26" s="3">
        <v>46067</v>
      </c>
      <c r="B26" s="4">
        <v>46068</v>
      </c>
      <c r="C26" s="1" t="s">
        <v>90</v>
      </c>
      <c r="D26" s="1" t="s">
        <v>29</v>
      </c>
      <c r="E26" s="1" t="s">
        <v>30</v>
      </c>
      <c r="F26" s="44" t="s">
        <v>91</v>
      </c>
      <c r="G26" s="45"/>
      <c r="H26" s="1" t="s">
        <v>32</v>
      </c>
      <c r="I26" s="1" t="s">
        <v>40</v>
      </c>
      <c r="J26" s="1" t="s">
        <v>41</v>
      </c>
      <c r="K26" s="1" t="s">
        <v>35</v>
      </c>
      <c r="L26" s="1" t="s">
        <v>36</v>
      </c>
      <c r="M26" s="5">
        <v>8</v>
      </c>
      <c r="N26" s="1" t="s">
        <v>36</v>
      </c>
      <c r="O26" s="5">
        <v>-8</v>
      </c>
      <c r="P26" s="5">
        <v>-8</v>
      </c>
      <c r="Q26" s="1"/>
      <c r="R26" s="5">
        <v>0</v>
      </c>
      <c r="S26" s="1" t="s">
        <v>36</v>
      </c>
      <c r="T26" s="5">
        <v>4747.97</v>
      </c>
      <c r="U26" s="1" t="s">
        <v>37</v>
      </c>
      <c r="V26" s="1"/>
      <c r="W26" s="1"/>
      <c r="X26" s="1"/>
      <c r="Y26" s="1"/>
      <c r="Z26" s="5">
        <v>7523</v>
      </c>
      <c r="AA26" s="1"/>
      <c r="AB26" s="1"/>
      <c r="AC26" s="2"/>
      <c r="AD26" s="2"/>
    </row>
    <row r="27" spans="1:30" ht="14.4" x14ac:dyDescent="0.3">
      <c r="A27" s="3">
        <v>46067</v>
      </c>
      <c r="B27" s="4">
        <v>46068</v>
      </c>
      <c r="C27" s="1" t="s">
        <v>92</v>
      </c>
      <c r="D27" s="1" t="s">
        <v>29</v>
      </c>
      <c r="E27" s="1" t="s">
        <v>30</v>
      </c>
      <c r="F27" s="44" t="s">
        <v>63</v>
      </c>
      <c r="G27" s="45"/>
      <c r="H27" s="1" t="s">
        <v>32</v>
      </c>
      <c r="I27" s="1" t="s">
        <v>40</v>
      </c>
      <c r="J27" s="1" t="s">
        <v>41</v>
      </c>
      <c r="K27" s="1" t="s">
        <v>35</v>
      </c>
      <c r="L27" s="1" t="s">
        <v>36</v>
      </c>
      <c r="M27" s="5">
        <v>7</v>
      </c>
      <c r="N27" s="1" t="s">
        <v>36</v>
      </c>
      <c r="O27" s="5">
        <v>-7</v>
      </c>
      <c r="P27" s="5">
        <v>-7</v>
      </c>
      <c r="Q27" s="1"/>
      <c r="R27" s="5">
        <v>0</v>
      </c>
      <c r="S27" s="1" t="s">
        <v>36</v>
      </c>
      <c r="T27" s="5">
        <v>4755.97</v>
      </c>
      <c r="U27" s="1" t="s">
        <v>37</v>
      </c>
      <c r="V27" s="1"/>
      <c r="W27" s="1"/>
      <c r="X27" s="1"/>
      <c r="Y27" s="1"/>
      <c r="Z27" s="5">
        <v>7523</v>
      </c>
      <c r="AA27" s="1"/>
      <c r="AB27" s="1"/>
      <c r="AC27" s="2"/>
      <c r="AD27" s="2"/>
    </row>
    <row r="28" spans="1:30" ht="14.4" x14ac:dyDescent="0.3">
      <c r="A28" s="3">
        <v>46066</v>
      </c>
      <c r="B28" s="4">
        <v>46067</v>
      </c>
      <c r="C28" s="1" t="s">
        <v>93</v>
      </c>
      <c r="D28" s="1" t="s">
        <v>29</v>
      </c>
      <c r="E28" s="1" t="s">
        <v>30</v>
      </c>
      <c r="F28" s="44" t="s">
        <v>94</v>
      </c>
      <c r="G28" s="45"/>
      <c r="H28" s="1" t="s">
        <v>32</v>
      </c>
      <c r="I28" s="1" t="s">
        <v>40</v>
      </c>
      <c r="J28" s="1" t="s">
        <v>41</v>
      </c>
      <c r="K28" s="1" t="s">
        <v>35</v>
      </c>
      <c r="L28" s="1" t="s">
        <v>36</v>
      </c>
      <c r="M28" s="5">
        <v>42.5</v>
      </c>
      <c r="N28" s="1" t="s">
        <v>36</v>
      </c>
      <c r="O28" s="5">
        <v>-42.5</v>
      </c>
      <c r="P28" s="5">
        <v>-42.5</v>
      </c>
      <c r="Q28" s="1"/>
      <c r="R28" s="5">
        <v>0</v>
      </c>
      <c r="S28" s="1" t="s">
        <v>36</v>
      </c>
      <c r="T28" s="5">
        <v>4762.97</v>
      </c>
      <c r="U28" s="1" t="s">
        <v>37</v>
      </c>
      <c r="V28" s="1"/>
      <c r="W28" s="1"/>
      <c r="X28" s="1"/>
      <c r="Y28" s="1"/>
      <c r="Z28" s="5">
        <v>7399</v>
      </c>
      <c r="AA28" s="1"/>
      <c r="AB28" s="1"/>
      <c r="AC28" s="2"/>
      <c r="AD28" s="2"/>
    </row>
    <row r="29" spans="1:30" ht="14.4" x14ac:dyDescent="0.3">
      <c r="A29" s="3">
        <v>46067</v>
      </c>
      <c r="B29" s="4">
        <v>46067</v>
      </c>
      <c r="C29" s="1" t="s">
        <v>95</v>
      </c>
      <c r="D29" s="1" t="s">
        <v>52</v>
      </c>
      <c r="E29" s="1" t="s">
        <v>30</v>
      </c>
      <c r="F29" s="1" t="s">
        <v>96</v>
      </c>
      <c r="G29" s="44" t="s">
        <v>97</v>
      </c>
      <c r="H29" s="45"/>
      <c r="I29" s="1"/>
      <c r="J29" s="1"/>
      <c r="K29" s="1"/>
      <c r="L29" s="1" t="s">
        <v>36</v>
      </c>
      <c r="M29" s="5">
        <v>690</v>
      </c>
      <c r="N29" s="1" t="s">
        <v>36</v>
      </c>
      <c r="O29" s="5">
        <v>690</v>
      </c>
      <c r="P29" s="5">
        <v>690</v>
      </c>
      <c r="Q29" s="1"/>
      <c r="R29" s="5">
        <v>0</v>
      </c>
      <c r="S29" s="1" t="s">
        <v>36</v>
      </c>
      <c r="T29" s="5">
        <v>4805.47</v>
      </c>
      <c r="U29" s="1" t="s">
        <v>37</v>
      </c>
      <c r="V29" s="1"/>
      <c r="W29" s="1"/>
      <c r="X29" s="1"/>
      <c r="Y29" s="1"/>
      <c r="Z29" s="1"/>
      <c r="AA29" s="1"/>
      <c r="AB29" s="1"/>
      <c r="AC29" s="2"/>
      <c r="AD29" s="2"/>
    </row>
    <row r="30" spans="1:30" ht="14.4" x14ac:dyDescent="0.3">
      <c r="A30" s="3">
        <v>46067</v>
      </c>
      <c r="B30" s="4">
        <v>46067</v>
      </c>
      <c r="C30" s="1" t="s">
        <v>98</v>
      </c>
      <c r="D30" s="1" t="s">
        <v>52</v>
      </c>
      <c r="E30" s="1" t="s">
        <v>30</v>
      </c>
      <c r="F30" s="1" t="s">
        <v>96</v>
      </c>
      <c r="G30" s="1" t="s">
        <v>99</v>
      </c>
      <c r="H30" s="1"/>
      <c r="I30" s="1"/>
      <c r="J30" s="1"/>
      <c r="K30" s="1"/>
      <c r="L30" s="1" t="s">
        <v>36</v>
      </c>
      <c r="M30" s="5">
        <v>287</v>
      </c>
      <c r="N30" s="1" t="s">
        <v>36</v>
      </c>
      <c r="O30" s="5">
        <v>287</v>
      </c>
      <c r="P30" s="5">
        <v>287</v>
      </c>
      <c r="Q30" s="1"/>
      <c r="R30" s="5">
        <v>0</v>
      </c>
      <c r="S30" s="1" t="s">
        <v>36</v>
      </c>
      <c r="T30" s="5">
        <v>4115.47</v>
      </c>
      <c r="U30" s="1" t="s">
        <v>37</v>
      </c>
      <c r="V30" s="1"/>
      <c r="W30" s="1"/>
      <c r="X30" s="1"/>
      <c r="Y30" s="1"/>
      <c r="Z30" s="1"/>
      <c r="AA30" s="1"/>
      <c r="AB30" s="1"/>
      <c r="AC30" s="2"/>
      <c r="AD30" s="2"/>
    </row>
    <row r="31" spans="1:30" ht="14.4" x14ac:dyDescent="0.3">
      <c r="A31" s="3">
        <v>46066</v>
      </c>
      <c r="B31" s="4">
        <v>46067</v>
      </c>
      <c r="C31" s="1" t="s">
        <v>100</v>
      </c>
      <c r="D31" s="1" t="s">
        <v>29</v>
      </c>
      <c r="E31" s="1" t="s">
        <v>30</v>
      </c>
      <c r="F31" s="44" t="s">
        <v>101</v>
      </c>
      <c r="G31" s="45"/>
      <c r="H31" s="1" t="s">
        <v>32</v>
      </c>
      <c r="I31" s="1" t="s">
        <v>40</v>
      </c>
      <c r="J31" s="1" t="s">
        <v>41</v>
      </c>
      <c r="K31" s="1" t="s">
        <v>35</v>
      </c>
      <c r="L31" s="1" t="s">
        <v>36</v>
      </c>
      <c r="M31" s="5">
        <v>80</v>
      </c>
      <c r="N31" s="1" t="s">
        <v>36</v>
      </c>
      <c r="O31" s="5">
        <v>-80</v>
      </c>
      <c r="P31" s="5">
        <v>-80</v>
      </c>
      <c r="Q31" s="1"/>
      <c r="R31" s="5">
        <v>0</v>
      </c>
      <c r="S31" s="1" t="s">
        <v>36</v>
      </c>
      <c r="T31" s="5">
        <v>3828.47</v>
      </c>
      <c r="U31" s="1" t="s">
        <v>37</v>
      </c>
      <c r="V31" s="1"/>
      <c r="W31" s="1"/>
      <c r="X31" s="1"/>
      <c r="Y31" s="1"/>
      <c r="Z31" s="5">
        <v>7322</v>
      </c>
      <c r="AA31" s="1"/>
      <c r="AB31" s="1"/>
      <c r="AC31" s="2"/>
      <c r="AD31" s="2"/>
    </row>
    <row r="32" spans="1:30" ht="14.4" x14ac:dyDescent="0.3">
      <c r="A32" s="3">
        <v>46066</v>
      </c>
      <c r="B32" s="4">
        <v>46066</v>
      </c>
      <c r="C32" s="1" t="s">
        <v>102</v>
      </c>
      <c r="D32" s="1" t="s">
        <v>52</v>
      </c>
      <c r="E32" s="1" t="s">
        <v>30</v>
      </c>
      <c r="F32" s="1" t="s">
        <v>103</v>
      </c>
      <c r="G32" s="44" t="s">
        <v>104</v>
      </c>
      <c r="H32" s="45"/>
      <c r="I32" s="45"/>
      <c r="J32" s="1"/>
      <c r="K32" s="1"/>
      <c r="L32" s="1" t="s">
        <v>36</v>
      </c>
      <c r="M32" s="5">
        <v>323.11</v>
      </c>
      <c r="N32" s="1" t="s">
        <v>36</v>
      </c>
      <c r="O32" s="5">
        <v>323.11</v>
      </c>
      <c r="P32" s="5">
        <v>323.11</v>
      </c>
      <c r="Q32" s="1"/>
      <c r="R32" s="5">
        <v>0</v>
      </c>
      <c r="S32" s="1" t="s">
        <v>36</v>
      </c>
      <c r="T32" s="5">
        <v>3908.47</v>
      </c>
      <c r="U32" s="1" t="s">
        <v>37</v>
      </c>
      <c r="V32" s="1"/>
      <c r="W32" s="1"/>
      <c r="X32" s="1"/>
      <c r="Y32" s="1"/>
      <c r="Z32" s="1"/>
      <c r="AA32" s="1"/>
      <c r="AB32" s="1"/>
      <c r="AC32" s="2"/>
      <c r="AD32" s="2"/>
    </row>
    <row r="33" spans="1:30" ht="14.4" x14ac:dyDescent="0.3">
      <c r="A33" s="3">
        <v>46066</v>
      </c>
      <c r="B33" s="4">
        <v>46066</v>
      </c>
      <c r="C33" s="1" t="s">
        <v>105</v>
      </c>
      <c r="D33" s="1" t="s">
        <v>52</v>
      </c>
      <c r="E33" s="1" t="s">
        <v>30</v>
      </c>
      <c r="F33" s="1" t="s">
        <v>59</v>
      </c>
      <c r="G33" s="1" t="s">
        <v>106</v>
      </c>
      <c r="H33" s="1"/>
      <c r="I33" s="1"/>
      <c r="J33" s="1"/>
      <c r="K33" s="1"/>
      <c r="L33" s="1" t="s">
        <v>36</v>
      </c>
      <c r="M33" s="5">
        <v>292</v>
      </c>
      <c r="N33" s="1" t="s">
        <v>36</v>
      </c>
      <c r="O33" s="5">
        <v>292</v>
      </c>
      <c r="P33" s="5">
        <v>292</v>
      </c>
      <c r="Q33" s="1"/>
      <c r="R33" s="5">
        <v>0</v>
      </c>
      <c r="S33" s="1" t="s">
        <v>36</v>
      </c>
      <c r="T33" s="5">
        <v>3585.36</v>
      </c>
      <c r="U33" s="1" t="s">
        <v>37</v>
      </c>
      <c r="V33" s="1"/>
      <c r="W33" s="1"/>
      <c r="X33" s="1"/>
      <c r="Y33" s="1"/>
      <c r="Z33" s="1"/>
      <c r="AA33" s="1"/>
      <c r="AB33" s="1"/>
      <c r="AC33" s="2"/>
      <c r="AD33" s="2"/>
    </row>
    <row r="34" spans="1:30" ht="14.4" x14ac:dyDescent="0.3">
      <c r="A34" s="3">
        <v>46066</v>
      </c>
      <c r="B34" s="4">
        <v>46066</v>
      </c>
      <c r="C34" s="1" t="s">
        <v>107</v>
      </c>
      <c r="D34" s="1" t="s">
        <v>52</v>
      </c>
      <c r="E34" s="1" t="s">
        <v>30</v>
      </c>
      <c r="F34" s="1" t="s">
        <v>108</v>
      </c>
      <c r="G34" s="44" t="s">
        <v>109</v>
      </c>
      <c r="H34" s="45"/>
      <c r="I34" s="1"/>
      <c r="J34" s="1"/>
      <c r="K34" s="1"/>
      <c r="L34" s="1" t="s">
        <v>36</v>
      </c>
      <c r="M34" s="5">
        <v>950</v>
      </c>
      <c r="N34" s="1" t="s">
        <v>36</v>
      </c>
      <c r="O34" s="5">
        <v>950</v>
      </c>
      <c r="P34" s="5">
        <v>950</v>
      </c>
      <c r="Q34" s="1"/>
      <c r="R34" s="5">
        <v>0</v>
      </c>
      <c r="S34" s="1" t="s">
        <v>36</v>
      </c>
      <c r="T34" s="5">
        <v>3293.36</v>
      </c>
      <c r="U34" s="1" t="s">
        <v>37</v>
      </c>
      <c r="V34" s="1"/>
      <c r="W34" s="1"/>
      <c r="X34" s="1"/>
      <c r="Y34" s="1"/>
      <c r="Z34" s="1"/>
      <c r="AA34" s="1"/>
      <c r="AB34" s="1"/>
      <c r="AC34" s="2"/>
      <c r="AD34" s="2"/>
    </row>
    <row r="35" spans="1:30" ht="14.4" x14ac:dyDescent="0.3">
      <c r="A35" s="3">
        <v>46066</v>
      </c>
      <c r="B35" s="4">
        <v>46066</v>
      </c>
      <c r="C35" s="1" t="s">
        <v>110</v>
      </c>
      <c r="D35" s="1" t="s">
        <v>43</v>
      </c>
      <c r="E35" s="1" t="s">
        <v>30</v>
      </c>
      <c r="F35" s="1" t="s">
        <v>111</v>
      </c>
      <c r="G35" s="1" t="s">
        <v>112</v>
      </c>
      <c r="H35" s="44" t="s">
        <v>32</v>
      </c>
      <c r="I35" s="45"/>
      <c r="J35" s="1"/>
      <c r="K35" s="1"/>
      <c r="L35" s="1" t="s">
        <v>36</v>
      </c>
      <c r="M35" s="5">
        <v>370.39</v>
      </c>
      <c r="N35" s="1" t="s">
        <v>36</v>
      </c>
      <c r="O35" s="5">
        <v>-370.39</v>
      </c>
      <c r="P35" s="5">
        <v>-370.39</v>
      </c>
      <c r="Q35" s="1"/>
      <c r="R35" s="5">
        <v>0</v>
      </c>
      <c r="S35" s="1" t="s">
        <v>36</v>
      </c>
      <c r="T35" s="5">
        <v>2343.36</v>
      </c>
      <c r="U35" s="1" t="s">
        <v>37</v>
      </c>
      <c r="V35" s="5">
        <v>53132022</v>
      </c>
      <c r="W35" s="5">
        <v>230580</v>
      </c>
      <c r="X35" s="1"/>
      <c r="Y35" s="1"/>
      <c r="Z35" s="1"/>
      <c r="AA35" s="1"/>
      <c r="AB35" s="1"/>
      <c r="AC35" s="2"/>
      <c r="AD35" s="2"/>
    </row>
    <row r="36" spans="1:30" ht="14.4" x14ac:dyDescent="0.3">
      <c r="A36" s="3">
        <v>46065</v>
      </c>
      <c r="B36" s="4">
        <v>46066</v>
      </c>
      <c r="C36" s="1" t="s">
        <v>113</v>
      </c>
      <c r="D36" s="1" t="s">
        <v>29</v>
      </c>
      <c r="E36" s="1" t="s">
        <v>30</v>
      </c>
      <c r="F36" s="44" t="s">
        <v>91</v>
      </c>
      <c r="G36" s="45"/>
      <c r="H36" s="1" t="s">
        <v>32</v>
      </c>
      <c r="I36" s="1" t="s">
        <v>40</v>
      </c>
      <c r="J36" s="1" t="s">
        <v>41</v>
      </c>
      <c r="K36" s="1" t="s">
        <v>35</v>
      </c>
      <c r="L36" s="1" t="s">
        <v>36</v>
      </c>
      <c r="M36" s="5">
        <v>8</v>
      </c>
      <c r="N36" s="1" t="s">
        <v>36</v>
      </c>
      <c r="O36" s="5">
        <v>-8</v>
      </c>
      <c r="P36" s="5">
        <v>-8</v>
      </c>
      <c r="Q36" s="1"/>
      <c r="R36" s="5">
        <v>0</v>
      </c>
      <c r="S36" s="1" t="s">
        <v>36</v>
      </c>
      <c r="T36" s="5">
        <v>2713.75</v>
      </c>
      <c r="U36" s="1" t="s">
        <v>37</v>
      </c>
      <c r="V36" s="1"/>
      <c r="W36" s="1"/>
      <c r="X36" s="1"/>
      <c r="Y36" s="1"/>
      <c r="Z36" s="5">
        <v>7523</v>
      </c>
      <c r="AA36" s="1"/>
      <c r="AB36" s="1"/>
      <c r="AC36" s="2"/>
      <c r="AD36" s="2"/>
    </row>
    <row r="37" spans="1:30" ht="14.4" x14ac:dyDescent="0.3">
      <c r="A37" s="3">
        <v>46065</v>
      </c>
      <c r="B37" s="4">
        <v>46065</v>
      </c>
      <c r="C37" s="1" t="s">
        <v>114</v>
      </c>
      <c r="D37" s="1" t="s">
        <v>29</v>
      </c>
      <c r="E37" s="1" t="s">
        <v>30</v>
      </c>
      <c r="F37" s="44" t="s">
        <v>115</v>
      </c>
      <c r="G37" s="45"/>
      <c r="H37" s="1" t="s">
        <v>32</v>
      </c>
      <c r="I37" s="1" t="s">
        <v>33</v>
      </c>
      <c r="J37" s="1" t="s">
        <v>34</v>
      </c>
      <c r="K37" s="1" t="s">
        <v>35</v>
      </c>
      <c r="L37" s="1" t="s">
        <v>36</v>
      </c>
      <c r="M37" s="5">
        <v>2</v>
      </c>
      <c r="N37" s="1" t="s">
        <v>36</v>
      </c>
      <c r="O37" s="5">
        <v>-2</v>
      </c>
      <c r="P37" s="5">
        <v>-2</v>
      </c>
      <c r="Q37" s="1"/>
      <c r="R37" s="5">
        <v>0</v>
      </c>
      <c r="S37" s="1" t="s">
        <v>36</v>
      </c>
      <c r="T37" s="5">
        <v>2721.75</v>
      </c>
      <c r="U37" s="1" t="s">
        <v>37</v>
      </c>
      <c r="V37" s="1"/>
      <c r="W37" s="1"/>
      <c r="X37" s="1"/>
      <c r="Y37" s="1"/>
      <c r="Z37" s="5">
        <v>5499</v>
      </c>
      <c r="AA37" s="1"/>
      <c r="AB37" s="1"/>
      <c r="AC37" s="2"/>
      <c r="AD37" s="2"/>
    </row>
    <row r="38" spans="1:30" ht="14.4" x14ac:dyDescent="0.3">
      <c r="A38" s="3">
        <v>46065</v>
      </c>
      <c r="B38" s="4">
        <v>46065</v>
      </c>
      <c r="C38" s="1" t="s">
        <v>116</v>
      </c>
      <c r="D38" s="1" t="s">
        <v>29</v>
      </c>
      <c r="E38" s="1" t="s">
        <v>30</v>
      </c>
      <c r="F38" s="44" t="s">
        <v>115</v>
      </c>
      <c r="G38" s="45"/>
      <c r="H38" s="1" t="s">
        <v>32</v>
      </c>
      <c r="I38" s="1" t="s">
        <v>33</v>
      </c>
      <c r="J38" s="1" t="s">
        <v>34</v>
      </c>
      <c r="K38" s="1" t="s">
        <v>35</v>
      </c>
      <c r="L38" s="1" t="s">
        <v>36</v>
      </c>
      <c r="M38" s="5">
        <v>2</v>
      </c>
      <c r="N38" s="1" t="s">
        <v>36</v>
      </c>
      <c r="O38" s="5">
        <v>-2</v>
      </c>
      <c r="P38" s="5">
        <v>-2</v>
      </c>
      <c r="Q38" s="1"/>
      <c r="R38" s="5">
        <v>0</v>
      </c>
      <c r="S38" s="1" t="s">
        <v>36</v>
      </c>
      <c r="T38" s="5">
        <v>2723.75</v>
      </c>
      <c r="U38" s="1" t="s">
        <v>37</v>
      </c>
      <c r="V38" s="1"/>
      <c r="W38" s="1"/>
      <c r="X38" s="1"/>
      <c r="Y38" s="1"/>
      <c r="Z38" s="5">
        <v>5499</v>
      </c>
      <c r="AA38" s="1"/>
      <c r="AB38" s="1"/>
      <c r="AC38" s="2"/>
      <c r="AD38" s="2"/>
    </row>
    <row r="39" spans="1:30" ht="14.4" x14ac:dyDescent="0.3">
      <c r="A39" s="7">
        <v>46065</v>
      </c>
      <c r="B39" s="4">
        <v>46065</v>
      </c>
      <c r="C39" s="1" t="s">
        <v>117</v>
      </c>
      <c r="D39" s="1" t="s">
        <v>43</v>
      </c>
      <c r="E39" s="1" t="s">
        <v>30</v>
      </c>
      <c r="F39" s="1" t="s">
        <v>111</v>
      </c>
      <c r="G39" s="1" t="s">
        <v>118</v>
      </c>
      <c r="H39" s="44" t="s">
        <v>32</v>
      </c>
      <c r="I39" s="45"/>
      <c r="J39" s="1"/>
      <c r="K39" s="1"/>
      <c r="L39" s="1" t="s">
        <v>36</v>
      </c>
      <c r="M39" s="5">
        <v>79.2</v>
      </c>
      <c r="N39" s="1" t="s">
        <v>36</v>
      </c>
      <c r="O39" s="5">
        <v>-79.2</v>
      </c>
      <c r="P39" s="5">
        <v>-79.2</v>
      </c>
      <c r="Q39" s="1"/>
      <c r="R39" s="5">
        <v>0</v>
      </c>
      <c r="S39" s="1" t="s">
        <v>36</v>
      </c>
      <c r="T39" s="5">
        <v>2725.75</v>
      </c>
      <c r="U39" s="1" t="s">
        <v>37</v>
      </c>
      <c r="V39" s="5">
        <v>53132022</v>
      </c>
      <c r="W39" s="5">
        <v>230580</v>
      </c>
      <c r="X39" s="1"/>
      <c r="Y39" s="1"/>
      <c r="Z39" s="1"/>
      <c r="AA39" s="1"/>
      <c r="AB39" s="1"/>
      <c r="AC39" s="2"/>
      <c r="AD39" s="2"/>
    </row>
    <row r="40" spans="1:30" ht="14.4" x14ac:dyDescent="0.3">
      <c r="A40" s="7">
        <v>46064</v>
      </c>
      <c r="B40" s="4">
        <v>46065</v>
      </c>
      <c r="C40" s="1" t="s">
        <v>119</v>
      </c>
      <c r="D40" s="1" t="s">
        <v>29</v>
      </c>
      <c r="E40" s="1" t="s">
        <v>30</v>
      </c>
      <c r="F40" s="44" t="s">
        <v>120</v>
      </c>
      <c r="G40" s="45"/>
      <c r="H40" s="1" t="s">
        <v>32</v>
      </c>
      <c r="I40" s="1" t="s">
        <v>40</v>
      </c>
      <c r="J40" s="1" t="s">
        <v>41</v>
      </c>
      <c r="K40" s="1" t="s">
        <v>35</v>
      </c>
      <c r="L40" s="1" t="s">
        <v>36</v>
      </c>
      <c r="M40" s="5">
        <v>3.23</v>
      </c>
      <c r="N40" s="1" t="s">
        <v>36</v>
      </c>
      <c r="O40" s="5">
        <v>-3.23</v>
      </c>
      <c r="P40" s="5">
        <v>-3.23</v>
      </c>
      <c r="Q40" s="1"/>
      <c r="R40" s="5">
        <v>0</v>
      </c>
      <c r="S40" s="1" t="s">
        <v>36</v>
      </c>
      <c r="T40" s="5">
        <v>2804.95</v>
      </c>
      <c r="U40" s="1" t="s">
        <v>37</v>
      </c>
      <c r="V40" s="1"/>
      <c r="W40" s="1"/>
      <c r="X40" s="1"/>
      <c r="Y40" s="1"/>
      <c r="Z40" s="5">
        <v>7523</v>
      </c>
      <c r="AA40" s="1"/>
      <c r="AB40" s="1"/>
      <c r="AC40" s="2"/>
      <c r="AD40" s="2"/>
    </row>
    <row r="41" spans="1:30" ht="14.4" x14ac:dyDescent="0.3">
      <c r="A41" s="7">
        <v>46064</v>
      </c>
      <c r="B41" s="4">
        <v>46065</v>
      </c>
      <c r="C41" s="1" t="s">
        <v>121</v>
      </c>
      <c r="D41" s="1" t="s">
        <v>29</v>
      </c>
      <c r="E41" s="1" t="s">
        <v>30</v>
      </c>
      <c r="F41" s="44" t="s">
        <v>120</v>
      </c>
      <c r="G41" s="45"/>
      <c r="H41" s="1" t="s">
        <v>32</v>
      </c>
      <c r="I41" s="1" t="s">
        <v>40</v>
      </c>
      <c r="J41" s="1" t="s">
        <v>41</v>
      </c>
      <c r="K41" s="1" t="s">
        <v>35</v>
      </c>
      <c r="L41" s="1" t="s">
        <v>36</v>
      </c>
      <c r="M41" s="5">
        <v>1.55</v>
      </c>
      <c r="N41" s="1" t="s">
        <v>36</v>
      </c>
      <c r="O41" s="5">
        <v>-1.55</v>
      </c>
      <c r="P41" s="5">
        <v>-1.55</v>
      </c>
      <c r="Q41" s="1"/>
      <c r="R41" s="5">
        <v>0</v>
      </c>
      <c r="S41" s="1" t="s">
        <v>36</v>
      </c>
      <c r="T41" s="5">
        <v>2808.18</v>
      </c>
      <c r="U41" s="1" t="s">
        <v>37</v>
      </c>
      <c r="V41" s="1"/>
      <c r="W41" s="1"/>
      <c r="X41" s="1"/>
      <c r="Y41" s="1"/>
      <c r="Z41" s="5">
        <v>7523</v>
      </c>
      <c r="AA41" s="1"/>
      <c r="AB41" s="1"/>
      <c r="AC41" s="2"/>
      <c r="AD41" s="2"/>
    </row>
    <row r="42" spans="1:30" ht="14.4" x14ac:dyDescent="0.3">
      <c r="A42" s="7">
        <v>46065</v>
      </c>
      <c r="B42" s="4">
        <v>46065</v>
      </c>
      <c r="C42" s="1" t="s">
        <v>122</v>
      </c>
      <c r="D42" s="1" t="s">
        <v>52</v>
      </c>
      <c r="E42" s="1" t="s">
        <v>30</v>
      </c>
      <c r="F42" s="1" t="s">
        <v>59</v>
      </c>
      <c r="G42" s="44" t="s">
        <v>123</v>
      </c>
      <c r="H42" s="45"/>
      <c r="I42" s="1"/>
      <c r="J42" s="1"/>
      <c r="K42" s="1"/>
      <c r="L42" s="1" t="s">
        <v>36</v>
      </c>
      <c r="M42" s="5">
        <v>1312</v>
      </c>
      <c r="N42" s="1" t="s">
        <v>36</v>
      </c>
      <c r="O42" s="5">
        <v>1312</v>
      </c>
      <c r="P42" s="5">
        <v>1312</v>
      </c>
      <c r="Q42" s="1"/>
      <c r="R42" s="5">
        <v>0</v>
      </c>
      <c r="S42" s="1" t="s">
        <v>36</v>
      </c>
      <c r="T42" s="5">
        <v>2809.73</v>
      </c>
      <c r="U42" s="1" t="s">
        <v>37</v>
      </c>
      <c r="V42" s="1"/>
      <c r="W42" s="1"/>
      <c r="X42" s="1"/>
      <c r="Y42" s="1"/>
      <c r="Z42" s="1"/>
      <c r="AA42" s="1"/>
      <c r="AB42" s="1"/>
      <c r="AC42" s="2"/>
      <c r="AD42" s="2"/>
    </row>
    <row r="43" spans="1:30" ht="14.4" x14ac:dyDescent="0.3">
      <c r="A43" s="7">
        <v>46065</v>
      </c>
      <c r="B43" s="4">
        <v>46065</v>
      </c>
      <c r="C43" s="1" t="s">
        <v>124</v>
      </c>
      <c r="D43" s="1" t="s">
        <v>52</v>
      </c>
      <c r="E43" s="1" t="s">
        <v>30</v>
      </c>
      <c r="F43" s="1" t="s">
        <v>125</v>
      </c>
      <c r="G43" s="1" t="s">
        <v>126</v>
      </c>
      <c r="H43" s="1"/>
      <c r="I43" s="1"/>
      <c r="J43" s="1"/>
      <c r="K43" s="1"/>
      <c r="L43" s="1" t="s">
        <v>36</v>
      </c>
      <c r="M43" s="5">
        <v>51.83</v>
      </c>
      <c r="N43" s="1" t="s">
        <v>36</v>
      </c>
      <c r="O43" s="5">
        <v>51.83</v>
      </c>
      <c r="P43" s="5">
        <v>51.83</v>
      </c>
      <c r="Q43" s="1"/>
      <c r="R43" s="5">
        <v>0</v>
      </c>
      <c r="S43" s="1" t="s">
        <v>36</v>
      </c>
      <c r="T43" s="5">
        <v>1497.73</v>
      </c>
      <c r="U43" s="1" t="s">
        <v>37</v>
      </c>
      <c r="V43" s="1"/>
      <c r="W43" s="1"/>
      <c r="X43" s="1"/>
      <c r="Y43" s="1"/>
      <c r="Z43" s="1"/>
      <c r="AA43" s="1"/>
      <c r="AB43" s="1"/>
      <c r="AC43" s="2"/>
      <c r="AD43" s="2"/>
    </row>
    <row r="44" spans="1:30" ht="14.4" x14ac:dyDescent="0.3">
      <c r="A44" s="7">
        <v>46064</v>
      </c>
      <c r="B44" s="4">
        <v>46065</v>
      </c>
      <c r="C44" s="1" t="s">
        <v>127</v>
      </c>
      <c r="D44" s="1" t="s">
        <v>29</v>
      </c>
      <c r="E44" s="1" t="s">
        <v>30</v>
      </c>
      <c r="F44" s="44" t="s">
        <v>128</v>
      </c>
      <c r="G44" s="45"/>
      <c r="H44" s="1" t="s">
        <v>32</v>
      </c>
      <c r="I44" s="1" t="s">
        <v>40</v>
      </c>
      <c r="J44" s="1" t="s">
        <v>41</v>
      </c>
      <c r="K44" s="1" t="s">
        <v>35</v>
      </c>
      <c r="L44" s="1" t="s">
        <v>36</v>
      </c>
      <c r="M44" s="5">
        <v>552.22</v>
      </c>
      <c r="N44" s="1" t="s">
        <v>36</v>
      </c>
      <c r="O44" s="5">
        <v>-552.22</v>
      </c>
      <c r="P44" s="5">
        <v>-552.22</v>
      </c>
      <c r="Q44" s="1"/>
      <c r="R44" s="5">
        <v>0</v>
      </c>
      <c r="S44" s="1" t="s">
        <v>36</v>
      </c>
      <c r="T44" s="5">
        <v>1445.9</v>
      </c>
      <c r="U44" s="1" t="s">
        <v>37</v>
      </c>
      <c r="V44" s="1"/>
      <c r="W44" s="1"/>
      <c r="X44" s="1"/>
      <c r="Y44" s="1"/>
      <c r="Z44" s="5">
        <v>5533</v>
      </c>
      <c r="AA44" s="1"/>
      <c r="AB44" s="1"/>
      <c r="AC44" s="2"/>
      <c r="AD44" s="2"/>
    </row>
    <row r="45" spans="1:30" ht="14.4" x14ac:dyDescent="0.3">
      <c r="A45" s="7">
        <v>46065</v>
      </c>
      <c r="B45" s="4">
        <v>46065</v>
      </c>
      <c r="C45" s="1" t="s">
        <v>129</v>
      </c>
      <c r="D45" s="1" t="s">
        <v>52</v>
      </c>
      <c r="E45" s="1" t="s">
        <v>30</v>
      </c>
      <c r="F45" s="1" t="s">
        <v>59</v>
      </c>
      <c r="G45" s="1" t="s">
        <v>130</v>
      </c>
      <c r="H45" s="1"/>
      <c r="I45" s="1"/>
      <c r="J45" s="1"/>
      <c r="K45" s="1"/>
      <c r="L45" s="1" t="s">
        <v>36</v>
      </c>
      <c r="M45" s="5">
        <v>156</v>
      </c>
      <c r="N45" s="1" t="s">
        <v>36</v>
      </c>
      <c r="O45" s="5">
        <v>156</v>
      </c>
      <c r="P45" s="5">
        <v>156</v>
      </c>
      <c r="Q45" s="1"/>
      <c r="R45" s="5">
        <v>0</v>
      </c>
      <c r="S45" s="1" t="s">
        <v>36</v>
      </c>
      <c r="T45" s="5">
        <v>1998.12</v>
      </c>
      <c r="U45" s="1" t="s">
        <v>37</v>
      </c>
      <c r="V45" s="1"/>
      <c r="W45" s="1"/>
      <c r="X45" s="1"/>
      <c r="Y45" s="1"/>
      <c r="Z45" s="1"/>
      <c r="AA45" s="1"/>
      <c r="AB45" s="1"/>
      <c r="AC45" s="2"/>
      <c r="AD45" s="2"/>
    </row>
    <row r="46" spans="1:30" ht="14.4" x14ac:dyDescent="0.3">
      <c r="A46" s="7">
        <v>46064</v>
      </c>
      <c r="B46" s="4">
        <v>46064</v>
      </c>
      <c r="C46" s="1" t="s">
        <v>131</v>
      </c>
      <c r="D46" s="1" t="s">
        <v>52</v>
      </c>
      <c r="E46" s="1" t="s">
        <v>30</v>
      </c>
      <c r="F46" s="1" t="s">
        <v>132</v>
      </c>
      <c r="G46" s="44" t="s">
        <v>133</v>
      </c>
      <c r="H46" s="45"/>
      <c r="I46" s="1"/>
      <c r="J46" s="1"/>
      <c r="K46" s="1"/>
      <c r="L46" s="1" t="s">
        <v>36</v>
      </c>
      <c r="M46" s="5">
        <v>370</v>
      </c>
      <c r="N46" s="1" t="s">
        <v>36</v>
      </c>
      <c r="O46" s="5">
        <v>370</v>
      </c>
      <c r="P46" s="5">
        <v>370</v>
      </c>
      <c r="Q46" s="1"/>
      <c r="R46" s="5">
        <v>0</v>
      </c>
      <c r="S46" s="1" t="s">
        <v>36</v>
      </c>
      <c r="T46" s="5">
        <v>1842.12</v>
      </c>
      <c r="U46" s="1" t="s">
        <v>37</v>
      </c>
      <c r="V46" s="1"/>
      <c r="W46" s="1"/>
      <c r="X46" s="1"/>
      <c r="Y46" s="1"/>
      <c r="Z46" s="1"/>
      <c r="AA46" s="1"/>
      <c r="AB46" s="1"/>
      <c r="AC46" s="2"/>
      <c r="AD46" s="2"/>
    </row>
    <row r="47" spans="1:30" ht="14.4" x14ac:dyDescent="0.3">
      <c r="A47" s="7">
        <v>46064</v>
      </c>
      <c r="B47" s="4">
        <v>46064</v>
      </c>
      <c r="C47" s="1" t="s">
        <v>134</v>
      </c>
      <c r="D47" s="1" t="s">
        <v>52</v>
      </c>
      <c r="E47" s="1" t="s">
        <v>30</v>
      </c>
      <c r="F47" s="1" t="s">
        <v>135</v>
      </c>
      <c r="G47" s="44" t="s">
        <v>136</v>
      </c>
      <c r="H47" s="45"/>
      <c r="I47" s="1"/>
      <c r="J47" s="1"/>
      <c r="K47" s="1"/>
      <c r="L47" s="1" t="s">
        <v>36</v>
      </c>
      <c r="M47" s="5">
        <v>370</v>
      </c>
      <c r="N47" s="1" t="s">
        <v>36</v>
      </c>
      <c r="O47" s="5">
        <v>370</v>
      </c>
      <c r="P47" s="5">
        <v>370</v>
      </c>
      <c r="Q47" s="1"/>
      <c r="R47" s="5">
        <v>0</v>
      </c>
      <c r="S47" s="1" t="s">
        <v>36</v>
      </c>
      <c r="T47" s="5">
        <v>1472.12</v>
      </c>
      <c r="U47" s="1" t="s">
        <v>37</v>
      </c>
      <c r="V47" s="1"/>
      <c r="W47" s="1"/>
      <c r="X47" s="1"/>
      <c r="Y47" s="1"/>
      <c r="Z47" s="1"/>
      <c r="AA47" s="1"/>
      <c r="AB47" s="1"/>
      <c r="AC47" s="2"/>
      <c r="AD47" s="2"/>
    </row>
    <row r="48" spans="1:30" ht="14.4" x14ac:dyDescent="0.3">
      <c r="A48" s="7">
        <v>46063</v>
      </c>
      <c r="B48" s="4">
        <v>46063</v>
      </c>
      <c r="C48" s="1" t="s">
        <v>137</v>
      </c>
      <c r="D48" s="1" t="s">
        <v>43</v>
      </c>
      <c r="E48" s="1" t="s">
        <v>30</v>
      </c>
      <c r="F48" s="1" t="s">
        <v>138</v>
      </c>
      <c r="G48" s="1" t="s">
        <v>139</v>
      </c>
      <c r="H48" s="44" t="s">
        <v>32</v>
      </c>
      <c r="I48" s="45"/>
      <c r="J48" s="1"/>
      <c r="K48" s="1"/>
      <c r="L48" s="1" t="s">
        <v>36</v>
      </c>
      <c r="M48" s="5">
        <v>65</v>
      </c>
      <c r="N48" s="1" t="s">
        <v>36</v>
      </c>
      <c r="O48" s="5">
        <v>-65</v>
      </c>
      <c r="P48" s="5">
        <v>-65</v>
      </c>
      <c r="Q48" s="1"/>
      <c r="R48" s="5">
        <v>0</v>
      </c>
      <c r="S48" s="1" t="s">
        <v>36</v>
      </c>
      <c r="T48" s="5">
        <v>1102.1199999999999</v>
      </c>
      <c r="U48" s="1" t="s">
        <v>37</v>
      </c>
      <c r="V48" s="5">
        <v>93958663</v>
      </c>
      <c r="W48" s="5">
        <v>209069</v>
      </c>
      <c r="X48" s="1"/>
      <c r="Y48" s="1"/>
      <c r="Z48" s="1"/>
      <c r="AA48" s="1"/>
      <c r="AB48" s="1"/>
      <c r="AC48" s="2"/>
      <c r="AD48" s="2"/>
    </row>
    <row r="49" spans="1:30" ht="14.4" x14ac:dyDescent="0.3">
      <c r="A49" s="7">
        <v>46063</v>
      </c>
      <c r="B49" s="4">
        <v>46063</v>
      </c>
      <c r="C49" s="1" t="s">
        <v>140</v>
      </c>
      <c r="D49" s="1" t="s">
        <v>43</v>
      </c>
      <c r="E49" s="1" t="s">
        <v>30</v>
      </c>
      <c r="F49" s="1" t="s">
        <v>141</v>
      </c>
      <c r="G49" s="1" t="s">
        <v>142</v>
      </c>
      <c r="H49" s="44" t="s">
        <v>32</v>
      </c>
      <c r="I49" s="45"/>
      <c r="J49" s="1"/>
      <c r="K49" s="1"/>
      <c r="L49" s="1" t="s">
        <v>36</v>
      </c>
      <c r="M49" s="5">
        <v>81.25</v>
      </c>
      <c r="N49" s="1" t="s">
        <v>36</v>
      </c>
      <c r="O49" s="5">
        <v>-81.25</v>
      </c>
      <c r="P49" s="5">
        <v>-81.25</v>
      </c>
      <c r="Q49" s="1"/>
      <c r="R49" s="5">
        <v>0</v>
      </c>
      <c r="S49" s="1" t="s">
        <v>36</v>
      </c>
      <c r="T49" s="5">
        <v>1167.1199999999999</v>
      </c>
      <c r="U49" s="1" t="s">
        <v>37</v>
      </c>
      <c r="V49" s="5">
        <v>33360164</v>
      </c>
      <c r="W49" s="5">
        <v>209263</v>
      </c>
      <c r="X49" s="1"/>
      <c r="Y49" s="1"/>
      <c r="Z49" s="1"/>
      <c r="AA49" s="1"/>
      <c r="AB49" s="1"/>
      <c r="AC49" s="2"/>
      <c r="AD49" s="2"/>
    </row>
    <row r="50" spans="1:30" ht="14.4" x14ac:dyDescent="0.3">
      <c r="A50" s="7">
        <v>46063</v>
      </c>
      <c r="B50" s="4">
        <v>46063</v>
      </c>
      <c r="C50" s="1" t="s">
        <v>143</v>
      </c>
      <c r="D50" s="1" t="s">
        <v>43</v>
      </c>
      <c r="E50" s="1" t="s">
        <v>30</v>
      </c>
      <c r="F50" s="1" t="s">
        <v>144</v>
      </c>
      <c r="G50" s="1" t="s">
        <v>145</v>
      </c>
      <c r="H50" s="44" t="s">
        <v>32</v>
      </c>
      <c r="I50" s="45"/>
      <c r="J50" s="1"/>
      <c r="K50" s="1"/>
      <c r="L50" s="1" t="s">
        <v>36</v>
      </c>
      <c r="M50" s="5">
        <v>70</v>
      </c>
      <c r="N50" s="1" t="s">
        <v>36</v>
      </c>
      <c r="O50" s="5">
        <v>-70</v>
      </c>
      <c r="P50" s="5">
        <v>-70</v>
      </c>
      <c r="Q50" s="1"/>
      <c r="R50" s="5">
        <v>0</v>
      </c>
      <c r="S50" s="1" t="s">
        <v>36</v>
      </c>
      <c r="T50" s="5">
        <v>1248.3699999999999</v>
      </c>
      <c r="U50" s="1" t="s">
        <v>37</v>
      </c>
      <c r="V50" s="5">
        <v>40764965</v>
      </c>
      <c r="W50" s="5">
        <v>201893</v>
      </c>
      <c r="X50" s="1"/>
      <c r="Y50" s="1"/>
      <c r="Z50" s="1"/>
      <c r="AA50" s="1"/>
      <c r="AB50" s="1"/>
      <c r="AC50" s="2"/>
      <c r="AD50" s="2"/>
    </row>
    <row r="51" spans="1:30" ht="14.4" x14ac:dyDescent="0.3">
      <c r="A51" s="7">
        <v>46063</v>
      </c>
      <c r="B51" s="4">
        <v>46063</v>
      </c>
      <c r="C51" s="1" t="s">
        <v>146</v>
      </c>
      <c r="D51" s="1" t="s">
        <v>43</v>
      </c>
      <c r="E51" s="1" t="s">
        <v>30</v>
      </c>
      <c r="F51" s="1" t="s">
        <v>147</v>
      </c>
      <c r="G51" s="1" t="s">
        <v>148</v>
      </c>
      <c r="H51" s="44" t="s">
        <v>32</v>
      </c>
      <c r="I51" s="45"/>
      <c r="J51" s="1"/>
      <c r="K51" s="1"/>
      <c r="L51" s="1" t="s">
        <v>36</v>
      </c>
      <c r="M51" s="5">
        <v>1764.84</v>
      </c>
      <c r="N51" s="1" t="s">
        <v>36</v>
      </c>
      <c r="O51" s="5">
        <v>-1764.84</v>
      </c>
      <c r="P51" s="5">
        <v>-1764.84</v>
      </c>
      <c r="Q51" s="1"/>
      <c r="R51" s="5">
        <v>0</v>
      </c>
      <c r="S51" s="1" t="s">
        <v>36</v>
      </c>
      <c r="T51" s="5">
        <v>1318.37</v>
      </c>
      <c r="U51" s="1" t="s">
        <v>37</v>
      </c>
      <c r="V51" s="5">
        <v>12001039</v>
      </c>
      <c r="W51" s="5">
        <v>83210</v>
      </c>
      <c r="X51" s="1"/>
      <c r="Y51" s="1"/>
      <c r="Z51" s="1"/>
      <c r="AA51" s="1"/>
      <c r="AB51" s="1"/>
      <c r="AC51" s="2"/>
      <c r="AD51" s="2"/>
    </row>
    <row r="52" spans="1:30" ht="14.4" x14ac:dyDescent="0.3">
      <c r="A52" s="7">
        <v>46063</v>
      </c>
      <c r="B52" s="4">
        <v>46063</v>
      </c>
      <c r="C52" s="1" t="s">
        <v>149</v>
      </c>
      <c r="D52" s="1" t="s">
        <v>52</v>
      </c>
      <c r="E52" s="1" t="s">
        <v>30</v>
      </c>
      <c r="F52" s="1" t="s">
        <v>53</v>
      </c>
      <c r="G52" s="44" t="s">
        <v>150</v>
      </c>
      <c r="H52" s="45"/>
      <c r="I52" s="1"/>
      <c r="J52" s="1"/>
      <c r="K52" s="1"/>
      <c r="L52" s="1" t="s">
        <v>36</v>
      </c>
      <c r="M52" s="5">
        <v>1500</v>
      </c>
      <c r="N52" s="1" t="s">
        <v>36</v>
      </c>
      <c r="O52" s="5">
        <v>1500</v>
      </c>
      <c r="P52" s="5">
        <v>1500</v>
      </c>
      <c r="Q52" s="1"/>
      <c r="R52" s="5">
        <v>0</v>
      </c>
      <c r="S52" s="1" t="s">
        <v>36</v>
      </c>
      <c r="T52" s="5">
        <v>3083.21</v>
      </c>
      <c r="U52" s="1" t="s">
        <v>37</v>
      </c>
      <c r="V52" s="1"/>
      <c r="W52" s="1"/>
      <c r="X52" s="1"/>
      <c r="Y52" s="1"/>
      <c r="Z52" s="1"/>
      <c r="AA52" s="1"/>
      <c r="AB52" s="1"/>
      <c r="AC52" s="2"/>
      <c r="AD52" s="2"/>
    </row>
    <row r="53" spans="1:30" ht="14.4" x14ac:dyDescent="0.3">
      <c r="A53" s="7">
        <v>46063</v>
      </c>
      <c r="B53" s="4">
        <v>46063</v>
      </c>
      <c r="C53" s="1" t="s">
        <v>151</v>
      </c>
      <c r="D53" s="1" t="s">
        <v>29</v>
      </c>
      <c r="E53" s="1" t="s">
        <v>30</v>
      </c>
      <c r="F53" s="44" t="s">
        <v>152</v>
      </c>
      <c r="G53" s="45"/>
      <c r="H53" s="1" t="s">
        <v>32</v>
      </c>
      <c r="I53" s="1" t="s">
        <v>40</v>
      </c>
      <c r="J53" s="1" t="s">
        <v>41</v>
      </c>
      <c r="K53" s="1" t="s">
        <v>35</v>
      </c>
      <c r="L53" s="1" t="s">
        <v>153</v>
      </c>
      <c r="M53" s="5">
        <v>5</v>
      </c>
      <c r="N53" s="1" t="s">
        <v>36</v>
      </c>
      <c r="O53" s="5">
        <v>-3.66</v>
      </c>
      <c r="P53" s="5">
        <v>-3.66</v>
      </c>
      <c r="Q53" s="5">
        <v>1.3666069999999999</v>
      </c>
      <c r="R53" s="5">
        <v>0</v>
      </c>
      <c r="S53" s="1" t="s">
        <v>36</v>
      </c>
      <c r="T53" s="5">
        <v>1583.21</v>
      </c>
      <c r="U53" s="1" t="s">
        <v>37</v>
      </c>
      <c r="V53" s="1"/>
      <c r="W53" s="1"/>
      <c r="X53" s="1"/>
      <c r="Y53" s="1"/>
      <c r="Z53" s="5">
        <v>5734</v>
      </c>
      <c r="AA53" s="1"/>
      <c r="AB53" s="1"/>
      <c r="AC53" s="2"/>
      <c r="AD53" s="2"/>
    </row>
    <row r="54" spans="1:30" ht="14.4" x14ac:dyDescent="0.3">
      <c r="A54" s="7">
        <v>46063</v>
      </c>
      <c r="B54" s="4">
        <v>46063</v>
      </c>
      <c r="C54" s="1" t="s">
        <v>154</v>
      </c>
      <c r="D54" s="1" t="s">
        <v>43</v>
      </c>
      <c r="E54" s="1" t="s">
        <v>30</v>
      </c>
      <c r="F54" s="1" t="s">
        <v>155</v>
      </c>
      <c r="G54" s="44" t="s">
        <v>156</v>
      </c>
      <c r="H54" s="45"/>
      <c r="I54" s="1"/>
      <c r="J54" s="1"/>
      <c r="K54" s="1"/>
      <c r="L54" s="1" t="s">
        <v>36</v>
      </c>
      <c r="M54" s="5">
        <v>25</v>
      </c>
      <c r="N54" s="1" t="s">
        <v>36</v>
      </c>
      <c r="O54" s="5">
        <v>25</v>
      </c>
      <c r="P54" s="5">
        <v>25</v>
      </c>
      <c r="Q54" s="1"/>
      <c r="R54" s="5">
        <v>0</v>
      </c>
      <c r="S54" s="1" t="s">
        <v>36</v>
      </c>
      <c r="T54" s="5">
        <v>1586.87</v>
      </c>
      <c r="U54" s="1" t="s">
        <v>37</v>
      </c>
      <c r="V54" s="1"/>
      <c r="W54" s="1"/>
      <c r="X54" s="1"/>
      <c r="Y54" s="1"/>
      <c r="Z54" s="1"/>
      <c r="AA54" s="1"/>
      <c r="AB54" s="1"/>
      <c r="AC54" s="2"/>
      <c r="AD54" s="2"/>
    </row>
    <row r="55" spans="1:30" ht="14.4" x14ac:dyDescent="0.3">
      <c r="A55" s="7">
        <v>46063</v>
      </c>
      <c r="B55" s="4">
        <v>46063</v>
      </c>
      <c r="C55" s="1" t="s">
        <v>157</v>
      </c>
      <c r="D55" s="1" t="s">
        <v>29</v>
      </c>
      <c r="E55" s="1" t="s">
        <v>30</v>
      </c>
      <c r="F55" s="44" t="s">
        <v>115</v>
      </c>
      <c r="G55" s="45"/>
      <c r="H55" s="1" t="s">
        <v>32</v>
      </c>
      <c r="I55" s="1" t="s">
        <v>40</v>
      </c>
      <c r="J55" s="1" t="s">
        <v>41</v>
      </c>
      <c r="K55" s="1" t="s">
        <v>35</v>
      </c>
      <c r="L55" s="1" t="s">
        <v>36</v>
      </c>
      <c r="M55" s="5">
        <v>2</v>
      </c>
      <c r="N55" s="1" t="s">
        <v>36</v>
      </c>
      <c r="O55" s="5">
        <v>-2</v>
      </c>
      <c r="P55" s="5">
        <v>-2</v>
      </c>
      <c r="Q55" s="1"/>
      <c r="R55" s="5">
        <v>0</v>
      </c>
      <c r="S55" s="1" t="s">
        <v>36</v>
      </c>
      <c r="T55" s="5">
        <v>1561.87</v>
      </c>
      <c r="U55" s="1" t="s">
        <v>37</v>
      </c>
      <c r="V55" s="1"/>
      <c r="W55" s="1"/>
      <c r="X55" s="1"/>
      <c r="Y55" s="1"/>
      <c r="Z55" s="5">
        <v>5499</v>
      </c>
      <c r="AA55" s="1"/>
      <c r="AB55" s="1"/>
      <c r="AC55" s="2"/>
      <c r="AD55" s="2"/>
    </row>
    <row r="56" spans="1:30" ht="14.4" x14ac:dyDescent="0.3">
      <c r="A56" s="7">
        <v>46063</v>
      </c>
      <c r="B56" s="4">
        <v>46063</v>
      </c>
      <c r="C56" s="1" t="s">
        <v>158</v>
      </c>
      <c r="D56" s="1" t="s">
        <v>43</v>
      </c>
      <c r="E56" s="1" t="s">
        <v>30</v>
      </c>
      <c r="F56" s="1" t="s">
        <v>159</v>
      </c>
      <c r="G56" s="1" t="s">
        <v>139</v>
      </c>
      <c r="H56" s="44" t="s">
        <v>32</v>
      </c>
      <c r="I56" s="45"/>
      <c r="J56" s="1"/>
      <c r="K56" s="1"/>
      <c r="L56" s="1" t="s">
        <v>36</v>
      </c>
      <c r="M56" s="5">
        <v>65</v>
      </c>
      <c r="N56" s="1" t="s">
        <v>36</v>
      </c>
      <c r="O56" s="5">
        <v>-65</v>
      </c>
      <c r="P56" s="5">
        <v>-65</v>
      </c>
      <c r="Q56" s="1"/>
      <c r="R56" s="5">
        <v>0</v>
      </c>
      <c r="S56" s="1" t="s">
        <v>36</v>
      </c>
      <c r="T56" s="5">
        <v>1563.87</v>
      </c>
      <c r="U56" s="1" t="s">
        <v>37</v>
      </c>
      <c r="V56" s="1"/>
      <c r="W56" s="1"/>
      <c r="X56" s="1"/>
      <c r="Y56" s="1"/>
      <c r="Z56" s="1"/>
      <c r="AA56" s="1"/>
      <c r="AB56" s="1"/>
      <c r="AC56" s="2"/>
      <c r="AD56" s="2"/>
    </row>
    <row r="57" spans="1:30" ht="14.4" x14ac:dyDescent="0.3">
      <c r="A57" s="7">
        <v>46063</v>
      </c>
      <c r="B57" s="4">
        <v>46063</v>
      </c>
      <c r="C57" s="1" t="s">
        <v>160</v>
      </c>
      <c r="D57" s="1" t="s">
        <v>43</v>
      </c>
      <c r="E57" s="1" t="s">
        <v>30</v>
      </c>
      <c r="F57" s="1" t="s">
        <v>161</v>
      </c>
      <c r="G57" s="8">
        <v>109000000</v>
      </c>
      <c r="H57" s="1"/>
      <c r="I57" s="1"/>
      <c r="J57" s="1"/>
      <c r="K57" s="1"/>
      <c r="L57" s="1" t="s">
        <v>36</v>
      </c>
      <c r="M57" s="5">
        <v>1405.36</v>
      </c>
      <c r="N57" s="1" t="s">
        <v>36</v>
      </c>
      <c r="O57" s="5">
        <v>-1405.36</v>
      </c>
      <c r="P57" s="5">
        <v>-1405.36</v>
      </c>
      <c r="Q57" s="1"/>
      <c r="R57" s="5">
        <v>0</v>
      </c>
      <c r="S57" s="1" t="s">
        <v>36</v>
      </c>
      <c r="T57" s="5">
        <v>1628.87</v>
      </c>
      <c r="U57" s="1" t="s">
        <v>37</v>
      </c>
      <c r="V57" s="5">
        <v>3921697</v>
      </c>
      <c r="W57" s="5">
        <v>201147</v>
      </c>
      <c r="X57" s="1"/>
      <c r="Y57" s="1"/>
      <c r="Z57" s="1"/>
      <c r="AA57" s="1"/>
      <c r="AB57" s="1"/>
      <c r="AC57" s="2"/>
      <c r="AD57" s="2"/>
    </row>
    <row r="58" spans="1:30" ht="14.4" x14ac:dyDescent="0.3">
      <c r="A58" s="7">
        <v>46063</v>
      </c>
      <c r="B58" s="4">
        <v>46063</v>
      </c>
      <c r="C58" s="1" t="s">
        <v>162</v>
      </c>
      <c r="D58" s="1" t="s">
        <v>29</v>
      </c>
      <c r="E58" s="1" t="s">
        <v>30</v>
      </c>
      <c r="F58" s="44" t="s">
        <v>163</v>
      </c>
      <c r="G58" s="45"/>
      <c r="H58" s="1" t="s">
        <v>32</v>
      </c>
      <c r="I58" s="1" t="s">
        <v>40</v>
      </c>
      <c r="J58" s="1" t="s">
        <v>41</v>
      </c>
      <c r="K58" s="1" t="s">
        <v>35</v>
      </c>
      <c r="L58" s="1" t="s">
        <v>36</v>
      </c>
      <c r="M58" s="5">
        <v>6</v>
      </c>
      <c r="N58" s="1" t="s">
        <v>36</v>
      </c>
      <c r="O58" s="5">
        <v>-6</v>
      </c>
      <c r="P58" s="5">
        <v>-6</v>
      </c>
      <c r="Q58" s="1"/>
      <c r="R58" s="5">
        <v>0</v>
      </c>
      <c r="S58" s="1" t="s">
        <v>36</v>
      </c>
      <c r="T58" s="5">
        <v>3034.23</v>
      </c>
      <c r="U58" s="1" t="s">
        <v>37</v>
      </c>
      <c r="V58" s="1"/>
      <c r="W58" s="1"/>
      <c r="X58" s="1"/>
      <c r="Y58" s="1"/>
      <c r="Z58" s="5">
        <v>7542</v>
      </c>
      <c r="AA58" s="1"/>
      <c r="AB58" s="1"/>
      <c r="AC58" s="2"/>
      <c r="AD58" s="2"/>
    </row>
    <row r="59" spans="1:30" ht="14.4" x14ac:dyDescent="0.3">
      <c r="A59" s="7">
        <v>46062</v>
      </c>
      <c r="B59" s="4">
        <v>46062</v>
      </c>
      <c r="C59" s="1" t="s">
        <v>164</v>
      </c>
      <c r="D59" s="1" t="s">
        <v>43</v>
      </c>
      <c r="E59" s="1" t="s">
        <v>30</v>
      </c>
      <c r="F59" s="1" t="s">
        <v>74</v>
      </c>
      <c r="G59" s="1" t="s">
        <v>165</v>
      </c>
      <c r="H59" s="44" t="s">
        <v>32</v>
      </c>
      <c r="I59" s="45"/>
      <c r="J59" s="1"/>
      <c r="K59" s="1"/>
      <c r="L59" s="1" t="s">
        <v>36</v>
      </c>
      <c r="M59" s="5">
        <v>900</v>
      </c>
      <c r="N59" s="1" t="s">
        <v>36</v>
      </c>
      <c r="O59" s="5">
        <v>-900</v>
      </c>
      <c r="P59" s="5">
        <v>-900</v>
      </c>
      <c r="Q59" s="1"/>
      <c r="R59" s="5">
        <v>0</v>
      </c>
      <c r="S59" s="1" t="s">
        <v>36</v>
      </c>
      <c r="T59" s="5">
        <v>3040.23</v>
      </c>
      <c r="U59" s="1" t="s">
        <v>37</v>
      </c>
      <c r="V59" s="5">
        <v>39904763</v>
      </c>
      <c r="W59" s="5">
        <v>90128</v>
      </c>
      <c r="X59" s="1"/>
      <c r="Y59" s="1"/>
      <c r="Z59" s="1"/>
      <c r="AA59" s="1"/>
      <c r="AB59" s="1"/>
      <c r="AC59" s="2"/>
      <c r="AD59" s="2"/>
    </row>
    <row r="60" spans="1:30" ht="14.4" x14ac:dyDescent="0.3">
      <c r="A60" s="7">
        <v>46062</v>
      </c>
      <c r="B60" s="4">
        <v>46062</v>
      </c>
      <c r="C60" s="1" t="s">
        <v>166</v>
      </c>
      <c r="D60" s="1" t="s">
        <v>43</v>
      </c>
      <c r="E60" s="1" t="s">
        <v>30</v>
      </c>
      <c r="F60" s="1" t="s">
        <v>74</v>
      </c>
      <c r="G60" s="1" t="s">
        <v>165</v>
      </c>
      <c r="H60" s="44" t="s">
        <v>32</v>
      </c>
      <c r="I60" s="45"/>
      <c r="J60" s="1"/>
      <c r="K60" s="1"/>
      <c r="L60" s="1" t="s">
        <v>36</v>
      </c>
      <c r="M60" s="5">
        <v>700</v>
      </c>
      <c r="N60" s="1" t="s">
        <v>36</v>
      </c>
      <c r="O60" s="5">
        <v>-700</v>
      </c>
      <c r="P60" s="5">
        <v>-700</v>
      </c>
      <c r="Q60" s="1"/>
      <c r="R60" s="5">
        <v>0</v>
      </c>
      <c r="S60" s="1" t="s">
        <v>36</v>
      </c>
      <c r="T60" s="5">
        <v>3940.23</v>
      </c>
      <c r="U60" s="1" t="s">
        <v>37</v>
      </c>
      <c r="V60" s="5">
        <v>39904763</v>
      </c>
      <c r="W60" s="5">
        <v>90128</v>
      </c>
      <c r="X60" s="1"/>
      <c r="Y60" s="1"/>
      <c r="Z60" s="1"/>
      <c r="AA60" s="1"/>
      <c r="AB60" s="1"/>
      <c r="AC60" s="2"/>
      <c r="AD60" s="2"/>
    </row>
    <row r="61" spans="1:30" ht="14.4" x14ac:dyDescent="0.3">
      <c r="A61" s="7">
        <v>46062</v>
      </c>
      <c r="B61" s="4">
        <v>46062</v>
      </c>
      <c r="C61" s="1" t="s">
        <v>167</v>
      </c>
      <c r="D61" s="1" t="s">
        <v>43</v>
      </c>
      <c r="E61" s="1" t="s">
        <v>30</v>
      </c>
      <c r="F61" s="1" t="s">
        <v>168</v>
      </c>
      <c r="G61" s="5">
        <v>2617763</v>
      </c>
      <c r="H61" s="1"/>
      <c r="I61" s="1"/>
      <c r="J61" s="1"/>
      <c r="K61" s="1"/>
      <c r="L61" s="1" t="s">
        <v>36</v>
      </c>
      <c r="M61" s="5">
        <v>6.3</v>
      </c>
      <c r="N61" s="1" t="s">
        <v>36</v>
      </c>
      <c r="O61" s="5">
        <v>-6.3</v>
      </c>
      <c r="P61" s="5">
        <v>-6.3</v>
      </c>
      <c r="Q61" s="1"/>
      <c r="R61" s="5">
        <v>0</v>
      </c>
      <c r="S61" s="1" t="s">
        <v>36</v>
      </c>
      <c r="T61" s="5">
        <v>4640.2299999999996</v>
      </c>
      <c r="U61" s="1" t="s">
        <v>37</v>
      </c>
      <c r="V61" s="5">
        <v>20390720</v>
      </c>
      <c r="W61" s="5">
        <v>205385</v>
      </c>
      <c r="X61" s="1"/>
      <c r="Y61" s="1"/>
      <c r="Z61" s="1"/>
      <c r="AA61" s="1"/>
      <c r="AB61" s="1"/>
      <c r="AC61" s="2"/>
      <c r="AD61" s="2"/>
    </row>
    <row r="62" spans="1:30" ht="14.4" x14ac:dyDescent="0.3">
      <c r="A62" s="7">
        <v>46061</v>
      </c>
      <c r="B62" s="4">
        <v>46062</v>
      </c>
      <c r="C62" s="1" t="s">
        <v>169</v>
      </c>
      <c r="D62" s="1" t="s">
        <v>29</v>
      </c>
      <c r="E62" s="1" t="s">
        <v>30</v>
      </c>
      <c r="F62" s="44" t="s">
        <v>170</v>
      </c>
      <c r="G62" s="45"/>
      <c r="H62" s="1" t="s">
        <v>32</v>
      </c>
      <c r="I62" s="1" t="s">
        <v>40</v>
      </c>
      <c r="J62" s="1" t="s">
        <v>41</v>
      </c>
      <c r="K62" s="1" t="s">
        <v>35</v>
      </c>
      <c r="L62" s="1" t="s">
        <v>36</v>
      </c>
      <c r="M62" s="5">
        <v>7</v>
      </c>
      <c r="N62" s="1" t="s">
        <v>36</v>
      </c>
      <c r="O62" s="5">
        <v>-7</v>
      </c>
      <c r="P62" s="5">
        <v>-7</v>
      </c>
      <c r="Q62" s="1"/>
      <c r="R62" s="5">
        <v>0</v>
      </c>
      <c r="S62" s="1" t="s">
        <v>36</v>
      </c>
      <c r="T62" s="5">
        <v>4646.53</v>
      </c>
      <c r="U62" s="1" t="s">
        <v>37</v>
      </c>
      <c r="V62" s="1"/>
      <c r="W62" s="1"/>
      <c r="X62" s="1"/>
      <c r="Y62" s="1"/>
      <c r="Z62" s="5">
        <v>7523</v>
      </c>
      <c r="AA62" s="1"/>
      <c r="AB62" s="1"/>
      <c r="AC62" s="2"/>
      <c r="AD62" s="2"/>
    </row>
    <row r="63" spans="1:30" ht="14.4" x14ac:dyDescent="0.3">
      <c r="A63" s="7">
        <v>46061</v>
      </c>
      <c r="B63" s="4">
        <v>46061</v>
      </c>
      <c r="C63" s="1" t="s">
        <v>171</v>
      </c>
      <c r="D63" s="1" t="s">
        <v>43</v>
      </c>
      <c r="E63" s="1" t="s">
        <v>30</v>
      </c>
      <c r="F63" s="1" t="s">
        <v>74</v>
      </c>
      <c r="G63" s="1" t="s">
        <v>165</v>
      </c>
      <c r="H63" s="44" t="s">
        <v>32</v>
      </c>
      <c r="I63" s="45"/>
      <c r="J63" s="1"/>
      <c r="K63" s="1"/>
      <c r="L63" s="1" t="s">
        <v>36</v>
      </c>
      <c r="M63" s="5">
        <v>2200</v>
      </c>
      <c r="N63" s="1" t="s">
        <v>36</v>
      </c>
      <c r="O63" s="5">
        <v>-2200</v>
      </c>
      <c r="P63" s="5">
        <v>-2200</v>
      </c>
      <c r="Q63" s="1"/>
      <c r="R63" s="5">
        <v>0</v>
      </c>
      <c r="S63" s="1" t="s">
        <v>36</v>
      </c>
      <c r="T63" s="5">
        <v>4653.53</v>
      </c>
      <c r="U63" s="1" t="s">
        <v>37</v>
      </c>
      <c r="V63" s="5">
        <v>39904763</v>
      </c>
      <c r="W63" s="5">
        <v>90128</v>
      </c>
      <c r="X63" s="1"/>
      <c r="Y63" s="1"/>
      <c r="Z63" s="1"/>
      <c r="AA63" s="1"/>
      <c r="AB63" s="1"/>
      <c r="AC63" s="2"/>
      <c r="AD63" s="2"/>
    </row>
    <row r="64" spans="1:30" ht="14.4" x14ac:dyDescent="0.3">
      <c r="A64" s="7">
        <v>46060</v>
      </c>
      <c r="B64" s="4">
        <v>46061</v>
      </c>
      <c r="C64" s="1" t="s">
        <v>172</v>
      </c>
      <c r="D64" s="1" t="s">
        <v>29</v>
      </c>
      <c r="E64" s="1" t="s">
        <v>30</v>
      </c>
      <c r="F64" s="44" t="s">
        <v>63</v>
      </c>
      <c r="G64" s="45"/>
      <c r="H64" s="1" t="s">
        <v>32</v>
      </c>
      <c r="I64" s="1" t="s">
        <v>40</v>
      </c>
      <c r="J64" s="1" t="s">
        <v>41</v>
      </c>
      <c r="K64" s="1" t="s">
        <v>35</v>
      </c>
      <c r="L64" s="1" t="s">
        <v>36</v>
      </c>
      <c r="M64" s="5">
        <v>7</v>
      </c>
      <c r="N64" s="1" t="s">
        <v>36</v>
      </c>
      <c r="O64" s="5">
        <v>-7</v>
      </c>
      <c r="P64" s="5">
        <v>-7</v>
      </c>
      <c r="Q64" s="1"/>
      <c r="R64" s="5">
        <v>0</v>
      </c>
      <c r="S64" s="1" t="s">
        <v>36</v>
      </c>
      <c r="T64" s="5">
        <v>6853.53</v>
      </c>
      <c r="U64" s="1" t="s">
        <v>37</v>
      </c>
      <c r="V64" s="1"/>
      <c r="W64" s="1"/>
      <c r="X64" s="1"/>
      <c r="Y64" s="1"/>
      <c r="Z64" s="5">
        <v>7523</v>
      </c>
      <c r="AA64" s="1"/>
      <c r="AB64" s="1"/>
      <c r="AC64" s="2"/>
      <c r="AD64" s="2"/>
    </row>
    <row r="65" spans="1:30" ht="14.4" x14ac:dyDescent="0.3">
      <c r="A65" s="7">
        <v>46060</v>
      </c>
      <c r="B65" s="4">
        <v>46061</v>
      </c>
      <c r="C65" s="1" t="s">
        <v>173</v>
      </c>
      <c r="D65" s="1" t="s">
        <v>29</v>
      </c>
      <c r="E65" s="1" t="s">
        <v>30</v>
      </c>
      <c r="F65" s="44" t="s">
        <v>63</v>
      </c>
      <c r="G65" s="45"/>
      <c r="H65" s="1" t="s">
        <v>32</v>
      </c>
      <c r="I65" s="1" t="s">
        <v>40</v>
      </c>
      <c r="J65" s="1" t="s">
        <v>41</v>
      </c>
      <c r="K65" s="1" t="s">
        <v>35</v>
      </c>
      <c r="L65" s="1" t="s">
        <v>36</v>
      </c>
      <c r="M65" s="5">
        <v>7</v>
      </c>
      <c r="N65" s="1" t="s">
        <v>36</v>
      </c>
      <c r="O65" s="5">
        <v>-7</v>
      </c>
      <c r="P65" s="5">
        <v>-7</v>
      </c>
      <c r="Q65" s="1"/>
      <c r="R65" s="5">
        <v>0</v>
      </c>
      <c r="S65" s="1" t="s">
        <v>36</v>
      </c>
      <c r="T65" s="5">
        <v>6860.53</v>
      </c>
      <c r="U65" s="1" t="s">
        <v>37</v>
      </c>
      <c r="V65" s="1"/>
      <c r="W65" s="1"/>
      <c r="X65" s="1"/>
      <c r="Y65" s="1"/>
      <c r="Z65" s="5">
        <v>7523</v>
      </c>
      <c r="AA65" s="1"/>
      <c r="AB65" s="1"/>
      <c r="AC65" s="2"/>
      <c r="AD65" s="2"/>
    </row>
    <row r="66" spans="1:30" ht="14.4" x14ac:dyDescent="0.3">
      <c r="A66" s="7">
        <v>46061</v>
      </c>
      <c r="B66" s="4">
        <v>46061</v>
      </c>
      <c r="C66" s="1" t="s">
        <v>174</v>
      </c>
      <c r="D66" s="1" t="s">
        <v>175</v>
      </c>
      <c r="E66" s="1" t="s">
        <v>30</v>
      </c>
      <c r="F66" s="1" t="s">
        <v>176</v>
      </c>
      <c r="G66" s="44" t="s">
        <v>177</v>
      </c>
      <c r="H66" s="45"/>
      <c r="I66" s="1"/>
      <c r="J66" s="1"/>
      <c r="K66" s="1"/>
      <c r="L66" s="1" t="s">
        <v>36</v>
      </c>
      <c r="M66" s="5">
        <v>10</v>
      </c>
      <c r="N66" s="1" t="s">
        <v>36</v>
      </c>
      <c r="O66" s="5">
        <v>-10</v>
      </c>
      <c r="P66" s="5">
        <v>-10</v>
      </c>
      <c r="Q66" s="1"/>
      <c r="R66" s="5">
        <v>0</v>
      </c>
      <c r="S66" s="1" t="s">
        <v>36</v>
      </c>
      <c r="T66" s="5">
        <v>6867.53</v>
      </c>
      <c r="U66" s="1" t="s">
        <v>37</v>
      </c>
      <c r="V66" s="1"/>
      <c r="W66" s="1"/>
      <c r="X66" s="1"/>
      <c r="Y66" s="1"/>
      <c r="Z66" s="1"/>
      <c r="AA66" s="1"/>
      <c r="AB66" s="1"/>
      <c r="AC66" s="2"/>
      <c r="AD66" s="2"/>
    </row>
    <row r="67" spans="1:30" ht="14.4" x14ac:dyDescent="0.3">
      <c r="A67" s="7">
        <v>46060</v>
      </c>
      <c r="B67" s="4">
        <v>46060</v>
      </c>
      <c r="C67" s="1" t="s">
        <v>178</v>
      </c>
      <c r="D67" s="1" t="s">
        <v>43</v>
      </c>
      <c r="E67" s="1" t="s">
        <v>30</v>
      </c>
      <c r="F67" s="1" t="s">
        <v>179</v>
      </c>
      <c r="G67" s="1" t="s">
        <v>180</v>
      </c>
      <c r="H67" s="44" t="s">
        <v>32</v>
      </c>
      <c r="I67" s="45"/>
      <c r="J67" s="1"/>
      <c r="K67" s="1"/>
      <c r="L67" s="1" t="s">
        <v>36</v>
      </c>
      <c r="M67" s="5">
        <v>480.8</v>
      </c>
      <c r="N67" s="1" t="s">
        <v>36</v>
      </c>
      <c r="O67" s="5">
        <v>-480.8</v>
      </c>
      <c r="P67" s="5">
        <v>-480.8</v>
      </c>
      <c r="Q67" s="1"/>
      <c r="R67" s="5">
        <v>0</v>
      </c>
      <c r="S67" s="1" t="s">
        <v>36</v>
      </c>
      <c r="T67" s="5">
        <v>6877.53</v>
      </c>
      <c r="U67" s="1" t="s">
        <v>37</v>
      </c>
      <c r="V67" s="1"/>
      <c r="W67" s="1"/>
      <c r="X67" s="1"/>
      <c r="Y67" s="1"/>
      <c r="Z67" s="1"/>
      <c r="AA67" s="1"/>
      <c r="AB67" s="1"/>
      <c r="AC67" s="2"/>
      <c r="AD67" s="2"/>
    </row>
    <row r="68" spans="1:30" ht="14.4" x14ac:dyDescent="0.3">
      <c r="A68" s="7">
        <v>46059</v>
      </c>
      <c r="B68" s="4">
        <v>46060</v>
      </c>
      <c r="C68" s="1" t="s">
        <v>181</v>
      </c>
      <c r="D68" s="1" t="s">
        <v>29</v>
      </c>
      <c r="E68" s="1" t="s">
        <v>30</v>
      </c>
      <c r="F68" s="44" t="s">
        <v>120</v>
      </c>
      <c r="G68" s="45"/>
      <c r="H68" s="1" t="s">
        <v>32</v>
      </c>
      <c r="I68" s="1" t="s">
        <v>40</v>
      </c>
      <c r="J68" s="1" t="s">
        <v>41</v>
      </c>
      <c r="K68" s="1" t="s">
        <v>35</v>
      </c>
      <c r="L68" s="1" t="s">
        <v>36</v>
      </c>
      <c r="M68" s="5">
        <v>1.72</v>
      </c>
      <c r="N68" s="1" t="s">
        <v>36</v>
      </c>
      <c r="O68" s="5">
        <v>-1.72</v>
      </c>
      <c r="P68" s="5">
        <v>-1.72</v>
      </c>
      <c r="Q68" s="1"/>
      <c r="R68" s="5">
        <v>0</v>
      </c>
      <c r="S68" s="1" t="s">
        <v>36</v>
      </c>
      <c r="T68" s="5">
        <v>7358.33</v>
      </c>
      <c r="U68" s="1" t="s">
        <v>37</v>
      </c>
      <c r="V68" s="1"/>
      <c r="W68" s="1"/>
      <c r="X68" s="1"/>
      <c r="Y68" s="1"/>
      <c r="Z68" s="5">
        <v>7523</v>
      </c>
      <c r="AA68" s="1"/>
      <c r="AB68" s="1"/>
      <c r="AC68" s="2"/>
      <c r="AD68" s="2"/>
    </row>
    <row r="69" spans="1:30" ht="14.4" x14ac:dyDescent="0.3">
      <c r="A69" s="7">
        <v>46059</v>
      </c>
      <c r="B69" s="4">
        <v>46059</v>
      </c>
      <c r="C69" s="1" t="s">
        <v>182</v>
      </c>
      <c r="D69" s="1" t="s">
        <v>43</v>
      </c>
      <c r="E69" s="1" t="s">
        <v>30</v>
      </c>
      <c r="F69" s="1" t="s">
        <v>183</v>
      </c>
      <c r="G69" s="1" t="s">
        <v>184</v>
      </c>
      <c r="H69" s="44" t="s">
        <v>32</v>
      </c>
      <c r="I69" s="45"/>
      <c r="J69" s="1"/>
      <c r="K69" s="1"/>
      <c r="L69" s="1" t="s">
        <v>36</v>
      </c>
      <c r="M69" s="5">
        <v>360</v>
      </c>
      <c r="N69" s="1" t="s">
        <v>36</v>
      </c>
      <c r="O69" s="5">
        <v>-360</v>
      </c>
      <c r="P69" s="5">
        <v>-360.2</v>
      </c>
      <c r="Q69" s="1"/>
      <c r="R69" s="5">
        <v>-0.2</v>
      </c>
      <c r="S69" s="1" t="s">
        <v>36</v>
      </c>
      <c r="T69" s="5">
        <v>7360.05</v>
      </c>
      <c r="U69" s="1" t="s">
        <v>37</v>
      </c>
      <c r="V69" s="5">
        <v>40634638</v>
      </c>
      <c r="W69" s="5">
        <v>401800</v>
      </c>
      <c r="X69" s="1"/>
      <c r="Y69" s="1"/>
      <c r="Z69" s="1"/>
      <c r="AA69" s="1"/>
      <c r="AB69" s="1"/>
      <c r="AC69" s="2"/>
      <c r="AD69" s="2"/>
    </row>
    <row r="70" spans="1:30" ht="14.4" x14ac:dyDescent="0.3">
      <c r="A70" s="7">
        <v>46059</v>
      </c>
      <c r="B70" s="4">
        <v>46059</v>
      </c>
      <c r="C70" s="1" t="s">
        <v>185</v>
      </c>
      <c r="D70" s="1" t="s">
        <v>43</v>
      </c>
      <c r="E70" s="1" t="s">
        <v>30</v>
      </c>
      <c r="F70" s="1" t="s">
        <v>186</v>
      </c>
      <c r="G70" s="1" t="s">
        <v>187</v>
      </c>
      <c r="H70" s="44" t="s">
        <v>32</v>
      </c>
      <c r="I70" s="45"/>
      <c r="J70" s="1"/>
      <c r="K70" s="1"/>
      <c r="L70" s="1" t="s">
        <v>36</v>
      </c>
      <c r="M70" s="5">
        <v>125.44</v>
      </c>
      <c r="N70" s="1" t="s">
        <v>36</v>
      </c>
      <c r="O70" s="5">
        <v>-125.44</v>
      </c>
      <c r="P70" s="5">
        <v>-125.64</v>
      </c>
      <c r="Q70" s="1"/>
      <c r="R70" s="5">
        <v>-0.2</v>
      </c>
      <c r="S70" s="1" t="s">
        <v>36</v>
      </c>
      <c r="T70" s="5">
        <v>7720.25</v>
      </c>
      <c r="U70" s="1" t="s">
        <v>37</v>
      </c>
      <c r="V70" s="5">
        <v>79152122</v>
      </c>
      <c r="W70" s="5">
        <v>40004</v>
      </c>
      <c r="X70" s="1"/>
      <c r="Y70" s="1"/>
      <c r="Z70" s="1"/>
      <c r="AA70" s="1"/>
      <c r="AB70" s="1"/>
      <c r="AC70" s="2"/>
      <c r="AD70" s="2"/>
    </row>
    <row r="71" spans="1:30" ht="14.4" x14ac:dyDescent="0.3">
      <c r="A71" s="7">
        <v>46058</v>
      </c>
      <c r="B71" s="4">
        <v>46059</v>
      </c>
      <c r="C71" s="1" t="s">
        <v>188</v>
      </c>
      <c r="D71" s="1" t="s">
        <v>29</v>
      </c>
      <c r="E71" s="1" t="s">
        <v>30</v>
      </c>
      <c r="F71" s="44" t="s">
        <v>120</v>
      </c>
      <c r="G71" s="45"/>
      <c r="H71" s="1" t="s">
        <v>32</v>
      </c>
      <c r="I71" s="1" t="s">
        <v>40</v>
      </c>
      <c r="J71" s="1" t="s">
        <v>41</v>
      </c>
      <c r="K71" s="1" t="s">
        <v>35</v>
      </c>
      <c r="L71" s="1" t="s">
        <v>36</v>
      </c>
      <c r="M71" s="5">
        <v>1.64</v>
      </c>
      <c r="N71" s="1" t="s">
        <v>36</v>
      </c>
      <c r="O71" s="5">
        <v>-1.64</v>
      </c>
      <c r="P71" s="5">
        <v>-1.64</v>
      </c>
      <c r="Q71" s="1"/>
      <c r="R71" s="5">
        <v>0</v>
      </c>
      <c r="S71" s="1" t="s">
        <v>36</v>
      </c>
      <c r="T71" s="5">
        <v>7845.89</v>
      </c>
      <c r="U71" s="1" t="s">
        <v>37</v>
      </c>
      <c r="V71" s="1"/>
      <c r="W71" s="1"/>
      <c r="X71" s="1"/>
      <c r="Y71" s="1"/>
      <c r="Z71" s="5">
        <v>7523</v>
      </c>
      <c r="AA71" s="1"/>
      <c r="AB71" s="1"/>
      <c r="AC71" s="2"/>
      <c r="AD71" s="2"/>
    </row>
    <row r="72" spans="1:30" ht="14.4" x14ac:dyDescent="0.3">
      <c r="A72" s="7">
        <v>46058</v>
      </c>
      <c r="B72" s="4">
        <v>46059</v>
      </c>
      <c r="C72" s="1" t="s">
        <v>189</v>
      </c>
      <c r="D72" s="1" t="s">
        <v>29</v>
      </c>
      <c r="E72" s="1" t="s">
        <v>30</v>
      </c>
      <c r="F72" s="44" t="s">
        <v>120</v>
      </c>
      <c r="G72" s="45"/>
      <c r="H72" s="1" t="s">
        <v>32</v>
      </c>
      <c r="I72" s="1" t="s">
        <v>40</v>
      </c>
      <c r="J72" s="1" t="s">
        <v>41</v>
      </c>
      <c r="K72" s="1" t="s">
        <v>35</v>
      </c>
      <c r="L72" s="1" t="s">
        <v>36</v>
      </c>
      <c r="M72" s="5">
        <v>1.18</v>
      </c>
      <c r="N72" s="1" t="s">
        <v>36</v>
      </c>
      <c r="O72" s="5">
        <v>-1.18</v>
      </c>
      <c r="P72" s="5">
        <v>-1.18</v>
      </c>
      <c r="Q72" s="1"/>
      <c r="R72" s="5">
        <v>0</v>
      </c>
      <c r="S72" s="1" t="s">
        <v>36</v>
      </c>
      <c r="T72" s="5">
        <v>7847.53</v>
      </c>
      <c r="U72" s="1" t="s">
        <v>37</v>
      </c>
      <c r="V72" s="1"/>
      <c r="W72" s="1"/>
      <c r="X72" s="1"/>
      <c r="Y72" s="1"/>
      <c r="Z72" s="5">
        <v>7523</v>
      </c>
      <c r="AA72" s="1"/>
      <c r="AB72" s="1"/>
      <c r="AC72" s="2"/>
      <c r="AD72" s="2"/>
    </row>
    <row r="73" spans="1:30" ht="14.4" x14ac:dyDescent="0.3">
      <c r="A73" s="7">
        <v>46058</v>
      </c>
      <c r="B73" s="4">
        <v>46059</v>
      </c>
      <c r="C73" s="1" t="s">
        <v>190</v>
      </c>
      <c r="D73" s="1" t="s">
        <v>29</v>
      </c>
      <c r="E73" s="1" t="s">
        <v>30</v>
      </c>
      <c r="F73" s="44" t="s">
        <v>191</v>
      </c>
      <c r="G73" s="45"/>
      <c r="H73" s="1" t="s">
        <v>32</v>
      </c>
      <c r="I73" s="1" t="s">
        <v>33</v>
      </c>
      <c r="J73" s="1" t="s">
        <v>34</v>
      </c>
      <c r="K73" s="1" t="s">
        <v>35</v>
      </c>
      <c r="L73" s="1" t="s">
        <v>36</v>
      </c>
      <c r="M73" s="5">
        <v>84</v>
      </c>
      <c r="N73" s="1" t="s">
        <v>36</v>
      </c>
      <c r="O73" s="5">
        <v>-84</v>
      </c>
      <c r="P73" s="5">
        <v>-84</v>
      </c>
      <c r="Q73" s="1"/>
      <c r="R73" s="5">
        <v>0</v>
      </c>
      <c r="S73" s="1" t="s">
        <v>36</v>
      </c>
      <c r="T73" s="5">
        <v>7848.71</v>
      </c>
      <c r="U73" s="1" t="s">
        <v>37</v>
      </c>
      <c r="V73" s="1"/>
      <c r="W73" s="1"/>
      <c r="X73" s="1"/>
      <c r="Y73" s="1"/>
      <c r="Z73" s="5">
        <v>4121</v>
      </c>
      <c r="AA73" s="1"/>
      <c r="AB73" s="1"/>
      <c r="AC73" s="2"/>
      <c r="AD73" s="2"/>
    </row>
    <row r="74" spans="1:30" ht="14.4" x14ac:dyDescent="0.3">
      <c r="A74" s="7">
        <v>46058</v>
      </c>
      <c r="B74" s="4">
        <v>46058</v>
      </c>
      <c r="C74" s="1" t="s">
        <v>192</v>
      </c>
      <c r="D74" s="1" t="s">
        <v>43</v>
      </c>
      <c r="E74" s="1" t="s">
        <v>30</v>
      </c>
      <c r="F74" s="1" t="s">
        <v>193</v>
      </c>
      <c r="G74" s="1" t="s">
        <v>194</v>
      </c>
      <c r="H74" s="44" t="s">
        <v>32</v>
      </c>
      <c r="I74" s="45"/>
      <c r="J74" s="1"/>
      <c r="K74" s="1"/>
      <c r="L74" s="1" t="s">
        <v>36</v>
      </c>
      <c r="M74" s="5">
        <v>1496</v>
      </c>
      <c r="N74" s="1" t="s">
        <v>36</v>
      </c>
      <c r="O74" s="5">
        <v>-1496</v>
      </c>
      <c r="P74" s="5">
        <v>-1496.2</v>
      </c>
      <c r="Q74" s="1"/>
      <c r="R74" s="5">
        <v>-0.2</v>
      </c>
      <c r="S74" s="1" t="s">
        <v>36</v>
      </c>
      <c r="T74" s="5">
        <v>7932.71</v>
      </c>
      <c r="U74" s="1" t="s">
        <v>37</v>
      </c>
      <c r="V74" s="5">
        <v>41448654</v>
      </c>
      <c r="W74" s="5">
        <v>90129</v>
      </c>
      <c r="X74" s="1"/>
      <c r="Y74" s="1"/>
      <c r="Z74" s="1"/>
      <c r="AA74" s="1"/>
      <c r="AB74" s="1"/>
      <c r="AC74" s="2"/>
      <c r="AD74" s="2"/>
    </row>
    <row r="75" spans="1:30" ht="14.4" x14ac:dyDescent="0.3">
      <c r="A75" s="7">
        <v>46058</v>
      </c>
      <c r="B75" s="4">
        <v>46058</v>
      </c>
      <c r="C75" s="1" t="s">
        <v>195</v>
      </c>
      <c r="D75" s="1" t="s">
        <v>43</v>
      </c>
      <c r="E75" s="1" t="s">
        <v>30</v>
      </c>
      <c r="F75" s="1" t="s">
        <v>193</v>
      </c>
      <c r="G75" s="1" t="s">
        <v>196</v>
      </c>
      <c r="H75" s="44" t="s">
        <v>32</v>
      </c>
      <c r="I75" s="45"/>
      <c r="J75" s="1"/>
      <c r="K75" s="1"/>
      <c r="L75" s="1" t="s">
        <v>36</v>
      </c>
      <c r="M75" s="5">
        <v>1730</v>
      </c>
      <c r="N75" s="1" t="s">
        <v>36</v>
      </c>
      <c r="O75" s="5">
        <v>-1730</v>
      </c>
      <c r="P75" s="5">
        <v>-1730.2</v>
      </c>
      <c r="Q75" s="1"/>
      <c r="R75" s="5">
        <v>-0.2</v>
      </c>
      <c r="S75" s="1" t="s">
        <v>36</v>
      </c>
      <c r="T75" s="5">
        <v>9428.91</v>
      </c>
      <c r="U75" s="1" t="s">
        <v>37</v>
      </c>
      <c r="V75" s="5">
        <v>41448654</v>
      </c>
      <c r="W75" s="5">
        <v>90129</v>
      </c>
      <c r="X75" s="1"/>
      <c r="Y75" s="1"/>
      <c r="Z75" s="1"/>
      <c r="AA75" s="1"/>
      <c r="AB75" s="1"/>
      <c r="AC75" s="2"/>
      <c r="AD75" s="2"/>
    </row>
    <row r="76" spans="1:30" ht="14.4" x14ac:dyDescent="0.3">
      <c r="A76" s="7">
        <v>46058</v>
      </c>
      <c r="B76" s="4">
        <v>46058</v>
      </c>
      <c r="C76" s="1" t="s">
        <v>197</v>
      </c>
      <c r="D76" s="1" t="s">
        <v>43</v>
      </c>
      <c r="E76" s="1" t="s">
        <v>30</v>
      </c>
      <c r="F76" s="1" t="s">
        <v>193</v>
      </c>
      <c r="G76" s="1" t="s">
        <v>198</v>
      </c>
      <c r="H76" s="44" t="s">
        <v>32</v>
      </c>
      <c r="I76" s="45"/>
      <c r="J76" s="1"/>
      <c r="K76" s="1"/>
      <c r="L76" s="1" t="s">
        <v>36</v>
      </c>
      <c r="M76" s="5">
        <v>1481</v>
      </c>
      <c r="N76" s="1" t="s">
        <v>36</v>
      </c>
      <c r="O76" s="5">
        <v>-1481</v>
      </c>
      <c r="P76" s="5">
        <v>-1481.2</v>
      </c>
      <c r="Q76" s="1"/>
      <c r="R76" s="5">
        <v>-0.2</v>
      </c>
      <c r="S76" s="1" t="s">
        <v>36</v>
      </c>
      <c r="T76" s="5">
        <v>11159.11</v>
      </c>
      <c r="U76" s="1" t="s">
        <v>37</v>
      </c>
      <c r="V76" s="5">
        <v>41448654</v>
      </c>
      <c r="W76" s="5">
        <v>90129</v>
      </c>
      <c r="X76" s="1"/>
      <c r="Y76" s="1"/>
      <c r="Z76" s="1"/>
      <c r="AA76" s="1"/>
      <c r="AB76" s="1"/>
      <c r="AC76" s="2"/>
      <c r="AD76" s="2"/>
    </row>
    <row r="77" spans="1:30" ht="14.4" x14ac:dyDescent="0.3">
      <c r="A77" s="7">
        <v>46058</v>
      </c>
      <c r="B77" s="4">
        <v>46058</v>
      </c>
      <c r="C77" s="1" t="s">
        <v>199</v>
      </c>
      <c r="D77" s="1" t="s">
        <v>43</v>
      </c>
      <c r="E77" s="1" t="s">
        <v>30</v>
      </c>
      <c r="F77" s="1" t="s">
        <v>44</v>
      </c>
      <c r="G77" s="1" t="s">
        <v>200</v>
      </c>
      <c r="H77" s="44" t="s">
        <v>32</v>
      </c>
      <c r="I77" s="45"/>
      <c r="J77" s="1"/>
      <c r="K77" s="1"/>
      <c r="L77" s="1" t="s">
        <v>36</v>
      </c>
      <c r="M77" s="5">
        <v>150</v>
      </c>
      <c r="N77" s="1" t="s">
        <v>36</v>
      </c>
      <c r="O77" s="5">
        <v>-150</v>
      </c>
      <c r="P77" s="5">
        <v>-150.19999999999999</v>
      </c>
      <c r="Q77" s="1"/>
      <c r="R77" s="5">
        <v>-0.2</v>
      </c>
      <c r="S77" s="1" t="s">
        <v>36</v>
      </c>
      <c r="T77" s="5">
        <v>12640.31</v>
      </c>
      <c r="U77" s="1" t="s">
        <v>37</v>
      </c>
      <c r="V77" s="5">
        <v>81777815</v>
      </c>
      <c r="W77" s="5">
        <v>400234</v>
      </c>
      <c r="X77" s="1"/>
      <c r="Y77" s="1"/>
      <c r="Z77" s="1"/>
      <c r="AA77" s="1"/>
      <c r="AB77" s="1"/>
      <c r="AC77" s="2"/>
      <c r="AD77" s="2"/>
    </row>
    <row r="78" spans="1:30" ht="14.4" x14ac:dyDescent="0.3">
      <c r="A78" s="7">
        <v>46058</v>
      </c>
      <c r="B78" s="4">
        <v>46058</v>
      </c>
      <c r="C78" s="1" t="s">
        <v>201</v>
      </c>
      <c r="D78" s="1" t="s">
        <v>52</v>
      </c>
      <c r="E78" s="1" t="s">
        <v>30</v>
      </c>
      <c r="F78" s="1" t="s">
        <v>59</v>
      </c>
      <c r="G78" s="1" t="s">
        <v>202</v>
      </c>
      <c r="H78" s="1"/>
      <c r="I78" s="1"/>
      <c r="J78" s="1"/>
      <c r="K78" s="1"/>
      <c r="L78" s="1" t="s">
        <v>36</v>
      </c>
      <c r="M78" s="5">
        <v>6434</v>
      </c>
      <c r="N78" s="1" t="s">
        <v>36</v>
      </c>
      <c r="O78" s="5">
        <v>6434</v>
      </c>
      <c r="P78" s="5">
        <v>6434</v>
      </c>
      <c r="Q78" s="1"/>
      <c r="R78" s="5">
        <v>0</v>
      </c>
      <c r="S78" s="1" t="s">
        <v>36</v>
      </c>
      <c r="T78" s="5">
        <v>12790.51</v>
      </c>
      <c r="U78" s="1" t="s">
        <v>37</v>
      </c>
      <c r="V78" s="1"/>
      <c r="W78" s="1"/>
      <c r="X78" s="1"/>
      <c r="Y78" s="1"/>
      <c r="Z78" s="1"/>
      <c r="AA78" s="1"/>
      <c r="AB78" s="1"/>
      <c r="AC78" s="2"/>
      <c r="AD78" s="2"/>
    </row>
    <row r="79" spans="1:30" ht="14.4" x14ac:dyDescent="0.3">
      <c r="A79" s="7">
        <v>46057</v>
      </c>
      <c r="B79" s="4">
        <v>46058</v>
      </c>
      <c r="C79" s="1" t="s">
        <v>203</v>
      </c>
      <c r="D79" s="1" t="s">
        <v>29</v>
      </c>
      <c r="E79" s="1" t="s">
        <v>30</v>
      </c>
      <c r="F79" s="44" t="s">
        <v>204</v>
      </c>
      <c r="G79" s="45"/>
      <c r="H79" s="1" t="s">
        <v>32</v>
      </c>
      <c r="I79" s="1" t="s">
        <v>40</v>
      </c>
      <c r="J79" s="1" t="s">
        <v>41</v>
      </c>
      <c r="K79" s="1" t="s">
        <v>35</v>
      </c>
      <c r="L79" s="1" t="s">
        <v>36</v>
      </c>
      <c r="M79" s="5">
        <v>10</v>
      </c>
      <c r="N79" s="1" t="s">
        <v>36</v>
      </c>
      <c r="O79" s="5">
        <v>-10</v>
      </c>
      <c r="P79" s="5">
        <v>-10</v>
      </c>
      <c r="Q79" s="1"/>
      <c r="R79" s="5">
        <v>0</v>
      </c>
      <c r="S79" s="1" t="s">
        <v>36</v>
      </c>
      <c r="T79" s="5">
        <v>6356.51</v>
      </c>
      <c r="U79" s="1" t="s">
        <v>37</v>
      </c>
      <c r="V79" s="1"/>
      <c r="W79" s="1"/>
      <c r="X79" s="1"/>
      <c r="Y79" s="1"/>
      <c r="Z79" s="5">
        <v>7523</v>
      </c>
      <c r="AA79" s="1"/>
      <c r="AB79" s="1"/>
      <c r="AC79" s="2"/>
      <c r="AD79" s="2"/>
    </row>
    <row r="80" spans="1:30" ht="14.4" x14ac:dyDescent="0.3">
      <c r="A80" s="7">
        <v>46057</v>
      </c>
      <c r="B80" s="4">
        <v>46058</v>
      </c>
      <c r="C80" s="1" t="s">
        <v>205</v>
      </c>
      <c r="D80" s="1" t="s">
        <v>29</v>
      </c>
      <c r="E80" s="1" t="s">
        <v>30</v>
      </c>
      <c r="F80" s="44" t="s">
        <v>206</v>
      </c>
      <c r="G80" s="45"/>
      <c r="H80" s="1" t="s">
        <v>32</v>
      </c>
      <c r="I80" s="1" t="s">
        <v>40</v>
      </c>
      <c r="J80" s="1" t="s">
        <v>41</v>
      </c>
      <c r="K80" s="1" t="s">
        <v>35</v>
      </c>
      <c r="L80" s="1" t="s">
        <v>36</v>
      </c>
      <c r="M80" s="5">
        <v>8</v>
      </c>
      <c r="N80" s="1" t="s">
        <v>36</v>
      </c>
      <c r="O80" s="5">
        <v>-8</v>
      </c>
      <c r="P80" s="5">
        <v>-8</v>
      </c>
      <c r="Q80" s="1"/>
      <c r="R80" s="5">
        <v>0</v>
      </c>
      <c r="S80" s="1" t="s">
        <v>36</v>
      </c>
      <c r="T80" s="5">
        <v>6366.51</v>
      </c>
      <c r="U80" s="1" t="s">
        <v>37</v>
      </c>
      <c r="V80" s="1"/>
      <c r="W80" s="1"/>
      <c r="X80" s="1"/>
      <c r="Y80" s="1"/>
      <c r="Z80" s="5">
        <v>7523</v>
      </c>
      <c r="AA80" s="1"/>
      <c r="AB80" s="1"/>
      <c r="AC80" s="2"/>
      <c r="AD80" s="2"/>
    </row>
    <row r="81" spans="1:30" ht="14.4" x14ac:dyDescent="0.3">
      <c r="A81" s="7">
        <v>46057</v>
      </c>
      <c r="B81" s="4">
        <v>46057</v>
      </c>
      <c r="C81" s="1" t="s">
        <v>207</v>
      </c>
      <c r="D81" s="1" t="s">
        <v>43</v>
      </c>
      <c r="E81" s="1" t="s">
        <v>30</v>
      </c>
      <c r="F81" s="1" t="s">
        <v>71</v>
      </c>
      <c r="G81" s="1" t="s">
        <v>208</v>
      </c>
      <c r="H81" s="44" t="s">
        <v>32</v>
      </c>
      <c r="I81" s="45"/>
      <c r="J81" s="1"/>
      <c r="K81" s="1"/>
      <c r="L81" s="1" t="s">
        <v>36</v>
      </c>
      <c r="M81" s="5">
        <v>505.44</v>
      </c>
      <c r="N81" s="1" t="s">
        <v>36</v>
      </c>
      <c r="O81" s="5">
        <v>-505.44</v>
      </c>
      <c r="P81" s="5">
        <v>-505.64</v>
      </c>
      <c r="Q81" s="1"/>
      <c r="R81" s="5">
        <v>-0.2</v>
      </c>
      <c r="S81" s="1" t="s">
        <v>36</v>
      </c>
      <c r="T81" s="5">
        <v>6374.51</v>
      </c>
      <c r="U81" s="1" t="s">
        <v>37</v>
      </c>
      <c r="V81" s="5">
        <v>63189198</v>
      </c>
      <c r="W81" s="5">
        <v>202728</v>
      </c>
      <c r="X81" s="1"/>
      <c r="Y81" s="1"/>
      <c r="Z81" s="1"/>
      <c r="AA81" s="1"/>
      <c r="AB81" s="1"/>
      <c r="AC81" s="2"/>
      <c r="AD81" s="2"/>
    </row>
    <row r="82" spans="1:30" ht="14.4" x14ac:dyDescent="0.3">
      <c r="A82" s="7">
        <v>46057</v>
      </c>
      <c r="B82" s="4">
        <v>46057</v>
      </c>
      <c r="C82" s="1" t="s">
        <v>209</v>
      </c>
      <c r="D82" s="1" t="s">
        <v>43</v>
      </c>
      <c r="E82" s="1" t="s">
        <v>30</v>
      </c>
      <c r="F82" s="1" t="s">
        <v>210</v>
      </c>
      <c r="G82" s="1" t="s">
        <v>211</v>
      </c>
      <c r="H82" s="44" t="s">
        <v>32</v>
      </c>
      <c r="I82" s="45"/>
      <c r="J82" s="1"/>
      <c r="K82" s="1"/>
      <c r="L82" s="1" t="s">
        <v>36</v>
      </c>
      <c r="M82" s="5">
        <v>450</v>
      </c>
      <c r="N82" s="1" t="s">
        <v>36</v>
      </c>
      <c r="O82" s="5">
        <v>-450</v>
      </c>
      <c r="P82" s="5">
        <v>-450.2</v>
      </c>
      <c r="Q82" s="1"/>
      <c r="R82" s="5">
        <v>-0.2</v>
      </c>
      <c r="S82" s="1" t="s">
        <v>36</v>
      </c>
      <c r="T82" s="5">
        <v>6880.15</v>
      </c>
      <c r="U82" s="1" t="s">
        <v>37</v>
      </c>
      <c r="V82" s="5">
        <v>40885368</v>
      </c>
      <c r="W82" s="5">
        <v>305466</v>
      </c>
      <c r="X82" s="1"/>
      <c r="Y82" s="1"/>
      <c r="Z82" s="1"/>
      <c r="AA82" s="1"/>
      <c r="AB82" s="1"/>
      <c r="AC82" s="2"/>
      <c r="AD82" s="2"/>
    </row>
    <row r="83" spans="1:30" ht="14.4" x14ac:dyDescent="0.3">
      <c r="A83" s="7">
        <v>46057</v>
      </c>
      <c r="B83" s="4">
        <v>46057</v>
      </c>
      <c r="C83" s="1" t="s">
        <v>212</v>
      </c>
      <c r="D83" s="1" t="s">
        <v>52</v>
      </c>
      <c r="E83" s="1" t="s">
        <v>30</v>
      </c>
      <c r="F83" s="1" t="s">
        <v>132</v>
      </c>
      <c r="G83" s="44" t="s">
        <v>133</v>
      </c>
      <c r="H83" s="45"/>
      <c r="I83" s="1"/>
      <c r="J83" s="1"/>
      <c r="K83" s="1"/>
      <c r="L83" s="1" t="s">
        <v>36</v>
      </c>
      <c r="M83" s="5">
        <v>370</v>
      </c>
      <c r="N83" s="1" t="s">
        <v>36</v>
      </c>
      <c r="O83" s="5">
        <v>370</v>
      </c>
      <c r="P83" s="5">
        <v>370</v>
      </c>
      <c r="Q83" s="1"/>
      <c r="R83" s="5">
        <v>0</v>
      </c>
      <c r="S83" s="1" t="s">
        <v>36</v>
      </c>
      <c r="T83" s="5">
        <v>7330.35</v>
      </c>
      <c r="U83" s="1" t="s">
        <v>37</v>
      </c>
      <c r="V83" s="1"/>
      <c r="W83" s="1"/>
      <c r="X83" s="1"/>
      <c r="Y83" s="1"/>
      <c r="Z83" s="1"/>
      <c r="AA83" s="1"/>
      <c r="AB83" s="1"/>
      <c r="AC83" s="2"/>
      <c r="AD83" s="2"/>
    </row>
    <row r="84" spans="1:30" ht="14.4" x14ac:dyDescent="0.3">
      <c r="A84" s="7">
        <v>46057</v>
      </c>
      <c r="B84" s="4">
        <v>46057</v>
      </c>
      <c r="C84" s="1" t="s">
        <v>213</v>
      </c>
      <c r="D84" s="1" t="s">
        <v>29</v>
      </c>
      <c r="E84" s="1" t="s">
        <v>30</v>
      </c>
      <c r="F84" s="1" t="s">
        <v>214</v>
      </c>
      <c r="G84" s="1"/>
      <c r="H84" s="1" t="s">
        <v>32</v>
      </c>
      <c r="I84" s="1" t="s">
        <v>40</v>
      </c>
      <c r="J84" s="1" t="s">
        <v>41</v>
      </c>
      <c r="K84" s="1" t="s">
        <v>35</v>
      </c>
      <c r="L84" s="1" t="s">
        <v>36</v>
      </c>
      <c r="M84" s="5">
        <v>18.989999999999998</v>
      </c>
      <c r="N84" s="1" t="s">
        <v>36</v>
      </c>
      <c r="O84" s="5">
        <v>-18.989999999999998</v>
      </c>
      <c r="P84" s="5">
        <v>-18.989999999999998</v>
      </c>
      <c r="Q84" s="1"/>
      <c r="R84" s="5">
        <v>0</v>
      </c>
      <c r="S84" s="1" t="s">
        <v>36</v>
      </c>
      <c r="T84" s="5">
        <v>6960.35</v>
      </c>
      <c r="U84" s="1" t="s">
        <v>37</v>
      </c>
      <c r="V84" s="1"/>
      <c r="W84" s="1"/>
      <c r="X84" s="1"/>
      <c r="Y84" s="1"/>
      <c r="Z84" s="5">
        <v>4899</v>
      </c>
      <c r="AA84" s="1"/>
      <c r="AB84" s="1"/>
      <c r="AC84" s="2"/>
      <c r="AD84" s="2"/>
    </row>
    <row r="85" spans="1:30" ht="14.4" x14ac:dyDescent="0.3">
      <c r="A85" s="7">
        <v>46056</v>
      </c>
      <c r="B85" s="4">
        <v>46056</v>
      </c>
      <c r="C85" s="1" t="s">
        <v>215</v>
      </c>
      <c r="D85" s="1" t="s">
        <v>43</v>
      </c>
      <c r="E85" s="1" t="s">
        <v>30</v>
      </c>
      <c r="F85" s="1" t="s">
        <v>216</v>
      </c>
      <c r="G85" s="1" t="s">
        <v>217</v>
      </c>
      <c r="H85" s="44" t="s">
        <v>32</v>
      </c>
      <c r="I85" s="45"/>
      <c r="J85" s="1"/>
      <c r="K85" s="1"/>
      <c r="L85" s="1" t="s">
        <v>36</v>
      </c>
      <c r="M85" s="5">
        <v>168.75</v>
      </c>
      <c r="N85" s="1" t="s">
        <v>36</v>
      </c>
      <c r="O85" s="5">
        <v>-168.75</v>
      </c>
      <c r="P85" s="5">
        <v>-168.75</v>
      </c>
      <c r="Q85" s="1"/>
      <c r="R85" s="5">
        <v>0</v>
      </c>
      <c r="S85" s="1" t="s">
        <v>36</v>
      </c>
      <c r="T85" s="5">
        <v>6979.34</v>
      </c>
      <c r="U85" s="1" t="s">
        <v>37</v>
      </c>
      <c r="V85" s="1"/>
      <c r="W85" s="1"/>
      <c r="X85" s="1"/>
      <c r="Y85" s="1"/>
      <c r="Z85" s="1"/>
      <c r="AA85" s="1"/>
      <c r="AB85" s="1"/>
      <c r="AC85" s="2"/>
      <c r="AD85" s="2"/>
    </row>
    <row r="86" spans="1:30" ht="14.4" x14ac:dyDescent="0.3">
      <c r="A86" s="7">
        <v>46056</v>
      </c>
      <c r="B86" s="4">
        <v>46056</v>
      </c>
      <c r="C86" s="1" t="s">
        <v>218</v>
      </c>
      <c r="D86" s="1" t="s">
        <v>43</v>
      </c>
      <c r="E86" s="1" t="s">
        <v>30</v>
      </c>
      <c r="F86" s="1" t="s">
        <v>219</v>
      </c>
      <c r="G86" s="1" t="s">
        <v>220</v>
      </c>
      <c r="H86" s="44" t="s">
        <v>32</v>
      </c>
      <c r="I86" s="45"/>
      <c r="J86" s="1"/>
      <c r="K86" s="1"/>
      <c r="L86" s="1" t="s">
        <v>36</v>
      </c>
      <c r="M86" s="5">
        <v>117</v>
      </c>
      <c r="N86" s="1" t="s">
        <v>36</v>
      </c>
      <c r="O86" s="5">
        <v>-117</v>
      </c>
      <c r="P86" s="5">
        <v>-117</v>
      </c>
      <c r="Q86" s="1"/>
      <c r="R86" s="5">
        <v>0</v>
      </c>
      <c r="S86" s="1" t="s">
        <v>36</v>
      </c>
      <c r="T86" s="5">
        <v>7148.09</v>
      </c>
      <c r="U86" s="1" t="s">
        <v>37</v>
      </c>
      <c r="V86" s="1"/>
      <c r="W86" s="1"/>
      <c r="X86" s="1"/>
      <c r="Y86" s="1"/>
      <c r="Z86" s="1"/>
      <c r="AA86" s="1"/>
      <c r="AB86" s="1"/>
      <c r="AC86" s="2"/>
      <c r="AD86" s="2"/>
    </row>
    <row r="87" spans="1:30" ht="14.4" x14ac:dyDescent="0.3">
      <c r="A87" s="7">
        <v>46056</v>
      </c>
      <c r="B87" s="4">
        <v>46056</v>
      </c>
      <c r="C87" s="1" t="s">
        <v>221</v>
      </c>
      <c r="D87" s="1" t="s">
        <v>43</v>
      </c>
      <c r="E87" s="1" t="s">
        <v>30</v>
      </c>
      <c r="F87" s="1" t="s">
        <v>222</v>
      </c>
      <c r="G87" s="1" t="s">
        <v>223</v>
      </c>
      <c r="H87" s="44" t="s">
        <v>32</v>
      </c>
      <c r="I87" s="45"/>
      <c r="J87" s="1"/>
      <c r="K87" s="1"/>
      <c r="L87" s="1" t="s">
        <v>36</v>
      </c>
      <c r="M87" s="5">
        <v>100</v>
      </c>
      <c r="N87" s="1" t="s">
        <v>36</v>
      </c>
      <c r="O87" s="5">
        <v>-100</v>
      </c>
      <c r="P87" s="5">
        <v>-100.2</v>
      </c>
      <c r="Q87" s="1"/>
      <c r="R87" s="5">
        <v>-0.2</v>
      </c>
      <c r="S87" s="1" t="s">
        <v>36</v>
      </c>
      <c r="T87" s="5">
        <v>7265.09</v>
      </c>
      <c r="U87" s="1" t="s">
        <v>37</v>
      </c>
      <c r="V87" s="5">
        <v>1152466</v>
      </c>
      <c r="W87" s="5">
        <v>110107</v>
      </c>
      <c r="X87" s="1"/>
      <c r="Y87" s="1"/>
      <c r="Z87" s="1"/>
      <c r="AA87" s="1"/>
      <c r="AB87" s="1"/>
      <c r="AC87" s="2"/>
      <c r="AD87" s="2"/>
    </row>
    <row r="88" spans="1:30" ht="14.4" x14ac:dyDescent="0.3">
      <c r="A88" s="7">
        <v>46055</v>
      </c>
      <c r="B88" s="4">
        <v>46056</v>
      </c>
      <c r="C88" s="1" t="s">
        <v>224</v>
      </c>
      <c r="D88" s="1" t="s">
        <v>29</v>
      </c>
      <c r="E88" s="1" t="s">
        <v>30</v>
      </c>
      <c r="F88" s="44" t="s">
        <v>225</v>
      </c>
      <c r="G88" s="45"/>
      <c r="H88" s="1" t="s">
        <v>32</v>
      </c>
      <c r="I88" s="1" t="s">
        <v>40</v>
      </c>
      <c r="J88" s="1" t="s">
        <v>41</v>
      </c>
      <c r="K88" s="1" t="s">
        <v>35</v>
      </c>
      <c r="L88" s="1" t="s">
        <v>36</v>
      </c>
      <c r="M88" s="5">
        <v>0.93</v>
      </c>
      <c r="N88" s="1" t="s">
        <v>36</v>
      </c>
      <c r="O88" s="5">
        <v>-0.93</v>
      </c>
      <c r="P88" s="5">
        <v>-0.93</v>
      </c>
      <c r="Q88" s="1"/>
      <c r="R88" s="5">
        <v>0</v>
      </c>
      <c r="S88" s="1" t="s">
        <v>36</v>
      </c>
      <c r="T88" s="5">
        <v>7365.29</v>
      </c>
      <c r="U88" s="1" t="s">
        <v>37</v>
      </c>
      <c r="V88" s="1"/>
      <c r="W88" s="1"/>
      <c r="X88" s="1"/>
      <c r="Y88" s="1"/>
      <c r="Z88" s="5">
        <v>7523</v>
      </c>
      <c r="AA88" s="1"/>
      <c r="AB88" s="1"/>
      <c r="AC88" s="2"/>
      <c r="AD88" s="2"/>
    </row>
    <row r="89" spans="1:30" ht="14.4" x14ac:dyDescent="0.3">
      <c r="A89" s="7">
        <v>46055</v>
      </c>
      <c r="B89" s="4">
        <v>46056</v>
      </c>
      <c r="C89" s="1" t="s">
        <v>226</v>
      </c>
      <c r="D89" s="1" t="s">
        <v>29</v>
      </c>
      <c r="E89" s="1" t="s">
        <v>30</v>
      </c>
      <c r="F89" s="44" t="s">
        <v>225</v>
      </c>
      <c r="G89" s="45"/>
      <c r="H89" s="1" t="s">
        <v>32</v>
      </c>
      <c r="I89" s="1" t="s">
        <v>40</v>
      </c>
      <c r="J89" s="1" t="s">
        <v>41</v>
      </c>
      <c r="K89" s="1" t="s">
        <v>35</v>
      </c>
      <c r="L89" s="1" t="s">
        <v>36</v>
      </c>
      <c r="M89" s="5">
        <v>2.09</v>
      </c>
      <c r="N89" s="1" t="s">
        <v>36</v>
      </c>
      <c r="O89" s="5">
        <v>-2.09</v>
      </c>
      <c r="P89" s="5">
        <v>-2.09</v>
      </c>
      <c r="Q89" s="1"/>
      <c r="R89" s="5">
        <v>0</v>
      </c>
      <c r="S89" s="1" t="s">
        <v>36</v>
      </c>
      <c r="T89" s="5">
        <v>7366.22</v>
      </c>
      <c r="U89" s="1" t="s">
        <v>37</v>
      </c>
      <c r="V89" s="1"/>
      <c r="W89" s="1"/>
      <c r="X89" s="1"/>
      <c r="Y89" s="1"/>
      <c r="Z89" s="5">
        <v>7523</v>
      </c>
      <c r="AA89" s="1"/>
      <c r="AB89" s="1"/>
      <c r="AC89" s="2"/>
      <c r="AD89" s="2"/>
    </row>
    <row r="90" spans="1:30" ht="14.4" x14ac:dyDescent="0.3">
      <c r="A90" s="7">
        <v>46055</v>
      </c>
      <c r="B90" s="4">
        <v>46056</v>
      </c>
      <c r="C90" s="1" t="s">
        <v>227</v>
      </c>
      <c r="D90" s="1" t="s">
        <v>29</v>
      </c>
      <c r="E90" s="1" t="s">
        <v>30</v>
      </c>
      <c r="F90" s="44" t="s">
        <v>191</v>
      </c>
      <c r="G90" s="45"/>
      <c r="H90" s="1" t="s">
        <v>32</v>
      </c>
      <c r="I90" s="1" t="s">
        <v>40</v>
      </c>
      <c r="J90" s="1" t="s">
        <v>41</v>
      </c>
      <c r="K90" s="1" t="s">
        <v>35</v>
      </c>
      <c r="L90" s="1" t="s">
        <v>36</v>
      </c>
      <c r="M90" s="5">
        <v>140</v>
      </c>
      <c r="N90" s="1" t="s">
        <v>36</v>
      </c>
      <c r="O90" s="5">
        <v>-140</v>
      </c>
      <c r="P90" s="5">
        <v>-140</v>
      </c>
      <c r="Q90" s="1"/>
      <c r="R90" s="5">
        <v>0</v>
      </c>
      <c r="S90" s="1" t="s">
        <v>36</v>
      </c>
      <c r="T90" s="5">
        <v>7368.31</v>
      </c>
      <c r="U90" s="1" t="s">
        <v>37</v>
      </c>
      <c r="V90" s="1"/>
      <c r="W90" s="1"/>
      <c r="X90" s="1"/>
      <c r="Y90" s="1"/>
      <c r="Z90" s="5">
        <v>4121</v>
      </c>
      <c r="AA90" s="1"/>
      <c r="AB90" s="1"/>
      <c r="AC90" s="2"/>
      <c r="AD90" s="2"/>
    </row>
    <row r="91" spans="1:30" ht="14.4" x14ac:dyDescent="0.3">
      <c r="A91" s="7">
        <v>46055</v>
      </c>
      <c r="B91" s="4">
        <v>46055</v>
      </c>
      <c r="C91" s="1" t="s">
        <v>228</v>
      </c>
      <c r="D91" s="1" t="s">
        <v>43</v>
      </c>
      <c r="E91" s="1" t="s">
        <v>30</v>
      </c>
      <c r="F91" s="1" t="s">
        <v>74</v>
      </c>
      <c r="G91" s="1" t="s">
        <v>165</v>
      </c>
      <c r="H91" s="44" t="s">
        <v>32</v>
      </c>
      <c r="I91" s="45"/>
      <c r="J91" s="1"/>
      <c r="K91" s="1"/>
      <c r="L91" s="1" t="s">
        <v>36</v>
      </c>
      <c r="M91" s="5">
        <v>1600</v>
      </c>
      <c r="N91" s="1" t="s">
        <v>36</v>
      </c>
      <c r="O91" s="5">
        <v>-1600</v>
      </c>
      <c r="P91" s="5">
        <v>-1600.2</v>
      </c>
      <c r="Q91" s="1"/>
      <c r="R91" s="5">
        <v>-0.2</v>
      </c>
      <c r="S91" s="1" t="s">
        <v>36</v>
      </c>
      <c r="T91" s="5">
        <v>7508.31</v>
      </c>
      <c r="U91" s="1" t="s">
        <v>37</v>
      </c>
      <c r="V91" s="5">
        <v>39904763</v>
      </c>
      <c r="W91" s="5">
        <v>90128</v>
      </c>
      <c r="X91" s="1"/>
      <c r="Y91" s="1"/>
      <c r="Z91" s="1"/>
      <c r="AA91" s="1"/>
      <c r="AB91" s="1"/>
      <c r="AC91" s="2"/>
      <c r="AD91" s="2"/>
    </row>
    <row r="92" spans="1:30" ht="14.4" x14ac:dyDescent="0.3">
      <c r="A92" s="7">
        <v>46055</v>
      </c>
      <c r="B92" s="4">
        <v>46055</v>
      </c>
      <c r="C92" s="1" t="s">
        <v>229</v>
      </c>
      <c r="D92" s="1" t="s">
        <v>43</v>
      </c>
      <c r="E92" s="1" t="s">
        <v>30</v>
      </c>
      <c r="F92" s="1" t="s">
        <v>230</v>
      </c>
      <c r="G92" s="44" t="s">
        <v>231</v>
      </c>
      <c r="H92" s="45"/>
      <c r="I92" s="1"/>
      <c r="J92" s="1"/>
      <c r="K92" s="1"/>
      <c r="L92" s="1" t="s">
        <v>36</v>
      </c>
      <c r="M92" s="5">
        <v>956.53</v>
      </c>
      <c r="N92" s="1" t="s">
        <v>36</v>
      </c>
      <c r="O92" s="5">
        <v>-956.53</v>
      </c>
      <c r="P92" s="5">
        <v>-956.53</v>
      </c>
      <c r="Q92" s="1"/>
      <c r="R92" s="5">
        <v>0</v>
      </c>
      <c r="S92" s="1" t="s">
        <v>36</v>
      </c>
      <c r="T92" s="5">
        <v>9108.51</v>
      </c>
      <c r="U92" s="1" t="s">
        <v>37</v>
      </c>
      <c r="V92" s="5">
        <v>43729419</v>
      </c>
      <c r="W92" s="5">
        <v>206563</v>
      </c>
      <c r="X92" s="1"/>
      <c r="Y92" s="1"/>
      <c r="Z92" s="1"/>
      <c r="AA92" s="1"/>
      <c r="AB92" s="1"/>
      <c r="AC92" s="2"/>
      <c r="AD92" s="2"/>
    </row>
    <row r="93" spans="1:30" ht="14.4" x14ac:dyDescent="0.3">
      <c r="A93" s="7">
        <v>46055</v>
      </c>
      <c r="B93" s="4">
        <v>46055</v>
      </c>
      <c r="C93" s="1" t="s">
        <v>232</v>
      </c>
      <c r="D93" s="1" t="s">
        <v>43</v>
      </c>
      <c r="E93" s="1" t="s">
        <v>30</v>
      </c>
      <c r="F93" s="1" t="s">
        <v>233</v>
      </c>
      <c r="G93" s="5">
        <v>73778440</v>
      </c>
      <c r="H93" s="1"/>
      <c r="I93" s="1"/>
      <c r="J93" s="1"/>
      <c r="K93" s="1"/>
      <c r="L93" s="1" t="s">
        <v>36</v>
      </c>
      <c r="M93" s="5">
        <v>54.25</v>
      </c>
      <c r="N93" s="1" t="s">
        <v>36</v>
      </c>
      <c r="O93" s="5">
        <v>-54.25</v>
      </c>
      <c r="P93" s="5">
        <v>-54.25</v>
      </c>
      <c r="Q93" s="1"/>
      <c r="R93" s="5">
        <v>0</v>
      </c>
      <c r="S93" s="1" t="s">
        <v>36</v>
      </c>
      <c r="T93" s="5">
        <v>10065.040000000001</v>
      </c>
      <c r="U93" s="1" t="s">
        <v>37</v>
      </c>
      <c r="V93" s="5">
        <v>23709310</v>
      </c>
      <c r="W93" s="5">
        <v>208045</v>
      </c>
      <c r="X93" s="1"/>
      <c r="Y93" s="1"/>
      <c r="Z93" s="1"/>
      <c r="AA93" s="1"/>
      <c r="AB93" s="1"/>
      <c r="AC93" s="2"/>
      <c r="AD93" s="2"/>
    </row>
    <row r="94" spans="1:30" ht="14.4" x14ac:dyDescent="0.3">
      <c r="A94" s="7">
        <v>46055</v>
      </c>
      <c r="B94" s="4">
        <v>46055</v>
      </c>
      <c r="C94" s="1" t="s">
        <v>234</v>
      </c>
      <c r="D94" s="1" t="s">
        <v>43</v>
      </c>
      <c r="E94" s="1" t="s">
        <v>30</v>
      </c>
      <c r="F94" s="1" t="s">
        <v>235</v>
      </c>
      <c r="G94" s="5">
        <v>73368653</v>
      </c>
      <c r="H94" s="1"/>
      <c r="I94" s="1"/>
      <c r="J94" s="1"/>
      <c r="K94" s="1"/>
      <c r="L94" s="1" t="s">
        <v>36</v>
      </c>
      <c r="M94" s="5">
        <v>54.25</v>
      </c>
      <c r="N94" s="1" t="s">
        <v>36</v>
      </c>
      <c r="O94" s="5">
        <v>-54.25</v>
      </c>
      <c r="P94" s="5">
        <v>-54.25</v>
      </c>
      <c r="Q94" s="1"/>
      <c r="R94" s="5">
        <v>0</v>
      </c>
      <c r="S94" s="1" t="s">
        <v>36</v>
      </c>
      <c r="T94" s="5">
        <v>10119.290000000001</v>
      </c>
      <c r="U94" s="1" t="s">
        <v>37</v>
      </c>
      <c r="V94" s="5">
        <v>23709310</v>
      </c>
      <c r="W94" s="5">
        <v>208045</v>
      </c>
      <c r="X94" s="1"/>
      <c r="Y94" s="1"/>
      <c r="Z94" s="1"/>
      <c r="AA94" s="1"/>
      <c r="AB94" s="1"/>
      <c r="AC94" s="2"/>
      <c r="AD94" s="2"/>
    </row>
    <row r="95" spans="1:30" ht="14.4" x14ac:dyDescent="0.3">
      <c r="A95" s="7">
        <v>46055</v>
      </c>
      <c r="B95" s="4">
        <v>46055</v>
      </c>
      <c r="C95" s="1" t="s">
        <v>236</v>
      </c>
      <c r="D95" s="1" t="s">
        <v>43</v>
      </c>
      <c r="E95" s="1" t="s">
        <v>30</v>
      </c>
      <c r="F95" s="1" t="s">
        <v>237</v>
      </c>
      <c r="G95" s="5">
        <v>73079111</v>
      </c>
      <c r="H95" s="1"/>
      <c r="I95" s="1"/>
      <c r="J95" s="1"/>
      <c r="K95" s="1"/>
      <c r="L95" s="1" t="s">
        <v>36</v>
      </c>
      <c r="M95" s="5">
        <v>54.25</v>
      </c>
      <c r="N95" s="1" t="s">
        <v>36</v>
      </c>
      <c r="O95" s="5">
        <v>-54.25</v>
      </c>
      <c r="P95" s="5">
        <v>-54.25</v>
      </c>
      <c r="Q95" s="1"/>
      <c r="R95" s="5">
        <v>0</v>
      </c>
      <c r="S95" s="1" t="s">
        <v>36</v>
      </c>
      <c r="T95" s="5">
        <v>10173.540000000001</v>
      </c>
      <c r="U95" s="1" t="s">
        <v>37</v>
      </c>
      <c r="V95" s="5">
        <v>23709310</v>
      </c>
      <c r="W95" s="5">
        <v>208045</v>
      </c>
      <c r="X95" s="1"/>
      <c r="Y95" s="1"/>
      <c r="Z95" s="1"/>
      <c r="AA95" s="1"/>
      <c r="AB95" s="1"/>
      <c r="AC95" s="2"/>
      <c r="AD95" s="2"/>
    </row>
    <row r="96" spans="1:30" ht="14.4" x14ac:dyDescent="0.3">
      <c r="A96" s="7">
        <v>46055</v>
      </c>
      <c r="B96" s="4">
        <v>46055</v>
      </c>
      <c r="C96" s="1" t="s">
        <v>238</v>
      </c>
      <c r="D96" s="1" t="s">
        <v>43</v>
      </c>
      <c r="E96" s="1" t="s">
        <v>30</v>
      </c>
      <c r="F96" s="1" t="s">
        <v>239</v>
      </c>
      <c r="G96" s="8">
        <v>2.5E+17</v>
      </c>
      <c r="H96" s="1"/>
      <c r="I96" s="1"/>
      <c r="J96" s="1"/>
      <c r="K96" s="1"/>
      <c r="L96" s="1" t="s">
        <v>36</v>
      </c>
      <c r="M96" s="5">
        <v>126</v>
      </c>
      <c r="N96" s="1" t="s">
        <v>36</v>
      </c>
      <c r="O96" s="5">
        <v>-126</v>
      </c>
      <c r="P96" s="5">
        <v>-126</v>
      </c>
      <c r="Q96" s="1"/>
      <c r="R96" s="5">
        <v>0</v>
      </c>
      <c r="S96" s="1" t="s">
        <v>36</v>
      </c>
      <c r="T96" s="5">
        <v>10227.790000000001</v>
      </c>
      <c r="U96" s="1" t="s">
        <v>37</v>
      </c>
      <c r="V96" s="5">
        <v>1394088</v>
      </c>
      <c r="W96" s="5">
        <v>400250</v>
      </c>
      <c r="X96" s="1"/>
      <c r="Y96" s="1"/>
      <c r="Z96" s="1"/>
      <c r="AA96" s="1"/>
      <c r="AB96" s="1"/>
      <c r="AC96" s="2"/>
      <c r="AD96" s="2"/>
    </row>
    <row r="97" spans="1:30" ht="14.4" x14ac:dyDescent="0.3">
      <c r="A97" s="7">
        <v>46055</v>
      </c>
      <c r="B97" s="4">
        <v>46055</v>
      </c>
      <c r="C97" s="1" t="s">
        <v>240</v>
      </c>
      <c r="D97" s="1" t="s">
        <v>43</v>
      </c>
      <c r="E97" s="1" t="s">
        <v>30</v>
      </c>
      <c r="F97" s="1" t="s">
        <v>168</v>
      </c>
      <c r="G97" s="5">
        <v>2617763</v>
      </c>
      <c r="H97" s="1"/>
      <c r="I97" s="1"/>
      <c r="J97" s="1"/>
      <c r="K97" s="1"/>
      <c r="L97" s="1" t="s">
        <v>36</v>
      </c>
      <c r="M97" s="5">
        <v>7.2</v>
      </c>
      <c r="N97" s="1" t="s">
        <v>36</v>
      </c>
      <c r="O97" s="5">
        <v>-7.2</v>
      </c>
      <c r="P97" s="5">
        <v>-7.2</v>
      </c>
      <c r="Q97" s="1"/>
      <c r="R97" s="5">
        <v>0</v>
      </c>
      <c r="S97" s="1" t="s">
        <v>36</v>
      </c>
      <c r="T97" s="5">
        <v>10353.790000000001</v>
      </c>
      <c r="U97" s="1" t="s">
        <v>37</v>
      </c>
      <c r="V97" s="5">
        <v>20390720</v>
      </c>
      <c r="W97" s="5">
        <v>205385</v>
      </c>
      <c r="X97" s="1"/>
      <c r="Y97" s="1"/>
      <c r="Z97" s="1"/>
      <c r="AA97" s="1"/>
      <c r="AB97" s="1"/>
      <c r="AC97" s="2"/>
      <c r="AD97" s="2"/>
    </row>
    <row r="98" spans="1:30" ht="14.4" x14ac:dyDescent="0.3">
      <c r="A98" s="7">
        <v>46055</v>
      </c>
      <c r="B98" s="4">
        <v>46055</v>
      </c>
      <c r="C98" s="1" t="s">
        <v>241</v>
      </c>
      <c r="D98" s="1" t="s">
        <v>43</v>
      </c>
      <c r="E98" s="1" t="s">
        <v>30</v>
      </c>
      <c r="F98" s="1" t="s">
        <v>242</v>
      </c>
      <c r="G98" s="5">
        <v>72868147</v>
      </c>
      <c r="H98" s="1"/>
      <c r="I98" s="1"/>
      <c r="J98" s="1"/>
      <c r="K98" s="1"/>
      <c r="L98" s="1" t="s">
        <v>36</v>
      </c>
      <c r="M98" s="5">
        <v>54.25</v>
      </c>
      <c r="N98" s="1" t="s">
        <v>36</v>
      </c>
      <c r="O98" s="5">
        <v>-54.25</v>
      </c>
      <c r="P98" s="5">
        <v>-54.25</v>
      </c>
      <c r="Q98" s="1"/>
      <c r="R98" s="5">
        <v>0</v>
      </c>
      <c r="S98" s="1" t="s">
        <v>36</v>
      </c>
      <c r="T98" s="5">
        <v>10360.99</v>
      </c>
      <c r="U98" s="1" t="s">
        <v>37</v>
      </c>
      <c r="V98" s="5">
        <v>23709310</v>
      </c>
      <c r="W98" s="5">
        <v>208045</v>
      </c>
      <c r="X98" s="1"/>
      <c r="Y98" s="1"/>
      <c r="Z98" s="1"/>
      <c r="AA98" s="1"/>
      <c r="AB98" s="1"/>
      <c r="AC98" s="2"/>
      <c r="AD98" s="2"/>
    </row>
    <row r="99" spans="1:30" ht="14.4" x14ac:dyDescent="0.3">
      <c r="A99" s="7">
        <v>46055</v>
      </c>
      <c r="B99" s="4">
        <v>46055</v>
      </c>
      <c r="C99" s="1" t="s">
        <v>243</v>
      </c>
      <c r="D99" s="1" t="s">
        <v>43</v>
      </c>
      <c r="E99" s="1" t="s">
        <v>30</v>
      </c>
      <c r="F99" s="1" t="s">
        <v>244</v>
      </c>
      <c r="G99" s="5">
        <v>70103612</v>
      </c>
      <c r="H99" s="1"/>
      <c r="I99" s="1"/>
      <c r="J99" s="1"/>
      <c r="K99" s="1"/>
      <c r="L99" s="1" t="s">
        <v>36</v>
      </c>
      <c r="M99" s="5">
        <v>17.09</v>
      </c>
      <c r="N99" s="1" t="s">
        <v>36</v>
      </c>
      <c r="O99" s="5">
        <v>-17.09</v>
      </c>
      <c r="P99" s="5">
        <v>-17.09</v>
      </c>
      <c r="Q99" s="1"/>
      <c r="R99" s="5">
        <v>0</v>
      </c>
      <c r="S99" s="1" t="s">
        <v>36</v>
      </c>
      <c r="T99" s="5">
        <v>10415.24</v>
      </c>
      <c r="U99" s="1" t="s">
        <v>37</v>
      </c>
      <c r="V99" s="5">
        <v>23709310</v>
      </c>
      <c r="W99" s="5">
        <v>208045</v>
      </c>
      <c r="X99" s="1"/>
      <c r="Y99" s="1"/>
      <c r="Z99" s="1"/>
      <c r="AA99" s="1"/>
      <c r="AB99" s="1"/>
      <c r="AC99" s="2"/>
      <c r="AD99" s="2"/>
    </row>
    <row r="100" spans="1:30" ht="14.4" x14ac:dyDescent="0.3">
      <c r="A100" s="7">
        <v>46054</v>
      </c>
      <c r="B100" s="4">
        <v>46055</v>
      </c>
      <c r="C100" s="1" t="s">
        <v>245</v>
      </c>
      <c r="D100" s="1" t="s">
        <v>29</v>
      </c>
      <c r="E100" s="1" t="s">
        <v>30</v>
      </c>
      <c r="F100" s="44" t="s">
        <v>246</v>
      </c>
      <c r="G100" s="45"/>
      <c r="H100" s="1" t="s">
        <v>32</v>
      </c>
      <c r="I100" s="1" t="s">
        <v>40</v>
      </c>
      <c r="J100" s="1" t="s">
        <v>41</v>
      </c>
      <c r="K100" s="1" t="s">
        <v>35</v>
      </c>
      <c r="L100" s="1" t="s">
        <v>36</v>
      </c>
      <c r="M100" s="5">
        <v>7</v>
      </c>
      <c r="N100" s="1" t="s">
        <v>36</v>
      </c>
      <c r="O100" s="5">
        <v>-7</v>
      </c>
      <c r="P100" s="5">
        <v>-7</v>
      </c>
      <c r="Q100" s="1"/>
      <c r="R100" s="5">
        <v>0</v>
      </c>
      <c r="S100" s="1" t="s">
        <v>36</v>
      </c>
      <c r="T100" s="5">
        <v>10432.33</v>
      </c>
      <c r="U100" s="1" t="s">
        <v>37</v>
      </c>
      <c r="V100" s="1"/>
      <c r="W100" s="1"/>
      <c r="X100" s="1"/>
      <c r="Y100" s="1"/>
      <c r="Z100" s="5">
        <v>5817</v>
      </c>
      <c r="AA100" s="1"/>
      <c r="AB100" s="1"/>
      <c r="AC100" s="2"/>
      <c r="AD100" s="2"/>
    </row>
    <row r="101" spans="1:30" ht="14.4" x14ac:dyDescent="0.3">
      <c r="A101" s="7">
        <v>46054</v>
      </c>
      <c r="B101" s="4">
        <v>46054</v>
      </c>
      <c r="C101" s="1" t="s">
        <v>247</v>
      </c>
      <c r="D101" s="1" t="s">
        <v>43</v>
      </c>
      <c r="E101" s="1" t="s">
        <v>30</v>
      </c>
      <c r="F101" s="1" t="s">
        <v>111</v>
      </c>
      <c r="G101" s="1" t="s">
        <v>248</v>
      </c>
      <c r="H101" s="44" t="s">
        <v>32</v>
      </c>
      <c r="I101" s="45"/>
      <c r="J101" s="1"/>
      <c r="K101" s="1"/>
      <c r="L101" s="1" t="s">
        <v>36</v>
      </c>
      <c r="M101" s="5">
        <v>185.2</v>
      </c>
      <c r="N101" s="1" t="s">
        <v>36</v>
      </c>
      <c r="O101" s="5">
        <v>-185.2</v>
      </c>
      <c r="P101" s="5">
        <v>-185.4</v>
      </c>
      <c r="Q101" s="1"/>
      <c r="R101" s="5">
        <v>-0.2</v>
      </c>
      <c r="S101" s="1" t="s">
        <v>36</v>
      </c>
      <c r="T101" s="5">
        <v>10439.33</v>
      </c>
      <c r="U101" s="1" t="s">
        <v>37</v>
      </c>
      <c r="V101" s="5">
        <v>53132022</v>
      </c>
      <c r="W101" s="5">
        <v>230580</v>
      </c>
      <c r="X101" s="1"/>
      <c r="Y101" s="1"/>
      <c r="Z101" s="1"/>
      <c r="AA101" s="1"/>
      <c r="AB101" s="1"/>
      <c r="AC101" s="2"/>
      <c r="AD101" s="2"/>
    </row>
    <row r="102" spans="1:30" ht="14.4" x14ac:dyDescent="0.3">
      <c r="A102" s="7">
        <v>46054</v>
      </c>
      <c r="B102" s="4">
        <v>46054</v>
      </c>
      <c r="C102" s="1" t="s">
        <v>249</v>
      </c>
      <c r="D102" s="1" t="s">
        <v>52</v>
      </c>
      <c r="E102" s="1" t="s">
        <v>30</v>
      </c>
      <c r="F102" s="1" t="s">
        <v>96</v>
      </c>
      <c r="G102" s="44" t="s">
        <v>97</v>
      </c>
      <c r="H102" s="45"/>
      <c r="I102" s="1"/>
      <c r="J102" s="1"/>
      <c r="K102" s="1"/>
      <c r="L102" s="1" t="s">
        <v>36</v>
      </c>
      <c r="M102" s="5">
        <v>755</v>
      </c>
      <c r="N102" s="1" t="s">
        <v>36</v>
      </c>
      <c r="O102" s="5">
        <v>755</v>
      </c>
      <c r="P102" s="5">
        <v>755</v>
      </c>
      <c r="Q102" s="1"/>
      <c r="R102" s="5">
        <v>0</v>
      </c>
      <c r="S102" s="1" t="s">
        <v>36</v>
      </c>
      <c r="T102" s="5">
        <v>10624.73</v>
      </c>
      <c r="U102" s="1" t="s">
        <v>37</v>
      </c>
      <c r="V102" s="1"/>
      <c r="W102" s="1"/>
      <c r="X102" s="1"/>
      <c r="Y102" s="1"/>
      <c r="Z102" s="1"/>
      <c r="AA102" s="1"/>
      <c r="AB102" s="1"/>
      <c r="AC102" s="2"/>
      <c r="AD102" s="2"/>
    </row>
    <row r="103" spans="1:30" ht="14.4" x14ac:dyDescent="0.3">
      <c r="A103" s="3">
        <v>46053</v>
      </c>
      <c r="B103" s="4">
        <v>46054</v>
      </c>
      <c r="C103" s="1" t="s">
        <v>250</v>
      </c>
      <c r="D103" s="1" t="s">
        <v>29</v>
      </c>
      <c r="E103" s="1" t="s">
        <v>30</v>
      </c>
      <c r="F103" s="44" t="s">
        <v>251</v>
      </c>
      <c r="G103" s="45"/>
      <c r="H103" s="1" t="s">
        <v>32</v>
      </c>
      <c r="I103" s="1" t="s">
        <v>33</v>
      </c>
      <c r="J103" s="1" t="s">
        <v>34</v>
      </c>
      <c r="K103" s="1" t="s">
        <v>35</v>
      </c>
      <c r="L103" s="1" t="s">
        <v>36</v>
      </c>
      <c r="M103" s="5">
        <v>20</v>
      </c>
      <c r="N103" s="1" t="s">
        <v>36</v>
      </c>
      <c r="O103" s="5">
        <v>-20</v>
      </c>
      <c r="P103" s="5">
        <v>-20</v>
      </c>
      <c r="Q103" s="1"/>
      <c r="R103" s="5">
        <v>0</v>
      </c>
      <c r="S103" s="1" t="s">
        <v>36</v>
      </c>
      <c r="T103" s="5">
        <v>9869.73</v>
      </c>
      <c r="U103" s="1" t="s">
        <v>37</v>
      </c>
      <c r="V103" s="1"/>
      <c r="W103" s="1"/>
      <c r="X103" s="1"/>
      <c r="Y103" s="1"/>
      <c r="Z103" s="5">
        <v>5552</v>
      </c>
      <c r="AA103" s="1"/>
      <c r="AB103" s="1"/>
      <c r="AC103" s="2"/>
      <c r="AD103" s="2"/>
    </row>
    <row r="104" spans="1:30" ht="14.4" x14ac:dyDescent="0.3">
      <c r="A104" s="3">
        <v>46053</v>
      </c>
      <c r="B104" s="4">
        <v>46053</v>
      </c>
      <c r="C104" s="1" t="s">
        <v>252</v>
      </c>
      <c r="D104" s="1" t="s">
        <v>43</v>
      </c>
      <c r="E104" s="1" t="s">
        <v>30</v>
      </c>
      <c r="F104" s="1" t="s">
        <v>85</v>
      </c>
      <c r="G104" s="1" t="s">
        <v>253</v>
      </c>
      <c r="H104" s="44" t="s">
        <v>32</v>
      </c>
      <c r="I104" s="45"/>
      <c r="J104" s="1"/>
      <c r="K104" s="1"/>
      <c r="L104" s="1" t="s">
        <v>36</v>
      </c>
      <c r="M104" s="5">
        <v>1616.79</v>
      </c>
      <c r="N104" s="1" t="s">
        <v>36</v>
      </c>
      <c r="O104" s="5">
        <v>-1616.79</v>
      </c>
      <c r="P104" s="5">
        <v>-1616.99</v>
      </c>
      <c r="Q104" s="1"/>
      <c r="R104" s="5">
        <v>-0.2</v>
      </c>
      <c r="S104" s="1" t="s">
        <v>36</v>
      </c>
      <c r="T104" s="5">
        <v>9889.73</v>
      </c>
      <c r="U104" s="1" t="s">
        <v>37</v>
      </c>
      <c r="V104" s="5">
        <v>19870940</v>
      </c>
      <c r="W104" s="5">
        <v>90129</v>
      </c>
      <c r="X104" s="1"/>
      <c r="Y104" s="1"/>
      <c r="Z104" s="1"/>
      <c r="AA104" s="1"/>
      <c r="AB104" s="1"/>
      <c r="AC104" s="2"/>
      <c r="AD104" s="2"/>
    </row>
    <row r="105" spans="1:30" ht="14.4" x14ac:dyDescent="0.3">
      <c r="A105" s="3">
        <v>46053</v>
      </c>
      <c r="B105" s="4">
        <v>46053</v>
      </c>
      <c r="C105" s="1" t="s">
        <v>254</v>
      </c>
      <c r="D105" s="1" t="s">
        <v>52</v>
      </c>
      <c r="E105" s="1" t="s">
        <v>30</v>
      </c>
      <c r="F105" s="1" t="s">
        <v>135</v>
      </c>
      <c r="G105" s="44" t="s">
        <v>136</v>
      </c>
      <c r="H105" s="45"/>
      <c r="I105" s="1"/>
      <c r="J105" s="1"/>
      <c r="K105" s="1"/>
      <c r="L105" s="1" t="s">
        <v>36</v>
      </c>
      <c r="M105" s="5">
        <v>370</v>
      </c>
      <c r="N105" s="1" t="s">
        <v>36</v>
      </c>
      <c r="O105" s="5">
        <v>370</v>
      </c>
      <c r="P105" s="5">
        <v>370</v>
      </c>
      <c r="Q105" s="1"/>
      <c r="R105" s="5">
        <v>0</v>
      </c>
      <c r="S105" s="1" t="s">
        <v>36</v>
      </c>
      <c r="T105" s="5">
        <v>11506.72</v>
      </c>
      <c r="U105" s="1" t="s">
        <v>37</v>
      </c>
      <c r="V105" s="1"/>
      <c r="W105" s="1"/>
      <c r="X105" s="1"/>
      <c r="Y105" s="1"/>
      <c r="Z105" s="1"/>
      <c r="AA105" s="1"/>
      <c r="AB105" s="1"/>
      <c r="AC105" s="2"/>
      <c r="AD105" s="2"/>
    </row>
    <row r="106" spans="1:30" ht="14.4" x14ac:dyDescent="0.3">
      <c r="A106" s="3">
        <v>46053</v>
      </c>
      <c r="B106" s="4">
        <v>46053</v>
      </c>
      <c r="C106" s="1" t="s">
        <v>255</v>
      </c>
      <c r="D106" s="1" t="s">
        <v>52</v>
      </c>
      <c r="E106" s="1" t="s">
        <v>30</v>
      </c>
      <c r="F106" s="1" t="s">
        <v>59</v>
      </c>
      <c r="G106" s="44" t="s">
        <v>123</v>
      </c>
      <c r="H106" s="45"/>
      <c r="I106" s="1"/>
      <c r="J106" s="1"/>
      <c r="K106" s="1"/>
      <c r="L106" s="1" t="s">
        <v>36</v>
      </c>
      <c r="M106" s="5">
        <v>1024</v>
      </c>
      <c r="N106" s="1" t="s">
        <v>36</v>
      </c>
      <c r="O106" s="5">
        <v>1024</v>
      </c>
      <c r="P106" s="5">
        <v>1024</v>
      </c>
      <c r="Q106" s="1"/>
      <c r="R106" s="5">
        <v>0</v>
      </c>
      <c r="S106" s="1" t="s">
        <v>36</v>
      </c>
      <c r="T106" s="5">
        <v>11136.72</v>
      </c>
      <c r="U106" s="1" t="s">
        <v>37</v>
      </c>
      <c r="V106" s="1"/>
      <c r="W106" s="1"/>
      <c r="X106" s="1"/>
      <c r="Y106" s="1"/>
      <c r="Z106" s="1"/>
      <c r="AA106" s="1"/>
      <c r="AB106" s="1"/>
      <c r="AC106" s="2"/>
      <c r="AD106" s="2"/>
    </row>
    <row r="107" spans="1:30" ht="14.4" x14ac:dyDescent="0.3">
      <c r="A107" s="3">
        <v>46052</v>
      </c>
      <c r="B107" s="4">
        <v>46053</v>
      </c>
      <c r="C107" s="1" t="s">
        <v>256</v>
      </c>
      <c r="D107" s="1" t="s">
        <v>29</v>
      </c>
      <c r="E107" s="1" t="s">
        <v>30</v>
      </c>
      <c r="F107" s="44" t="s">
        <v>91</v>
      </c>
      <c r="G107" s="45"/>
      <c r="H107" s="1" t="s">
        <v>32</v>
      </c>
      <c r="I107" s="1" t="s">
        <v>40</v>
      </c>
      <c r="J107" s="1" t="s">
        <v>41</v>
      </c>
      <c r="K107" s="1" t="s">
        <v>35</v>
      </c>
      <c r="L107" s="1" t="s">
        <v>36</v>
      </c>
      <c r="M107" s="5">
        <v>8</v>
      </c>
      <c r="N107" s="1" t="s">
        <v>36</v>
      </c>
      <c r="O107" s="5">
        <v>-8</v>
      </c>
      <c r="P107" s="5">
        <v>-8</v>
      </c>
      <c r="Q107" s="1"/>
      <c r="R107" s="5">
        <v>0</v>
      </c>
      <c r="S107" s="1" t="s">
        <v>36</v>
      </c>
      <c r="T107" s="5">
        <v>10112.719999999999</v>
      </c>
      <c r="U107" s="1" t="s">
        <v>37</v>
      </c>
      <c r="V107" s="1"/>
      <c r="W107" s="1"/>
      <c r="X107" s="1"/>
      <c r="Y107" s="1"/>
      <c r="Z107" s="5">
        <v>7523</v>
      </c>
      <c r="AA107" s="1"/>
      <c r="AB107" s="1"/>
      <c r="AC107" s="2"/>
      <c r="AD107" s="2"/>
    </row>
    <row r="108" spans="1:30" ht="14.4" x14ac:dyDescent="0.3">
      <c r="A108" s="3">
        <v>46052</v>
      </c>
      <c r="B108" s="4">
        <v>46053</v>
      </c>
      <c r="C108" s="1" t="s">
        <v>257</v>
      </c>
      <c r="D108" s="1" t="s">
        <v>29</v>
      </c>
      <c r="E108" s="1" t="s">
        <v>30</v>
      </c>
      <c r="F108" s="44" t="s">
        <v>258</v>
      </c>
      <c r="G108" s="45"/>
      <c r="H108" s="1" t="s">
        <v>32</v>
      </c>
      <c r="I108" s="1" t="s">
        <v>40</v>
      </c>
      <c r="J108" s="1" t="s">
        <v>41</v>
      </c>
      <c r="K108" s="1" t="s">
        <v>35</v>
      </c>
      <c r="L108" s="1" t="s">
        <v>36</v>
      </c>
      <c r="M108" s="5">
        <v>9</v>
      </c>
      <c r="N108" s="1" t="s">
        <v>36</v>
      </c>
      <c r="O108" s="5">
        <v>-9</v>
      </c>
      <c r="P108" s="5">
        <v>-9</v>
      </c>
      <c r="Q108" s="1"/>
      <c r="R108" s="5">
        <v>0</v>
      </c>
      <c r="S108" s="1" t="s">
        <v>36</v>
      </c>
      <c r="T108" s="5">
        <v>10120.719999999999</v>
      </c>
      <c r="U108" s="1" t="s">
        <v>37</v>
      </c>
      <c r="V108" s="1"/>
      <c r="W108" s="1"/>
      <c r="X108" s="1"/>
      <c r="Y108" s="1"/>
      <c r="Z108" s="5">
        <v>4814</v>
      </c>
      <c r="AA108" s="1"/>
      <c r="AB108" s="1"/>
      <c r="AC108" s="2"/>
      <c r="AD108" s="2"/>
    </row>
    <row r="109" spans="1:30" ht="14.4" x14ac:dyDescent="0.3">
      <c r="A109" s="3">
        <v>46052</v>
      </c>
      <c r="B109" s="4">
        <v>46052</v>
      </c>
      <c r="C109" s="1" t="s">
        <v>259</v>
      </c>
      <c r="D109" s="1" t="s">
        <v>43</v>
      </c>
      <c r="E109" s="1" t="s">
        <v>30</v>
      </c>
      <c r="F109" s="1" t="s">
        <v>260</v>
      </c>
      <c r="G109" s="1" t="s">
        <v>261</v>
      </c>
      <c r="H109" s="44" t="s">
        <v>32</v>
      </c>
      <c r="I109" s="45"/>
      <c r="J109" s="1"/>
      <c r="K109" s="1"/>
      <c r="L109" s="1" t="s">
        <v>36</v>
      </c>
      <c r="M109" s="5">
        <v>1015</v>
      </c>
      <c r="N109" s="1" t="s">
        <v>36</v>
      </c>
      <c r="O109" s="5">
        <v>-1015</v>
      </c>
      <c r="P109" s="5">
        <v>-1015.2</v>
      </c>
      <c r="Q109" s="1"/>
      <c r="R109" s="5">
        <v>-0.2</v>
      </c>
      <c r="S109" s="1" t="s">
        <v>36</v>
      </c>
      <c r="T109" s="5">
        <v>10129.719999999999</v>
      </c>
      <c r="U109" s="1" t="s">
        <v>37</v>
      </c>
      <c r="V109" s="5">
        <v>3734706</v>
      </c>
      <c r="W109" s="5">
        <v>202596</v>
      </c>
      <c r="X109" s="1"/>
      <c r="Y109" s="1"/>
      <c r="Z109" s="1"/>
      <c r="AA109" s="1"/>
      <c r="AB109" s="1"/>
      <c r="AC109" s="2"/>
      <c r="AD109" s="2"/>
    </row>
    <row r="110" spans="1:30" ht="14.4" x14ac:dyDescent="0.3">
      <c r="A110" s="3">
        <v>46051</v>
      </c>
      <c r="B110" s="4">
        <v>46052</v>
      </c>
      <c r="C110" s="1" t="s">
        <v>262</v>
      </c>
      <c r="D110" s="1" t="s">
        <v>29</v>
      </c>
      <c r="E110" s="1" t="s">
        <v>30</v>
      </c>
      <c r="F110" s="44" t="s">
        <v>63</v>
      </c>
      <c r="G110" s="45"/>
      <c r="H110" s="1" t="s">
        <v>32</v>
      </c>
      <c r="I110" s="1" t="s">
        <v>40</v>
      </c>
      <c r="J110" s="1" t="s">
        <v>41</v>
      </c>
      <c r="K110" s="1" t="s">
        <v>35</v>
      </c>
      <c r="L110" s="1" t="s">
        <v>36</v>
      </c>
      <c r="M110" s="5">
        <v>7</v>
      </c>
      <c r="N110" s="1" t="s">
        <v>36</v>
      </c>
      <c r="O110" s="5">
        <v>-7</v>
      </c>
      <c r="P110" s="5">
        <v>-7</v>
      </c>
      <c r="Q110" s="1"/>
      <c r="R110" s="5">
        <v>0</v>
      </c>
      <c r="S110" s="1" t="s">
        <v>36</v>
      </c>
      <c r="T110" s="5">
        <v>11144.92</v>
      </c>
      <c r="U110" s="1" t="s">
        <v>37</v>
      </c>
      <c r="V110" s="1"/>
      <c r="W110" s="1"/>
      <c r="X110" s="1"/>
      <c r="Y110" s="1"/>
      <c r="Z110" s="5">
        <v>7523</v>
      </c>
      <c r="AA110" s="1"/>
      <c r="AB110" s="1"/>
      <c r="AC110" s="2"/>
      <c r="AD110" s="2"/>
    </row>
    <row r="111" spans="1:30" ht="14.4" x14ac:dyDescent="0.3">
      <c r="A111" s="3">
        <v>46051</v>
      </c>
      <c r="B111" s="4">
        <v>46051</v>
      </c>
      <c r="C111" s="1" t="s">
        <v>263</v>
      </c>
      <c r="D111" s="1" t="s">
        <v>52</v>
      </c>
      <c r="E111" s="1" t="s">
        <v>30</v>
      </c>
      <c r="F111" s="1" t="s">
        <v>264</v>
      </c>
      <c r="G111" s="1" t="s">
        <v>265</v>
      </c>
      <c r="H111" s="1"/>
      <c r="I111" s="1"/>
      <c r="J111" s="1"/>
      <c r="K111" s="1"/>
      <c r="L111" s="1" t="s">
        <v>36</v>
      </c>
      <c r="M111" s="5">
        <v>215</v>
      </c>
      <c r="N111" s="1" t="s">
        <v>36</v>
      </c>
      <c r="O111" s="5">
        <v>215</v>
      </c>
      <c r="P111" s="5">
        <v>215</v>
      </c>
      <c r="Q111" s="1"/>
      <c r="R111" s="5">
        <v>0</v>
      </c>
      <c r="S111" s="1" t="s">
        <v>36</v>
      </c>
      <c r="T111" s="5">
        <v>11151.92</v>
      </c>
      <c r="U111" s="1" t="s">
        <v>37</v>
      </c>
      <c r="V111" s="1"/>
      <c r="W111" s="1"/>
      <c r="X111" s="1"/>
      <c r="Y111" s="1"/>
      <c r="Z111" s="1"/>
      <c r="AA111" s="1"/>
      <c r="AB111" s="1"/>
      <c r="AC111" s="2"/>
      <c r="AD111" s="2"/>
    </row>
    <row r="112" spans="1:30" ht="14.4" x14ac:dyDescent="0.3">
      <c r="A112" s="3">
        <v>46051</v>
      </c>
      <c r="B112" s="4">
        <v>46051</v>
      </c>
      <c r="C112" s="1" t="s">
        <v>266</v>
      </c>
      <c r="D112" s="1" t="s">
        <v>43</v>
      </c>
      <c r="E112" s="1" t="s">
        <v>30</v>
      </c>
      <c r="F112" s="1" t="s">
        <v>267</v>
      </c>
      <c r="G112" s="5">
        <v>4931948</v>
      </c>
      <c r="H112" s="44" t="s">
        <v>32</v>
      </c>
      <c r="I112" s="45"/>
      <c r="J112" s="1"/>
      <c r="K112" s="1"/>
      <c r="L112" s="1" t="s">
        <v>36</v>
      </c>
      <c r="M112" s="5">
        <v>300</v>
      </c>
      <c r="N112" s="1" t="s">
        <v>36</v>
      </c>
      <c r="O112" s="5">
        <v>-300</v>
      </c>
      <c r="P112" s="5">
        <v>-300.2</v>
      </c>
      <c r="Q112" s="1"/>
      <c r="R112" s="5">
        <v>-0.2</v>
      </c>
      <c r="S112" s="1" t="s">
        <v>36</v>
      </c>
      <c r="T112" s="5">
        <v>10936.92</v>
      </c>
      <c r="U112" s="1" t="s">
        <v>37</v>
      </c>
      <c r="V112" s="5">
        <v>91394584</v>
      </c>
      <c r="W112" s="5">
        <v>400250</v>
      </c>
      <c r="X112" s="1"/>
      <c r="Y112" s="1"/>
      <c r="Z112" s="1"/>
      <c r="AA112" s="1"/>
      <c r="AB112" s="1"/>
      <c r="AC112" s="2"/>
      <c r="AD112" s="2"/>
    </row>
    <row r="113" spans="1:30" ht="14.4" x14ac:dyDescent="0.3">
      <c r="A113" s="3">
        <v>46051</v>
      </c>
      <c r="B113" s="4">
        <v>46051</v>
      </c>
      <c r="C113" s="1" t="s">
        <v>268</v>
      </c>
      <c r="D113" s="1" t="s">
        <v>43</v>
      </c>
      <c r="E113" s="1" t="s">
        <v>30</v>
      </c>
      <c r="F113" s="1" t="s">
        <v>269</v>
      </c>
      <c r="G113" s="44" t="s">
        <v>270</v>
      </c>
      <c r="H113" s="45"/>
      <c r="I113" s="45"/>
      <c r="J113" s="1"/>
      <c r="K113" s="1"/>
      <c r="L113" s="1" t="s">
        <v>36</v>
      </c>
      <c r="M113" s="5">
        <v>41.99</v>
      </c>
      <c r="N113" s="1" t="s">
        <v>36</v>
      </c>
      <c r="O113" s="5">
        <v>-41.99</v>
      </c>
      <c r="P113" s="5">
        <v>-41.99</v>
      </c>
      <c r="Q113" s="1"/>
      <c r="R113" s="5">
        <v>0</v>
      </c>
      <c r="S113" s="1" t="s">
        <v>36</v>
      </c>
      <c r="T113" s="5">
        <v>11237.12</v>
      </c>
      <c r="U113" s="1" t="s">
        <v>37</v>
      </c>
      <c r="V113" s="5">
        <v>63490742</v>
      </c>
      <c r="W113" s="5">
        <v>205534</v>
      </c>
      <c r="X113" s="1"/>
      <c r="Y113" s="1"/>
      <c r="Z113" s="1"/>
      <c r="AA113" s="1"/>
      <c r="AB113" s="1"/>
      <c r="AC113" s="2"/>
      <c r="AD113" s="2"/>
    </row>
    <row r="114" spans="1:30" ht="14.4" x14ac:dyDescent="0.3">
      <c r="A114" s="3">
        <v>46051</v>
      </c>
      <c r="B114" s="4">
        <v>46051</v>
      </c>
      <c r="C114" s="1" t="s">
        <v>271</v>
      </c>
      <c r="D114" s="1" t="s">
        <v>52</v>
      </c>
      <c r="E114" s="1" t="s">
        <v>30</v>
      </c>
      <c r="F114" s="1" t="s">
        <v>59</v>
      </c>
      <c r="G114" s="1" t="s">
        <v>272</v>
      </c>
      <c r="H114" s="1"/>
      <c r="I114" s="1"/>
      <c r="J114" s="1"/>
      <c r="K114" s="1"/>
      <c r="L114" s="1" t="s">
        <v>36</v>
      </c>
      <c r="M114" s="5">
        <v>566</v>
      </c>
      <c r="N114" s="1" t="s">
        <v>36</v>
      </c>
      <c r="O114" s="5">
        <v>566</v>
      </c>
      <c r="P114" s="5">
        <v>566</v>
      </c>
      <c r="Q114" s="1"/>
      <c r="R114" s="5">
        <v>0</v>
      </c>
      <c r="S114" s="1" t="s">
        <v>36</v>
      </c>
      <c r="T114" s="5">
        <v>11279.11</v>
      </c>
      <c r="U114" s="1" t="s">
        <v>37</v>
      </c>
      <c r="V114" s="1"/>
      <c r="W114" s="1"/>
      <c r="X114" s="1"/>
      <c r="Y114" s="1"/>
      <c r="Z114" s="1"/>
      <c r="AA114" s="1"/>
      <c r="AB114" s="1"/>
      <c r="AC114" s="2"/>
      <c r="AD114" s="2"/>
    </row>
    <row r="115" spans="1:30" ht="14.4" x14ac:dyDescent="0.3">
      <c r="A115" s="3">
        <v>46050</v>
      </c>
      <c r="B115" s="4">
        <v>46050</v>
      </c>
      <c r="C115" s="1" t="s">
        <v>273</v>
      </c>
      <c r="D115" s="1" t="s">
        <v>43</v>
      </c>
      <c r="E115" s="1" t="s">
        <v>30</v>
      </c>
      <c r="F115" s="1" t="s">
        <v>111</v>
      </c>
      <c r="G115" s="1" t="s">
        <v>274</v>
      </c>
      <c r="H115" s="44" t="s">
        <v>32</v>
      </c>
      <c r="I115" s="45"/>
      <c r="J115" s="1"/>
      <c r="K115" s="1"/>
      <c r="L115" s="1" t="s">
        <v>36</v>
      </c>
      <c r="M115" s="5">
        <v>262.85000000000002</v>
      </c>
      <c r="N115" s="1" t="s">
        <v>36</v>
      </c>
      <c r="O115" s="5">
        <v>-262.85000000000002</v>
      </c>
      <c r="P115" s="5">
        <v>-263.05</v>
      </c>
      <c r="Q115" s="1"/>
      <c r="R115" s="5">
        <v>-0.2</v>
      </c>
      <c r="S115" s="1" t="s">
        <v>36</v>
      </c>
      <c r="T115" s="5">
        <v>10713.11</v>
      </c>
      <c r="U115" s="1" t="s">
        <v>37</v>
      </c>
      <c r="V115" s="5">
        <v>53132022</v>
      </c>
      <c r="W115" s="5">
        <v>230580</v>
      </c>
      <c r="X115" s="1"/>
      <c r="Y115" s="1"/>
      <c r="Z115" s="1"/>
      <c r="AA115" s="1"/>
      <c r="AB115" s="1"/>
      <c r="AC115" s="2"/>
      <c r="AD115" s="2"/>
    </row>
    <row r="116" spans="1:30" ht="14.4" x14ac:dyDescent="0.3">
      <c r="A116" s="3">
        <v>46050</v>
      </c>
      <c r="B116" s="4">
        <v>46050</v>
      </c>
      <c r="C116" s="1" t="s">
        <v>275</v>
      </c>
      <c r="D116" s="1" t="s">
        <v>43</v>
      </c>
      <c r="E116" s="1" t="s">
        <v>30</v>
      </c>
      <c r="F116" s="1" t="s">
        <v>111</v>
      </c>
      <c r="G116" s="1" t="s">
        <v>276</v>
      </c>
      <c r="H116" s="44" t="s">
        <v>32</v>
      </c>
      <c r="I116" s="45"/>
      <c r="J116" s="1"/>
      <c r="K116" s="1"/>
      <c r="L116" s="1" t="s">
        <v>36</v>
      </c>
      <c r="M116" s="5">
        <v>21.6</v>
      </c>
      <c r="N116" s="1" t="s">
        <v>36</v>
      </c>
      <c r="O116" s="5">
        <v>-21.6</v>
      </c>
      <c r="P116" s="5">
        <v>-21.8</v>
      </c>
      <c r="Q116" s="1"/>
      <c r="R116" s="5">
        <v>-0.2</v>
      </c>
      <c r="S116" s="1" t="s">
        <v>36</v>
      </c>
      <c r="T116" s="5">
        <v>10976.16</v>
      </c>
      <c r="U116" s="1" t="s">
        <v>37</v>
      </c>
      <c r="V116" s="5">
        <v>53132022</v>
      </c>
      <c r="W116" s="5">
        <v>230580</v>
      </c>
      <c r="X116" s="1"/>
      <c r="Y116" s="1"/>
      <c r="Z116" s="1"/>
      <c r="AA116" s="1"/>
      <c r="AB116" s="1"/>
      <c r="AC116" s="2"/>
      <c r="AD116" s="2"/>
    </row>
    <row r="117" spans="1:30" ht="14.4" x14ac:dyDescent="0.3">
      <c r="A117" s="3">
        <v>46050</v>
      </c>
      <c r="B117" s="4">
        <v>46050</v>
      </c>
      <c r="C117" s="1" t="s">
        <v>277</v>
      </c>
      <c r="D117" s="1" t="s">
        <v>52</v>
      </c>
      <c r="E117" s="1" t="s">
        <v>30</v>
      </c>
      <c r="F117" s="1" t="s">
        <v>53</v>
      </c>
      <c r="G117" s="44" t="s">
        <v>278</v>
      </c>
      <c r="H117" s="45"/>
      <c r="I117" s="1"/>
      <c r="J117" s="1"/>
      <c r="K117" s="1"/>
      <c r="L117" s="1" t="s">
        <v>36</v>
      </c>
      <c r="M117" s="5">
        <v>150</v>
      </c>
      <c r="N117" s="1" t="s">
        <v>36</v>
      </c>
      <c r="O117" s="5">
        <v>150</v>
      </c>
      <c r="P117" s="5">
        <v>150</v>
      </c>
      <c r="Q117" s="1"/>
      <c r="R117" s="5">
        <v>0</v>
      </c>
      <c r="S117" s="1" t="s">
        <v>36</v>
      </c>
      <c r="T117" s="5">
        <v>10997.96</v>
      </c>
      <c r="U117" s="1" t="s">
        <v>37</v>
      </c>
      <c r="V117" s="1"/>
      <c r="W117" s="1"/>
      <c r="X117" s="1"/>
      <c r="Y117" s="1"/>
      <c r="Z117" s="1"/>
      <c r="AA117" s="1"/>
      <c r="AB117" s="1"/>
      <c r="AC117" s="2"/>
      <c r="AD117" s="2"/>
    </row>
    <row r="118" spans="1:30" ht="14.4" x14ac:dyDescent="0.3">
      <c r="A118" s="3">
        <v>46050</v>
      </c>
      <c r="B118" s="4">
        <v>46050</v>
      </c>
      <c r="C118" s="1" t="s">
        <v>279</v>
      </c>
      <c r="D118" s="1" t="s">
        <v>52</v>
      </c>
      <c r="E118" s="1" t="s">
        <v>30</v>
      </c>
      <c r="F118" s="1" t="s">
        <v>280</v>
      </c>
      <c r="G118" s="44" t="s">
        <v>281</v>
      </c>
      <c r="H118" s="45"/>
      <c r="I118" s="1"/>
      <c r="J118" s="1"/>
      <c r="K118" s="1"/>
      <c r="L118" s="1" t="s">
        <v>36</v>
      </c>
      <c r="M118" s="5">
        <v>526</v>
      </c>
      <c r="N118" s="1" t="s">
        <v>36</v>
      </c>
      <c r="O118" s="5">
        <v>526</v>
      </c>
      <c r="P118" s="5">
        <v>526</v>
      </c>
      <c r="Q118" s="1"/>
      <c r="R118" s="5">
        <v>0</v>
      </c>
      <c r="S118" s="1" t="s">
        <v>36</v>
      </c>
      <c r="T118" s="5">
        <v>10847.96</v>
      </c>
      <c r="U118" s="1" t="s">
        <v>37</v>
      </c>
      <c r="V118" s="1"/>
      <c r="W118" s="1"/>
      <c r="X118" s="1"/>
      <c r="Y118" s="1"/>
      <c r="Z118" s="1"/>
      <c r="AA118" s="1"/>
      <c r="AB118" s="1"/>
      <c r="AC118" s="2"/>
      <c r="AD118" s="2"/>
    </row>
    <row r="119" spans="1:30" ht="14.4" x14ac:dyDescent="0.3">
      <c r="A119" s="3">
        <v>46049</v>
      </c>
      <c r="B119" s="4">
        <v>46049</v>
      </c>
      <c r="C119" s="1" t="s">
        <v>282</v>
      </c>
      <c r="D119" s="1" t="s">
        <v>43</v>
      </c>
      <c r="E119" s="1" t="s">
        <v>30</v>
      </c>
      <c r="F119" s="1" t="s">
        <v>283</v>
      </c>
      <c r="G119" s="44" t="s">
        <v>284</v>
      </c>
      <c r="H119" s="45"/>
      <c r="I119" s="1"/>
      <c r="J119" s="1"/>
      <c r="K119" s="1"/>
      <c r="L119" s="1" t="s">
        <v>36</v>
      </c>
      <c r="M119" s="5">
        <v>21.31</v>
      </c>
      <c r="N119" s="1" t="s">
        <v>36</v>
      </c>
      <c r="O119" s="5">
        <v>-21.31</v>
      </c>
      <c r="P119" s="5">
        <v>-21.31</v>
      </c>
      <c r="Q119" s="1"/>
      <c r="R119" s="5">
        <v>0</v>
      </c>
      <c r="S119" s="1" t="s">
        <v>36</v>
      </c>
      <c r="T119" s="5">
        <v>10321.959999999999</v>
      </c>
      <c r="U119" s="1" t="s">
        <v>37</v>
      </c>
      <c r="V119" s="5">
        <v>63831248</v>
      </c>
      <c r="W119" s="5">
        <v>200000</v>
      </c>
      <c r="X119" s="1"/>
      <c r="Y119" s="1"/>
      <c r="Z119" s="1"/>
      <c r="AA119" s="1"/>
      <c r="AB119" s="1"/>
      <c r="AC119" s="2"/>
      <c r="AD119" s="2"/>
    </row>
    <row r="120" spans="1:30" ht="14.4" x14ac:dyDescent="0.3">
      <c r="A120" s="3">
        <v>46048</v>
      </c>
      <c r="B120" s="4">
        <v>46048</v>
      </c>
      <c r="C120" s="1" t="s">
        <v>285</v>
      </c>
      <c r="D120" s="1" t="s">
        <v>52</v>
      </c>
      <c r="E120" s="1" t="s">
        <v>30</v>
      </c>
      <c r="F120" s="1" t="s">
        <v>132</v>
      </c>
      <c r="G120" s="44" t="s">
        <v>133</v>
      </c>
      <c r="H120" s="45"/>
      <c r="I120" s="1"/>
      <c r="J120" s="1"/>
      <c r="K120" s="1"/>
      <c r="L120" s="1" t="s">
        <v>36</v>
      </c>
      <c r="M120" s="5">
        <v>370</v>
      </c>
      <c r="N120" s="1" t="s">
        <v>36</v>
      </c>
      <c r="O120" s="5">
        <v>370</v>
      </c>
      <c r="P120" s="5">
        <v>370</v>
      </c>
      <c r="Q120" s="1"/>
      <c r="R120" s="5">
        <v>0</v>
      </c>
      <c r="S120" s="1" t="s">
        <v>36</v>
      </c>
      <c r="T120" s="5">
        <v>10343.27</v>
      </c>
      <c r="U120" s="1" t="s">
        <v>37</v>
      </c>
      <c r="V120" s="1"/>
      <c r="W120" s="1"/>
      <c r="X120" s="1"/>
      <c r="Y120" s="1"/>
      <c r="Z120" s="1"/>
      <c r="AA120" s="1"/>
      <c r="AB120" s="1"/>
      <c r="AC120" s="2"/>
      <c r="AD120" s="2"/>
    </row>
    <row r="121" spans="1:30" ht="14.4" x14ac:dyDescent="0.3">
      <c r="A121" s="3">
        <v>46048</v>
      </c>
      <c r="B121" s="4">
        <v>46048</v>
      </c>
      <c r="C121" s="1" t="s">
        <v>286</v>
      </c>
      <c r="D121" s="1" t="s">
        <v>43</v>
      </c>
      <c r="E121" s="1" t="s">
        <v>30</v>
      </c>
      <c r="F121" s="1" t="s">
        <v>287</v>
      </c>
      <c r="G121" s="1" t="s">
        <v>165</v>
      </c>
      <c r="H121" s="44" t="s">
        <v>32</v>
      </c>
      <c r="I121" s="45"/>
      <c r="J121" s="1"/>
      <c r="K121" s="1"/>
      <c r="L121" s="1" t="s">
        <v>36</v>
      </c>
      <c r="M121" s="5">
        <v>900</v>
      </c>
      <c r="N121" s="1" t="s">
        <v>36</v>
      </c>
      <c r="O121" s="5">
        <v>-900</v>
      </c>
      <c r="P121" s="5">
        <v>-900.2</v>
      </c>
      <c r="Q121" s="1"/>
      <c r="R121" s="5">
        <v>-0.2</v>
      </c>
      <c r="S121" s="1" t="s">
        <v>36</v>
      </c>
      <c r="T121" s="5">
        <v>9973.27</v>
      </c>
      <c r="U121" s="1" t="s">
        <v>37</v>
      </c>
      <c r="V121" s="5">
        <v>75500524</v>
      </c>
      <c r="W121" s="5">
        <v>40333</v>
      </c>
      <c r="X121" s="1"/>
      <c r="Y121" s="1"/>
      <c r="Z121" s="1"/>
      <c r="AA121" s="1"/>
      <c r="AB121" s="1"/>
      <c r="AC121" s="2"/>
      <c r="AD121" s="2"/>
    </row>
    <row r="122" spans="1:30" ht="14.4" x14ac:dyDescent="0.3">
      <c r="A122" s="3">
        <v>46048</v>
      </c>
      <c r="B122" s="4">
        <v>46048</v>
      </c>
      <c r="C122" s="1" t="s">
        <v>288</v>
      </c>
      <c r="D122" s="1" t="s">
        <v>43</v>
      </c>
      <c r="E122" s="1" t="s">
        <v>30</v>
      </c>
      <c r="F122" s="1" t="s">
        <v>289</v>
      </c>
      <c r="G122" s="44" t="s">
        <v>290</v>
      </c>
      <c r="H122" s="45"/>
      <c r="I122" s="1"/>
      <c r="J122" s="1"/>
      <c r="K122" s="1"/>
      <c r="L122" s="1" t="s">
        <v>36</v>
      </c>
      <c r="M122" s="5">
        <v>1841.42</v>
      </c>
      <c r="N122" s="1" t="s">
        <v>36</v>
      </c>
      <c r="O122" s="5">
        <v>-1841.42</v>
      </c>
      <c r="P122" s="5">
        <v>-1841.42</v>
      </c>
      <c r="Q122" s="1"/>
      <c r="R122" s="5">
        <v>0</v>
      </c>
      <c r="S122" s="1" t="s">
        <v>36</v>
      </c>
      <c r="T122" s="5">
        <v>10873.47</v>
      </c>
      <c r="U122" s="1" t="s">
        <v>37</v>
      </c>
      <c r="V122" s="5">
        <v>8525714</v>
      </c>
      <c r="W122" s="5">
        <v>10085</v>
      </c>
      <c r="X122" s="1"/>
      <c r="Y122" s="1"/>
      <c r="Z122" s="1"/>
      <c r="AA122" s="1"/>
      <c r="AB122" s="1"/>
      <c r="AC122" s="2"/>
      <c r="AD122" s="2"/>
    </row>
    <row r="123" spans="1:30" ht="14.4" x14ac:dyDescent="0.3">
      <c r="A123" s="3">
        <v>46047</v>
      </c>
      <c r="B123" s="4">
        <v>46048</v>
      </c>
      <c r="C123" s="1" t="s">
        <v>291</v>
      </c>
      <c r="D123" s="1" t="s">
        <v>29</v>
      </c>
      <c r="E123" s="1" t="s">
        <v>30</v>
      </c>
      <c r="F123" s="44" t="s">
        <v>292</v>
      </c>
      <c r="G123" s="45"/>
      <c r="H123" s="1" t="s">
        <v>32</v>
      </c>
      <c r="I123" s="1" t="s">
        <v>33</v>
      </c>
      <c r="J123" s="1" t="s">
        <v>34</v>
      </c>
      <c r="K123" s="1" t="s">
        <v>35</v>
      </c>
      <c r="L123" s="1" t="s">
        <v>36</v>
      </c>
      <c r="M123" s="5">
        <v>60</v>
      </c>
      <c r="N123" s="1" t="s">
        <v>36</v>
      </c>
      <c r="O123" s="5">
        <v>-60</v>
      </c>
      <c r="P123" s="5">
        <v>-60</v>
      </c>
      <c r="Q123" s="1"/>
      <c r="R123" s="5">
        <v>0</v>
      </c>
      <c r="S123" s="1" t="s">
        <v>36</v>
      </c>
      <c r="T123" s="5">
        <v>12714.89</v>
      </c>
      <c r="U123" s="1" t="s">
        <v>37</v>
      </c>
      <c r="V123" s="1"/>
      <c r="W123" s="1"/>
      <c r="X123" s="1"/>
      <c r="Y123" s="1"/>
      <c r="Z123" s="5">
        <v>7523</v>
      </c>
      <c r="AA123" s="1"/>
      <c r="AB123" s="1"/>
      <c r="AC123" s="2"/>
      <c r="AD123" s="2"/>
    </row>
    <row r="124" spans="1:30" ht="14.4" x14ac:dyDescent="0.3">
      <c r="A124" s="3">
        <v>46047</v>
      </c>
      <c r="B124" s="4">
        <v>46048</v>
      </c>
      <c r="C124" s="1" t="s">
        <v>293</v>
      </c>
      <c r="D124" s="1" t="s">
        <v>29</v>
      </c>
      <c r="E124" s="1" t="s">
        <v>30</v>
      </c>
      <c r="F124" s="44" t="s">
        <v>91</v>
      </c>
      <c r="G124" s="45"/>
      <c r="H124" s="1" t="s">
        <v>32</v>
      </c>
      <c r="I124" s="1" t="s">
        <v>40</v>
      </c>
      <c r="J124" s="1" t="s">
        <v>41</v>
      </c>
      <c r="K124" s="1" t="s">
        <v>35</v>
      </c>
      <c r="L124" s="1" t="s">
        <v>36</v>
      </c>
      <c r="M124" s="5">
        <v>8</v>
      </c>
      <c r="N124" s="1" t="s">
        <v>36</v>
      </c>
      <c r="O124" s="5">
        <v>-8</v>
      </c>
      <c r="P124" s="5">
        <v>-8</v>
      </c>
      <c r="Q124" s="1"/>
      <c r="R124" s="5">
        <v>0</v>
      </c>
      <c r="S124" s="1" t="s">
        <v>36</v>
      </c>
      <c r="T124" s="5">
        <v>12774.89</v>
      </c>
      <c r="U124" s="1" t="s">
        <v>37</v>
      </c>
      <c r="V124" s="1"/>
      <c r="W124" s="1"/>
      <c r="X124" s="1"/>
      <c r="Y124" s="1"/>
      <c r="Z124" s="5">
        <v>7523</v>
      </c>
      <c r="AA124" s="1"/>
      <c r="AB124" s="1"/>
      <c r="AC124" s="2"/>
      <c r="AD124" s="2"/>
    </row>
    <row r="125" spans="1:30" ht="14.4" x14ac:dyDescent="0.3">
      <c r="A125" s="3">
        <v>46046</v>
      </c>
      <c r="B125" s="4">
        <v>46047</v>
      </c>
      <c r="C125" s="1" t="s">
        <v>294</v>
      </c>
      <c r="D125" s="1" t="s">
        <v>29</v>
      </c>
      <c r="E125" s="1" t="s">
        <v>30</v>
      </c>
      <c r="F125" s="44" t="s">
        <v>295</v>
      </c>
      <c r="G125" s="45"/>
      <c r="H125" s="1" t="s">
        <v>32</v>
      </c>
      <c r="I125" s="1" t="s">
        <v>40</v>
      </c>
      <c r="J125" s="1" t="s">
        <v>41</v>
      </c>
      <c r="K125" s="1" t="s">
        <v>35</v>
      </c>
      <c r="L125" s="1" t="s">
        <v>36</v>
      </c>
      <c r="M125" s="5">
        <v>15</v>
      </c>
      <c r="N125" s="1" t="s">
        <v>36</v>
      </c>
      <c r="O125" s="5">
        <v>-15</v>
      </c>
      <c r="P125" s="5">
        <v>-15</v>
      </c>
      <c r="Q125" s="1"/>
      <c r="R125" s="5">
        <v>0</v>
      </c>
      <c r="S125" s="1" t="s">
        <v>36</v>
      </c>
      <c r="T125" s="5">
        <v>12782.89</v>
      </c>
      <c r="U125" s="1" t="s">
        <v>37</v>
      </c>
      <c r="V125" s="1"/>
      <c r="W125" s="1"/>
      <c r="X125" s="1"/>
      <c r="Y125" s="1"/>
      <c r="Z125" s="5">
        <v>4784</v>
      </c>
      <c r="AA125" s="1"/>
      <c r="AB125" s="1"/>
      <c r="AC125" s="2"/>
      <c r="AD125" s="2"/>
    </row>
    <row r="126" spans="1:30" ht="14.4" x14ac:dyDescent="0.3">
      <c r="A126" s="3">
        <v>46046</v>
      </c>
      <c r="B126" s="4">
        <v>46047</v>
      </c>
      <c r="C126" s="1" t="s">
        <v>296</v>
      </c>
      <c r="D126" s="1" t="s">
        <v>29</v>
      </c>
      <c r="E126" s="1" t="s">
        <v>30</v>
      </c>
      <c r="F126" s="44" t="s">
        <v>63</v>
      </c>
      <c r="G126" s="45"/>
      <c r="H126" s="1" t="s">
        <v>32</v>
      </c>
      <c r="I126" s="1" t="s">
        <v>40</v>
      </c>
      <c r="J126" s="1" t="s">
        <v>41</v>
      </c>
      <c r="K126" s="1" t="s">
        <v>35</v>
      </c>
      <c r="L126" s="1" t="s">
        <v>36</v>
      </c>
      <c r="M126" s="5">
        <v>7</v>
      </c>
      <c r="N126" s="1" t="s">
        <v>36</v>
      </c>
      <c r="O126" s="5">
        <v>-7</v>
      </c>
      <c r="P126" s="5">
        <v>-7</v>
      </c>
      <c r="Q126" s="1"/>
      <c r="R126" s="5">
        <v>0</v>
      </c>
      <c r="S126" s="1" t="s">
        <v>36</v>
      </c>
      <c r="T126" s="5">
        <v>12797.89</v>
      </c>
      <c r="U126" s="1" t="s">
        <v>37</v>
      </c>
      <c r="V126" s="1"/>
      <c r="W126" s="1"/>
      <c r="X126" s="1"/>
      <c r="Y126" s="1"/>
      <c r="Z126" s="5">
        <v>7523</v>
      </c>
      <c r="AA126" s="1"/>
      <c r="AB126" s="1"/>
      <c r="AC126" s="2"/>
      <c r="AD126" s="2"/>
    </row>
    <row r="127" spans="1:30" ht="14.4" x14ac:dyDescent="0.3">
      <c r="A127" s="3">
        <v>46045</v>
      </c>
      <c r="B127" s="4">
        <v>46046</v>
      </c>
      <c r="C127" s="1" t="s">
        <v>297</v>
      </c>
      <c r="D127" s="1" t="s">
        <v>29</v>
      </c>
      <c r="E127" s="1" t="s">
        <v>30</v>
      </c>
      <c r="F127" s="44" t="s">
        <v>298</v>
      </c>
      <c r="G127" s="45"/>
      <c r="H127" s="1" t="s">
        <v>32</v>
      </c>
      <c r="I127" s="1" t="s">
        <v>40</v>
      </c>
      <c r="J127" s="1" t="s">
        <v>41</v>
      </c>
      <c r="K127" s="1" t="s">
        <v>35</v>
      </c>
      <c r="L127" s="1" t="s">
        <v>36</v>
      </c>
      <c r="M127" s="5">
        <v>3.69</v>
      </c>
      <c r="N127" s="1" t="s">
        <v>36</v>
      </c>
      <c r="O127" s="5">
        <v>-3.69</v>
      </c>
      <c r="P127" s="5">
        <v>-3.69</v>
      </c>
      <c r="Q127" s="1"/>
      <c r="R127" s="5">
        <v>0</v>
      </c>
      <c r="S127" s="1" t="s">
        <v>36</v>
      </c>
      <c r="T127" s="5">
        <v>12804.89</v>
      </c>
      <c r="U127" s="1" t="s">
        <v>37</v>
      </c>
      <c r="V127" s="1"/>
      <c r="W127" s="1"/>
      <c r="X127" s="1"/>
      <c r="Y127" s="1"/>
      <c r="Z127" s="5">
        <v>7523</v>
      </c>
      <c r="AA127" s="1"/>
      <c r="AB127" s="1"/>
      <c r="AC127" s="2"/>
      <c r="AD127" s="2"/>
    </row>
    <row r="128" spans="1:30" ht="14.4" x14ac:dyDescent="0.3">
      <c r="A128" s="3">
        <v>46045</v>
      </c>
      <c r="B128" s="4">
        <v>46046</v>
      </c>
      <c r="C128" s="1" t="s">
        <v>299</v>
      </c>
      <c r="D128" s="1" t="s">
        <v>29</v>
      </c>
      <c r="E128" s="1" t="s">
        <v>30</v>
      </c>
      <c r="F128" s="44" t="s">
        <v>300</v>
      </c>
      <c r="G128" s="45"/>
      <c r="H128" s="1" t="s">
        <v>32</v>
      </c>
      <c r="I128" s="1" t="s">
        <v>40</v>
      </c>
      <c r="J128" s="1" t="s">
        <v>41</v>
      </c>
      <c r="K128" s="1" t="s">
        <v>35</v>
      </c>
      <c r="L128" s="1" t="s">
        <v>36</v>
      </c>
      <c r="M128" s="5">
        <v>9.9499999999999993</v>
      </c>
      <c r="N128" s="1" t="s">
        <v>36</v>
      </c>
      <c r="O128" s="5">
        <v>-9.9499999999999993</v>
      </c>
      <c r="P128" s="5">
        <v>-9.9499999999999993</v>
      </c>
      <c r="Q128" s="1"/>
      <c r="R128" s="5">
        <v>0</v>
      </c>
      <c r="S128" s="1" t="s">
        <v>36</v>
      </c>
      <c r="T128" s="5">
        <v>12808.58</v>
      </c>
      <c r="U128" s="1" t="s">
        <v>37</v>
      </c>
      <c r="V128" s="1"/>
      <c r="W128" s="1"/>
      <c r="X128" s="1"/>
      <c r="Y128" s="1"/>
      <c r="Z128" s="5">
        <v>7542</v>
      </c>
      <c r="AA128" s="1"/>
      <c r="AB128" s="1"/>
      <c r="AC128" s="2"/>
      <c r="AD128" s="2"/>
    </row>
    <row r="129" spans="1:30" ht="14.4" x14ac:dyDescent="0.3">
      <c r="A129" s="3">
        <v>46045</v>
      </c>
      <c r="B129" s="4">
        <v>46045</v>
      </c>
      <c r="C129" s="1" t="s">
        <v>301</v>
      </c>
      <c r="D129" s="1" t="s">
        <v>52</v>
      </c>
      <c r="E129" s="1" t="s">
        <v>30</v>
      </c>
      <c r="F129" s="1" t="s">
        <v>302</v>
      </c>
      <c r="G129" s="44" t="s">
        <v>303</v>
      </c>
      <c r="H129" s="45"/>
      <c r="I129" s="1"/>
      <c r="J129" s="1"/>
      <c r="K129" s="1"/>
      <c r="L129" s="1" t="s">
        <v>36</v>
      </c>
      <c r="M129" s="5">
        <v>770</v>
      </c>
      <c r="N129" s="1" t="s">
        <v>36</v>
      </c>
      <c r="O129" s="5">
        <v>770</v>
      </c>
      <c r="P129" s="5">
        <v>770</v>
      </c>
      <c r="Q129" s="1"/>
      <c r="R129" s="5">
        <v>0</v>
      </c>
      <c r="S129" s="1" t="s">
        <v>36</v>
      </c>
      <c r="T129" s="5">
        <v>12818.53</v>
      </c>
      <c r="U129" s="1" t="s">
        <v>37</v>
      </c>
      <c r="V129" s="1"/>
      <c r="W129" s="1"/>
      <c r="X129" s="1"/>
      <c r="Y129" s="1"/>
      <c r="Z129" s="1"/>
      <c r="AA129" s="1"/>
      <c r="AB129" s="1"/>
      <c r="AC129" s="2"/>
      <c r="AD129" s="2"/>
    </row>
    <row r="130" spans="1:30" ht="14.4" x14ac:dyDescent="0.3">
      <c r="A130" s="3">
        <v>46044</v>
      </c>
      <c r="B130" s="4">
        <v>46045</v>
      </c>
      <c r="C130" s="1" t="s">
        <v>304</v>
      </c>
      <c r="D130" s="1" t="s">
        <v>29</v>
      </c>
      <c r="E130" s="1" t="s">
        <v>30</v>
      </c>
      <c r="F130" s="44" t="s">
        <v>204</v>
      </c>
      <c r="G130" s="45"/>
      <c r="H130" s="1" t="s">
        <v>32</v>
      </c>
      <c r="I130" s="1" t="s">
        <v>40</v>
      </c>
      <c r="J130" s="1" t="s">
        <v>41</v>
      </c>
      <c r="K130" s="1" t="s">
        <v>35</v>
      </c>
      <c r="L130" s="1" t="s">
        <v>36</v>
      </c>
      <c r="M130" s="5">
        <v>10</v>
      </c>
      <c r="N130" s="1" t="s">
        <v>36</v>
      </c>
      <c r="O130" s="5">
        <v>-10</v>
      </c>
      <c r="P130" s="5">
        <v>-10</v>
      </c>
      <c r="Q130" s="1"/>
      <c r="R130" s="5">
        <v>0</v>
      </c>
      <c r="S130" s="1" t="s">
        <v>36</v>
      </c>
      <c r="T130" s="5">
        <v>12048.53</v>
      </c>
      <c r="U130" s="1" t="s">
        <v>37</v>
      </c>
      <c r="V130" s="1"/>
      <c r="W130" s="1"/>
      <c r="X130" s="1"/>
      <c r="Y130" s="1"/>
      <c r="Z130" s="5">
        <v>7523</v>
      </c>
      <c r="AA130" s="1"/>
      <c r="AB130" s="1"/>
      <c r="AC130" s="2"/>
      <c r="AD130" s="2"/>
    </row>
    <row r="131" spans="1:30" ht="14.4" x14ac:dyDescent="0.3">
      <c r="A131" s="3">
        <v>46044</v>
      </c>
      <c r="B131" s="4">
        <v>46045</v>
      </c>
      <c r="C131" s="1" t="s">
        <v>305</v>
      </c>
      <c r="D131" s="1" t="s">
        <v>29</v>
      </c>
      <c r="E131" s="1" t="s">
        <v>30</v>
      </c>
      <c r="F131" s="44" t="s">
        <v>306</v>
      </c>
      <c r="G131" s="45"/>
      <c r="H131" s="1" t="s">
        <v>32</v>
      </c>
      <c r="I131" s="1" t="s">
        <v>40</v>
      </c>
      <c r="J131" s="1" t="s">
        <v>41</v>
      </c>
      <c r="K131" s="1" t="s">
        <v>35</v>
      </c>
      <c r="L131" s="1" t="s">
        <v>36</v>
      </c>
      <c r="M131" s="5">
        <v>36.229999999999997</v>
      </c>
      <c r="N131" s="1" t="s">
        <v>36</v>
      </c>
      <c r="O131" s="5">
        <v>-36.229999999999997</v>
      </c>
      <c r="P131" s="5">
        <v>-36.229999999999997</v>
      </c>
      <c r="Q131" s="1"/>
      <c r="R131" s="5">
        <v>0</v>
      </c>
      <c r="S131" s="1" t="s">
        <v>36</v>
      </c>
      <c r="T131" s="5">
        <v>12058.53</v>
      </c>
      <c r="U131" s="1" t="s">
        <v>37</v>
      </c>
      <c r="V131" s="1"/>
      <c r="W131" s="1"/>
      <c r="X131" s="1"/>
      <c r="Y131" s="1"/>
      <c r="Z131" s="5">
        <v>5552</v>
      </c>
      <c r="AA131" s="1"/>
      <c r="AB131" s="1"/>
      <c r="AC131" s="2"/>
      <c r="AD131" s="2"/>
    </row>
    <row r="132" spans="1:30" ht="14.4" x14ac:dyDescent="0.3">
      <c r="A132" s="3">
        <v>46044</v>
      </c>
      <c r="B132" s="4">
        <v>46044</v>
      </c>
      <c r="C132" s="1" t="s">
        <v>307</v>
      </c>
      <c r="D132" s="1" t="s">
        <v>52</v>
      </c>
      <c r="E132" s="1" t="s">
        <v>30</v>
      </c>
      <c r="F132" s="1" t="s">
        <v>308</v>
      </c>
      <c r="G132" s="1" t="s">
        <v>309</v>
      </c>
      <c r="H132" s="1"/>
      <c r="I132" s="1"/>
      <c r="J132" s="1"/>
      <c r="K132" s="1"/>
      <c r="L132" s="1" t="s">
        <v>36</v>
      </c>
      <c r="M132" s="5">
        <v>529</v>
      </c>
      <c r="N132" s="1" t="s">
        <v>36</v>
      </c>
      <c r="O132" s="5">
        <v>529</v>
      </c>
      <c r="P132" s="5">
        <v>529</v>
      </c>
      <c r="Q132" s="1"/>
      <c r="R132" s="5">
        <v>0</v>
      </c>
      <c r="S132" s="1" t="s">
        <v>36</v>
      </c>
      <c r="T132" s="5">
        <v>12094.76</v>
      </c>
      <c r="U132" s="1" t="s">
        <v>37</v>
      </c>
      <c r="V132" s="1"/>
      <c r="W132" s="1"/>
      <c r="X132" s="1"/>
      <c r="Y132" s="1"/>
      <c r="Z132" s="1"/>
      <c r="AA132" s="1"/>
      <c r="AB132" s="1"/>
      <c r="AC132" s="2"/>
      <c r="AD132" s="2"/>
    </row>
    <row r="133" spans="1:30" ht="14.4" x14ac:dyDescent="0.3">
      <c r="A133" s="3">
        <v>46044</v>
      </c>
      <c r="B133" s="4">
        <v>46044</v>
      </c>
      <c r="C133" s="1" t="s">
        <v>310</v>
      </c>
      <c r="D133" s="1" t="s">
        <v>52</v>
      </c>
      <c r="E133" s="1" t="s">
        <v>30</v>
      </c>
      <c r="F133" s="1" t="s">
        <v>308</v>
      </c>
      <c r="G133" s="1" t="s">
        <v>309</v>
      </c>
      <c r="H133" s="1"/>
      <c r="I133" s="1"/>
      <c r="J133" s="1"/>
      <c r="K133" s="1"/>
      <c r="L133" s="1" t="s">
        <v>36</v>
      </c>
      <c r="M133" s="5">
        <v>768</v>
      </c>
      <c r="N133" s="1" t="s">
        <v>36</v>
      </c>
      <c r="O133" s="5">
        <v>768</v>
      </c>
      <c r="P133" s="5">
        <v>768</v>
      </c>
      <c r="Q133" s="1"/>
      <c r="R133" s="5">
        <v>0</v>
      </c>
      <c r="S133" s="1" t="s">
        <v>36</v>
      </c>
      <c r="T133" s="5">
        <v>11565.76</v>
      </c>
      <c r="U133" s="1" t="s">
        <v>37</v>
      </c>
      <c r="V133" s="1"/>
      <c r="W133" s="1"/>
      <c r="X133" s="1"/>
      <c r="Y133" s="1"/>
      <c r="Z133" s="1"/>
      <c r="AA133" s="1"/>
      <c r="AB133" s="1"/>
      <c r="AC133" s="2"/>
      <c r="AD133" s="2"/>
    </row>
    <row r="134" spans="1:30" ht="14.4" x14ac:dyDescent="0.3">
      <c r="A134" s="3">
        <v>46044</v>
      </c>
      <c r="B134" s="4">
        <v>46044</v>
      </c>
      <c r="C134" s="1" t="s">
        <v>311</v>
      </c>
      <c r="D134" s="1" t="s">
        <v>52</v>
      </c>
      <c r="E134" s="1" t="s">
        <v>30</v>
      </c>
      <c r="F134" s="1" t="s">
        <v>59</v>
      </c>
      <c r="G134" s="44" t="s">
        <v>123</v>
      </c>
      <c r="H134" s="45"/>
      <c r="I134" s="1"/>
      <c r="J134" s="1"/>
      <c r="K134" s="1"/>
      <c r="L134" s="1" t="s">
        <v>36</v>
      </c>
      <c r="M134" s="5">
        <v>622</v>
      </c>
      <c r="N134" s="1" t="s">
        <v>36</v>
      </c>
      <c r="O134" s="5">
        <v>622</v>
      </c>
      <c r="P134" s="5">
        <v>622</v>
      </c>
      <c r="Q134" s="1"/>
      <c r="R134" s="5">
        <v>0</v>
      </c>
      <c r="S134" s="1" t="s">
        <v>36</v>
      </c>
      <c r="T134" s="5">
        <v>10797.76</v>
      </c>
      <c r="U134" s="1" t="s">
        <v>37</v>
      </c>
      <c r="V134" s="1"/>
      <c r="W134" s="1"/>
      <c r="X134" s="1"/>
      <c r="Y134" s="1"/>
      <c r="Z134" s="1"/>
      <c r="AA134" s="1"/>
      <c r="AB134" s="1"/>
      <c r="AC134" s="2"/>
      <c r="AD134" s="2"/>
    </row>
    <row r="135" spans="1:30" ht="14.4" x14ac:dyDescent="0.3">
      <c r="A135" s="3">
        <v>46044</v>
      </c>
      <c r="B135" s="4">
        <v>46044</v>
      </c>
      <c r="C135" s="1" t="s">
        <v>312</v>
      </c>
      <c r="D135" s="1" t="s">
        <v>52</v>
      </c>
      <c r="E135" s="1" t="s">
        <v>30</v>
      </c>
      <c r="F135" s="1" t="s">
        <v>135</v>
      </c>
      <c r="G135" s="44" t="s">
        <v>136</v>
      </c>
      <c r="H135" s="45"/>
      <c r="I135" s="1"/>
      <c r="J135" s="1"/>
      <c r="K135" s="1"/>
      <c r="L135" s="1" t="s">
        <v>36</v>
      </c>
      <c r="M135" s="5">
        <v>370</v>
      </c>
      <c r="N135" s="1" t="s">
        <v>36</v>
      </c>
      <c r="O135" s="5">
        <v>370</v>
      </c>
      <c r="P135" s="5">
        <v>370</v>
      </c>
      <c r="Q135" s="1"/>
      <c r="R135" s="5">
        <v>0</v>
      </c>
      <c r="S135" s="1" t="s">
        <v>36</v>
      </c>
      <c r="T135" s="5">
        <v>10175.76</v>
      </c>
      <c r="U135" s="1" t="s">
        <v>37</v>
      </c>
      <c r="V135" s="1"/>
      <c r="W135" s="1"/>
      <c r="X135" s="1"/>
      <c r="Y135" s="1"/>
      <c r="Z135" s="1"/>
      <c r="AA135" s="1"/>
      <c r="AB135" s="1"/>
      <c r="AC135" s="2"/>
      <c r="AD135" s="2"/>
    </row>
    <row r="136" spans="1:30" ht="14.4" x14ac:dyDescent="0.3">
      <c r="A136" s="3">
        <v>46043</v>
      </c>
      <c r="B136" s="4">
        <v>46044</v>
      </c>
      <c r="C136" s="1" t="s">
        <v>313</v>
      </c>
      <c r="D136" s="1" t="s">
        <v>29</v>
      </c>
      <c r="E136" s="1" t="s">
        <v>30</v>
      </c>
      <c r="F136" s="44" t="s">
        <v>314</v>
      </c>
      <c r="G136" s="45"/>
      <c r="H136" s="1" t="s">
        <v>32</v>
      </c>
      <c r="I136" s="1" t="s">
        <v>40</v>
      </c>
      <c r="J136" s="1" t="s">
        <v>41</v>
      </c>
      <c r="K136" s="1" t="s">
        <v>35</v>
      </c>
      <c r="L136" s="1" t="s">
        <v>36</v>
      </c>
      <c r="M136" s="5">
        <v>9.99</v>
      </c>
      <c r="N136" s="1" t="s">
        <v>36</v>
      </c>
      <c r="O136" s="5">
        <v>-9.99</v>
      </c>
      <c r="P136" s="5">
        <v>-9.99</v>
      </c>
      <c r="Q136" s="1"/>
      <c r="R136" s="5">
        <v>0</v>
      </c>
      <c r="S136" s="1" t="s">
        <v>36</v>
      </c>
      <c r="T136" s="5">
        <v>9805.76</v>
      </c>
      <c r="U136" s="1" t="s">
        <v>37</v>
      </c>
      <c r="V136" s="1"/>
      <c r="W136" s="1"/>
      <c r="X136" s="1"/>
      <c r="Y136" s="1"/>
      <c r="Z136" s="5">
        <v>5552</v>
      </c>
      <c r="AA136" s="1"/>
      <c r="AB136" s="1"/>
      <c r="AC136" s="2"/>
      <c r="AD136" s="2"/>
    </row>
    <row r="137" spans="1:30" ht="14.4" x14ac:dyDescent="0.3">
      <c r="A137" s="3">
        <v>46044</v>
      </c>
      <c r="B137" s="4">
        <v>46044</v>
      </c>
      <c r="C137" s="1" t="s">
        <v>315</v>
      </c>
      <c r="D137" s="1" t="s">
        <v>43</v>
      </c>
      <c r="E137" s="1" t="s">
        <v>30</v>
      </c>
      <c r="F137" s="1" t="s">
        <v>85</v>
      </c>
      <c r="G137" s="1" t="s">
        <v>316</v>
      </c>
      <c r="H137" s="44" t="s">
        <v>32</v>
      </c>
      <c r="I137" s="45"/>
      <c r="J137" s="1"/>
      <c r="K137" s="1"/>
      <c r="L137" s="1" t="s">
        <v>36</v>
      </c>
      <c r="M137" s="5">
        <v>269.83</v>
      </c>
      <c r="N137" s="1" t="s">
        <v>36</v>
      </c>
      <c r="O137" s="5">
        <v>-269.83</v>
      </c>
      <c r="P137" s="5">
        <v>-270.02999999999997</v>
      </c>
      <c r="Q137" s="1"/>
      <c r="R137" s="5">
        <v>-0.2</v>
      </c>
      <c r="S137" s="1" t="s">
        <v>36</v>
      </c>
      <c r="T137" s="5">
        <v>9815.75</v>
      </c>
      <c r="U137" s="1" t="s">
        <v>37</v>
      </c>
      <c r="V137" s="5">
        <v>19870940</v>
      </c>
      <c r="W137" s="5">
        <v>90129</v>
      </c>
      <c r="X137" s="1"/>
      <c r="Y137" s="1"/>
      <c r="Z137" s="1"/>
      <c r="AA137" s="1"/>
      <c r="AB137" s="1"/>
      <c r="AC137" s="2"/>
      <c r="AD137" s="2"/>
    </row>
    <row r="138" spans="1:30" ht="14.4" x14ac:dyDescent="0.3">
      <c r="A138" s="3">
        <v>46044</v>
      </c>
      <c r="B138" s="4">
        <v>46044</v>
      </c>
      <c r="C138" s="1" t="s">
        <v>317</v>
      </c>
      <c r="D138" s="1" t="s">
        <v>43</v>
      </c>
      <c r="E138" s="1" t="s">
        <v>30</v>
      </c>
      <c r="F138" s="1" t="s">
        <v>193</v>
      </c>
      <c r="G138" s="1" t="s">
        <v>318</v>
      </c>
      <c r="H138" s="44" t="s">
        <v>32</v>
      </c>
      <c r="I138" s="45"/>
      <c r="J138" s="1"/>
      <c r="K138" s="1"/>
      <c r="L138" s="1" t="s">
        <v>36</v>
      </c>
      <c r="M138" s="5">
        <v>11840</v>
      </c>
      <c r="N138" s="1" t="s">
        <v>36</v>
      </c>
      <c r="O138" s="5">
        <v>-11840</v>
      </c>
      <c r="P138" s="5">
        <v>-11840.2</v>
      </c>
      <c r="Q138" s="1"/>
      <c r="R138" s="5">
        <v>-0.2</v>
      </c>
      <c r="S138" s="1" t="s">
        <v>36</v>
      </c>
      <c r="T138" s="5">
        <v>10085.780000000001</v>
      </c>
      <c r="U138" s="1" t="s">
        <v>37</v>
      </c>
      <c r="V138" s="5">
        <v>41448654</v>
      </c>
      <c r="W138" s="5">
        <v>90129</v>
      </c>
      <c r="X138" s="1"/>
      <c r="Y138" s="1"/>
      <c r="Z138" s="1"/>
      <c r="AA138" s="1"/>
      <c r="AB138" s="1"/>
      <c r="AC138" s="2"/>
      <c r="AD138" s="2"/>
    </row>
    <row r="139" spans="1:30" ht="14.4" x14ac:dyDescent="0.3">
      <c r="A139" s="3">
        <v>46043</v>
      </c>
      <c r="B139" s="4">
        <v>46044</v>
      </c>
      <c r="C139" s="1" t="s">
        <v>319</v>
      </c>
      <c r="D139" s="1" t="s">
        <v>29</v>
      </c>
      <c r="E139" s="1" t="s">
        <v>30</v>
      </c>
      <c r="F139" s="44" t="s">
        <v>320</v>
      </c>
      <c r="G139" s="45"/>
      <c r="H139" s="1" t="s">
        <v>32</v>
      </c>
      <c r="I139" s="1" t="s">
        <v>40</v>
      </c>
      <c r="J139" s="1" t="s">
        <v>41</v>
      </c>
      <c r="K139" s="1" t="s">
        <v>35</v>
      </c>
      <c r="L139" s="1" t="s">
        <v>36</v>
      </c>
      <c r="M139" s="5">
        <v>8988.11</v>
      </c>
      <c r="N139" s="1" t="s">
        <v>36</v>
      </c>
      <c r="O139" s="5">
        <v>-8988.11</v>
      </c>
      <c r="P139" s="5">
        <v>-8988.11</v>
      </c>
      <c r="Q139" s="1"/>
      <c r="R139" s="5">
        <v>0</v>
      </c>
      <c r="S139" s="1" t="s">
        <v>36</v>
      </c>
      <c r="T139" s="5">
        <v>21925.98</v>
      </c>
      <c r="U139" s="1" t="s">
        <v>37</v>
      </c>
      <c r="V139" s="1"/>
      <c r="W139" s="1"/>
      <c r="X139" s="1"/>
      <c r="Y139" s="1"/>
      <c r="Z139" s="5">
        <v>6012</v>
      </c>
      <c r="AA139" s="1"/>
      <c r="AB139" s="1"/>
      <c r="AC139" s="2"/>
      <c r="AD139" s="2"/>
    </row>
    <row r="140" spans="1:30" ht="14.4" x14ac:dyDescent="0.3">
      <c r="A140" s="3">
        <v>46044</v>
      </c>
      <c r="B140" s="4">
        <v>46044</v>
      </c>
      <c r="C140" s="1" t="s">
        <v>321</v>
      </c>
      <c r="D140" s="1" t="s">
        <v>43</v>
      </c>
      <c r="E140" s="1" t="s">
        <v>30</v>
      </c>
      <c r="F140" s="1" t="s">
        <v>322</v>
      </c>
      <c r="G140" s="1" t="s">
        <v>323</v>
      </c>
      <c r="H140" s="44" t="s">
        <v>32</v>
      </c>
      <c r="I140" s="45"/>
      <c r="J140" s="1"/>
      <c r="K140" s="1"/>
      <c r="L140" s="1" t="s">
        <v>36</v>
      </c>
      <c r="M140" s="5">
        <v>9000</v>
      </c>
      <c r="N140" s="1" t="s">
        <v>36</v>
      </c>
      <c r="O140" s="5">
        <v>-9000</v>
      </c>
      <c r="P140" s="5">
        <v>-9000.2000000000007</v>
      </c>
      <c r="Q140" s="1"/>
      <c r="R140" s="5">
        <v>-0.2</v>
      </c>
      <c r="S140" s="1" t="s">
        <v>36</v>
      </c>
      <c r="T140" s="5">
        <v>30914.09</v>
      </c>
      <c r="U140" s="1" t="s">
        <v>37</v>
      </c>
      <c r="V140" s="5">
        <v>3208508</v>
      </c>
      <c r="W140" s="5">
        <v>205776</v>
      </c>
      <c r="X140" s="1"/>
      <c r="Y140" s="1"/>
      <c r="Z140" s="1"/>
      <c r="AA140" s="1"/>
      <c r="AB140" s="1"/>
      <c r="AC140" s="2"/>
      <c r="AD140" s="2"/>
    </row>
    <row r="141" spans="1:30" ht="14.4" x14ac:dyDescent="0.3">
      <c r="A141" s="3">
        <v>46043</v>
      </c>
      <c r="B141" s="4">
        <v>46043</v>
      </c>
      <c r="C141" s="1" t="s">
        <v>324</v>
      </c>
      <c r="D141" s="1" t="s">
        <v>52</v>
      </c>
      <c r="E141" s="1" t="s">
        <v>30</v>
      </c>
      <c r="F141" s="1" t="s">
        <v>325</v>
      </c>
      <c r="G141" s="1" t="s">
        <v>326</v>
      </c>
      <c r="H141" s="1"/>
      <c r="I141" s="1"/>
      <c r="J141" s="1"/>
      <c r="K141" s="1"/>
      <c r="L141" s="1" t="s">
        <v>36</v>
      </c>
      <c r="M141" s="5">
        <v>9000</v>
      </c>
      <c r="N141" s="1" t="s">
        <v>36</v>
      </c>
      <c r="O141" s="5">
        <v>9000</v>
      </c>
      <c r="P141" s="5">
        <v>9000</v>
      </c>
      <c r="Q141" s="1"/>
      <c r="R141" s="5">
        <v>0</v>
      </c>
      <c r="S141" s="1" t="s">
        <v>36</v>
      </c>
      <c r="T141" s="5">
        <v>39914.29</v>
      </c>
      <c r="U141" s="1" t="s">
        <v>37</v>
      </c>
      <c r="V141" s="1"/>
      <c r="W141" s="1"/>
      <c r="X141" s="1"/>
      <c r="Y141" s="1"/>
      <c r="Z141" s="1"/>
      <c r="AA141" s="1"/>
      <c r="AB141" s="1"/>
      <c r="AC141" s="2"/>
      <c r="AD141" s="2"/>
    </row>
    <row r="142" spans="1:30" ht="14.4" x14ac:dyDescent="0.3">
      <c r="A142" s="3">
        <v>46042</v>
      </c>
      <c r="B142" s="4">
        <v>46042</v>
      </c>
      <c r="C142" s="1" t="s">
        <v>327</v>
      </c>
      <c r="D142" s="1" t="s">
        <v>52</v>
      </c>
      <c r="E142" s="1" t="s">
        <v>30</v>
      </c>
      <c r="F142" s="1" t="s">
        <v>328</v>
      </c>
      <c r="G142" s="44" t="s">
        <v>329</v>
      </c>
      <c r="H142" s="45"/>
      <c r="I142" s="1"/>
      <c r="J142" s="1"/>
      <c r="K142" s="1"/>
      <c r="L142" s="1" t="s">
        <v>36</v>
      </c>
      <c r="M142" s="5">
        <v>175</v>
      </c>
      <c r="N142" s="1" t="s">
        <v>36</v>
      </c>
      <c r="O142" s="5">
        <v>175</v>
      </c>
      <c r="P142" s="5">
        <v>175</v>
      </c>
      <c r="Q142" s="1"/>
      <c r="R142" s="5">
        <v>0</v>
      </c>
      <c r="S142" s="1" t="s">
        <v>36</v>
      </c>
      <c r="T142" s="5">
        <v>30914.29</v>
      </c>
      <c r="U142" s="1" t="s">
        <v>37</v>
      </c>
      <c r="V142" s="1"/>
      <c r="W142" s="1"/>
      <c r="X142" s="1"/>
      <c r="Y142" s="1"/>
      <c r="Z142" s="1"/>
      <c r="AA142" s="1"/>
      <c r="AB142" s="1"/>
      <c r="AC142" s="2"/>
      <c r="AD142" s="2"/>
    </row>
    <row r="143" spans="1:30" ht="14.4" x14ac:dyDescent="0.3">
      <c r="A143" s="3">
        <v>46042</v>
      </c>
      <c r="B143" s="4">
        <v>46042</v>
      </c>
      <c r="C143" s="1" t="s">
        <v>330</v>
      </c>
      <c r="D143" s="1" t="s">
        <v>43</v>
      </c>
      <c r="E143" s="1" t="s">
        <v>30</v>
      </c>
      <c r="F143" s="1" t="s">
        <v>331</v>
      </c>
      <c r="G143" s="1" t="s">
        <v>332</v>
      </c>
      <c r="H143" s="44" t="s">
        <v>32</v>
      </c>
      <c r="I143" s="45"/>
      <c r="J143" s="1"/>
      <c r="K143" s="1"/>
      <c r="L143" s="1" t="s">
        <v>36</v>
      </c>
      <c r="M143" s="5">
        <v>1470</v>
      </c>
      <c r="N143" s="1" t="s">
        <v>36</v>
      </c>
      <c r="O143" s="5">
        <v>-1470</v>
      </c>
      <c r="P143" s="5">
        <v>-1470.2</v>
      </c>
      <c r="Q143" s="1"/>
      <c r="R143" s="5">
        <v>-0.2</v>
      </c>
      <c r="S143" s="1" t="s">
        <v>36</v>
      </c>
      <c r="T143" s="5">
        <v>30739.29</v>
      </c>
      <c r="U143" s="1" t="s">
        <v>37</v>
      </c>
      <c r="V143" s="5">
        <v>12183669</v>
      </c>
      <c r="W143" s="5">
        <v>110708</v>
      </c>
      <c r="X143" s="1"/>
      <c r="Y143" s="1"/>
      <c r="Z143" s="1"/>
      <c r="AA143" s="1"/>
      <c r="AB143" s="1"/>
      <c r="AC143" s="2"/>
      <c r="AD143" s="2"/>
    </row>
    <row r="144" spans="1:30" ht="14.4" x14ac:dyDescent="0.3">
      <c r="A144" s="3">
        <v>46042</v>
      </c>
      <c r="B144" s="4">
        <v>46042</v>
      </c>
      <c r="C144" s="1" t="s">
        <v>333</v>
      </c>
      <c r="D144" s="1" t="s">
        <v>43</v>
      </c>
      <c r="E144" s="1" t="s">
        <v>30</v>
      </c>
      <c r="F144" s="1" t="s">
        <v>334</v>
      </c>
      <c r="G144" s="44" t="s">
        <v>335</v>
      </c>
      <c r="H144" s="45"/>
      <c r="I144" s="1"/>
      <c r="J144" s="1"/>
      <c r="K144" s="1"/>
      <c r="L144" s="1" t="s">
        <v>36</v>
      </c>
      <c r="M144" s="5">
        <v>17000</v>
      </c>
      <c r="N144" s="1" t="s">
        <v>36</v>
      </c>
      <c r="O144" s="5">
        <v>17000</v>
      </c>
      <c r="P144" s="5">
        <v>17000</v>
      </c>
      <c r="Q144" s="1"/>
      <c r="R144" s="5">
        <v>0</v>
      </c>
      <c r="S144" s="1" t="s">
        <v>36</v>
      </c>
      <c r="T144" s="5">
        <v>32209.49</v>
      </c>
      <c r="U144" s="1" t="s">
        <v>37</v>
      </c>
      <c r="V144" s="1"/>
      <c r="W144" s="1"/>
      <c r="X144" s="1"/>
      <c r="Y144" s="1"/>
      <c r="Z144" s="1"/>
      <c r="AA144" s="1"/>
      <c r="AB144" s="1"/>
      <c r="AC144" s="2"/>
      <c r="AD144" s="2"/>
    </row>
    <row r="145" spans="1:30" ht="14.4" x14ac:dyDescent="0.3">
      <c r="A145" s="3">
        <v>46042</v>
      </c>
      <c r="B145" s="4">
        <v>46042</v>
      </c>
      <c r="C145" s="1" t="s">
        <v>336</v>
      </c>
      <c r="D145" s="1" t="s">
        <v>43</v>
      </c>
      <c r="E145" s="1" t="s">
        <v>30</v>
      </c>
      <c r="F145" s="1" t="s">
        <v>337</v>
      </c>
      <c r="G145" s="1" t="s">
        <v>338</v>
      </c>
      <c r="H145" s="44" t="s">
        <v>32</v>
      </c>
      <c r="I145" s="45"/>
      <c r="J145" s="1"/>
      <c r="K145" s="1"/>
      <c r="L145" s="1" t="s">
        <v>36</v>
      </c>
      <c r="M145" s="5">
        <v>157.5</v>
      </c>
      <c r="N145" s="1" t="s">
        <v>36</v>
      </c>
      <c r="O145" s="5">
        <v>-157.5</v>
      </c>
      <c r="P145" s="5">
        <v>-157.69999999999999</v>
      </c>
      <c r="Q145" s="1"/>
      <c r="R145" s="5">
        <v>-0.2</v>
      </c>
      <c r="S145" s="1" t="s">
        <v>36</v>
      </c>
      <c r="T145" s="5">
        <v>15209.49</v>
      </c>
      <c r="U145" s="1" t="s">
        <v>37</v>
      </c>
      <c r="V145" s="5">
        <v>79441747</v>
      </c>
      <c r="W145" s="5">
        <v>40004</v>
      </c>
      <c r="X145" s="1"/>
      <c r="Y145" s="1"/>
      <c r="Z145" s="1"/>
      <c r="AA145" s="1"/>
      <c r="AB145" s="1"/>
      <c r="AC145" s="2"/>
      <c r="AD145" s="2"/>
    </row>
    <row r="146" spans="1:30" ht="14.4" x14ac:dyDescent="0.3">
      <c r="A146" s="3">
        <v>46041</v>
      </c>
      <c r="B146" s="4">
        <v>46041</v>
      </c>
      <c r="C146" s="1" t="s">
        <v>339</v>
      </c>
      <c r="D146" s="1" t="s">
        <v>52</v>
      </c>
      <c r="E146" s="1" t="s">
        <v>30</v>
      </c>
      <c r="F146" s="1" t="s">
        <v>96</v>
      </c>
      <c r="G146" s="1" t="s">
        <v>99</v>
      </c>
      <c r="H146" s="1"/>
      <c r="I146" s="1"/>
      <c r="J146" s="1"/>
      <c r="K146" s="1"/>
      <c r="L146" s="1" t="s">
        <v>36</v>
      </c>
      <c r="M146" s="5">
        <v>287</v>
      </c>
      <c r="N146" s="1" t="s">
        <v>36</v>
      </c>
      <c r="O146" s="5">
        <v>287</v>
      </c>
      <c r="P146" s="5">
        <v>287</v>
      </c>
      <c r="Q146" s="1"/>
      <c r="R146" s="5">
        <v>0</v>
      </c>
      <c r="S146" s="1" t="s">
        <v>36</v>
      </c>
      <c r="T146" s="5">
        <v>15367.19</v>
      </c>
      <c r="U146" s="1" t="s">
        <v>37</v>
      </c>
      <c r="V146" s="1"/>
      <c r="W146" s="1"/>
      <c r="X146" s="1"/>
      <c r="Y146" s="1"/>
      <c r="Z146" s="1"/>
      <c r="AA146" s="1"/>
      <c r="AB146" s="1"/>
      <c r="AC146" s="2"/>
      <c r="AD146" s="2"/>
    </row>
    <row r="147" spans="1:30" ht="14.4" x14ac:dyDescent="0.3">
      <c r="A147" s="3">
        <v>46041</v>
      </c>
      <c r="B147" s="4">
        <v>46041</v>
      </c>
      <c r="C147" s="1" t="s">
        <v>340</v>
      </c>
      <c r="D147" s="1" t="s">
        <v>52</v>
      </c>
      <c r="E147" s="1" t="s">
        <v>30</v>
      </c>
      <c r="F147" s="1" t="s">
        <v>132</v>
      </c>
      <c r="G147" s="44" t="s">
        <v>133</v>
      </c>
      <c r="H147" s="45"/>
      <c r="I147" s="1"/>
      <c r="J147" s="1"/>
      <c r="K147" s="1"/>
      <c r="L147" s="1" t="s">
        <v>36</v>
      </c>
      <c r="M147" s="5">
        <v>370</v>
      </c>
      <c r="N147" s="1" t="s">
        <v>36</v>
      </c>
      <c r="O147" s="5">
        <v>370</v>
      </c>
      <c r="P147" s="5">
        <v>370</v>
      </c>
      <c r="Q147" s="1"/>
      <c r="R147" s="5">
        <v>0</v>
      </c>
      <c r="S147" s="1" t="s">
        <v>36</v>
      </c>
      <c r="T147" s="5">
        <v>15080.19</v>
      </c>
      <c r="U147" s="1" t="s">
        <v>37</v>
      </c>
      <c r="V147" s="1"/>
      <c r="W147" s="1"/>
      <c r="X147" s="1"/>
      <c r="Y147" s="1"/>
      <c r="Z147" s="1"/>
      <c r="AA147" s="1"/>
      <c r="AB147" s="1"/>
      <c r="AC147" s="2"/>
      <c r="AD147" s="2"/>
    </row>
    <row r="148" spans="1:30" ht="14.4" x14ac:dyDescent="0.3">
      <c r="A148" s="3">
        <v>46040</v>
      </c>
      <c r="B148" s="4">
        <v>46040</v>
      </c>
      <c r="C148" s="1" t="s">
        <v>341</v>
      </c>
      <c r="D148" s="1" t="s">
        <v>52</v>
      </c>
      <c r="E148" s="1" t="s">
        <v>30</v>
      </c>
      <c r="F148" s="1" t="s">
        <v>342</v>
      </c>
      <c r="G148" s="44" t="s">
        <v>343</v>
      </c>
      <c r="H148" s="45"/>
      <c r="I148" s="1"/>
      <c r="J148" s="1"/>
      <c r="K148" s="1"/>
      <c r="L148" s="1" t="s">
        <v>36</v>
      </c>
      <c r="M148" s="5">
        <v>35</v>
      </c>
      <c r="N148" s="1" t="s">
        <v>36</v>
      </c>
      <c r="O148" s="5">
        <v>35</v>
      </c>
      <c r="P148" s="5">
        <v>35</v>
      </c>
      <c r="Q148" s="1"/>
      <c r="R148" s="5">
        <v>0</v>
      </c>
      <c r="S148" s="1" t="s">
        <v>36</v>
      </c>
      <c r="T148" s="5">
        <v>14710.19</v>
      </c>
      <c r="U148" s="1" t="s">
        <v>37</v>
      </c>
      <c r="V148" s="1"/>
      <c r="W148" s="1"/>
      <c r="X148" s="1"/>
      <c r="Y148" s="1"/>
      <c r="Z148" s="1"/>
      <c r="AA148" s="1"/>
      <c r="AB148" s="1"/>
      <c r="AC148" s="2"/>
      <c r="AD148" s="2"/>
    </row>
    <row r="149" spans="1:30" ht="14.4" x14ac:dyDescent="0.3">
      <c r="A149" s="3">
        <v>46039</v>
      </c>
      <c r="B149" s="4">
        <v>46039</v>
      </c>
      <c r="C149" s="1" t="s">
        <v>344</v>
      </c>
      <c r="D149" s="1" t="s">
        <v>52</v>
      </c>
      <c r="E149" s="1" t="s">
        <v>30</v>
      </c>
      <c r="F149" s="1" t="s">
        <v>264</v>
      </c>
      <c r="G149" s="1" t="s">
        <v>345</v>
      </c>
      <c r="H149" s="1"/>
      <c r="I149" s="1"/>
      <c r="J149" s="1"/>
      <c r="K149" s="1"/>
      <c r="L149" s="1" t="s">
        <v>36</v>
      </c>
      <c r="M149" s="5">
        <v>145</v>
      </c>
      <c r="N149" s="1" t="s">
        <v>36</v>
      </c>
      <c r="O149" s="5">
        <v>145</v>
      </c>
      <c r="P149" s="5">
        <v>145</v>
      </c>
      <c r="Q149" s="1"/>
      <c r="R149" s="5">
        <v>0</v>
      </c>
      <c r="S149" s="1" t="s">
        <v>36</v>
      </c>
      <c r="T149" s="5">
        <v>14675.19</v>
      </c>
      <c r="U149" s="1" t="s">
        <v>37</v>
      </c>
      <c r="V149" s="1"/>
      <c r="W149" s="1"/>
      <c r="X149" s="1"/>
      <c r="Y149" s="1"/>
      <c r="Z149" s="1"/>
      <c r="AA149" s="1"/>
      <c r="AB149" s="1"/>
      <c r="AC149" s="2"/>
      <c r="AD149" s="2"/>
    </row>
    <row r="150" spans="1:30" ht="14.4" x14ac:dyDescent="0.3">
      <c r="A150" s="3">
        <v>46038</v>
      </c>
      <c r="B150" s="4">
        <v>46039</v>
      </c>
      <c r="C150" s="1" t="s">
        <v>346</v>
      </c>
      <c r="D150" s="1" t="s">
        <v>29</v>
      </c>
      <c r="E150" s="1" t="s">
        <v>30</v>
      </c>
      <c r="F150" s="44" t="s">
        <v>347</v>
      </c>
      <c r="G150" s="45"/>
      <c r="H150" s="1" t="s">
        <v>32</v>
      </c>
      <c r="I150" s="1" t="s">
        <v>40</v>
      </c>
      <c r="J150" s="1" t="s">
        <v>41</v>
      </c>
      <c r="K150" s="1" t="s">
        <v>35</v>
      </c>
      <c r="L150" s="1" t="s">
        <v>36</v>
      </c>
      <c r="M150" s="5">
        <v>8</v>
      </c>
      <c r="N150" s="1" t="s">
        <v>36</v>
      </c>
      <c r="O150" s="5">
        <v>-8</v>
      </c>
      <c r="P150" s="5">
        <v>-8</v>
      </c>
      <c r="Q150" s="1"/>
      <c r="R150" s="5">
        <v>0</v>
      </c>
      <c r="S150" s="1" t="s">
        <v>36</v>
      </c>
      <c r="T150" s="5">
        <v>14530.19</v>
      </c>
      <c r="U150" s="1" t="s">
        <v>37</v>
      </c>
      <c r="V150" s="1"/>
      <c r="W150" s="1"/>
      <c r="X150" s="1"/>
      <c r="Y150" s="1"/>
      <c r="Z150" s="5">
        <v>7523</v>
      </c>
      <c r="AA150" s="1"/>
      <c r="AB150" s="1"/>
      <c r="AC150" s="2"/>
      <c r="AD150" s="2"/>
    </row>
    <row r="151" spans="1:30" ht="14.4" x14ac:dyDescent="0.3">
      <c r="A151" s="3">
        <v>46038</v>
      </c>
      <c r="B151" s="4">
        <v>46039</v>
      </c>
      <c r="C151" s="1" t="s">
        <v>348</v>
      </c>
      <c r="D151" s="1" t="s">
        <v>29</v>
      </c>
      <c r="E151" s="1" t="s">
        <v>30</v>
      </c>
      <c r="F151" s="44" t="s">
        <v>63</v>
      </c>
      <c r="G151" s="45"/>
      <c r="H151" s="1" t="s">
        <v>32</v>
      </c>
      <c r="I151" s="1" t="s">
        <v>40</v>
      </c>
      <c r="J151" s="1" t="s">
        <v>41</v>
      </c>
      <c r="K151" s="1" t="s">
        <v>35</v>
      </c>
      <c r="L151" s="1" t="s">
        <v>36</v>
      </c>
      <c r="M151" s="5">
        <v>7</v>
      </c>
      <c r="N151" s="1" t="s">
        <v>36</v>
      </c>
      <c r="O151" s="5">
        <v>-7</v>
      </c>
      <c r="P151" s="5">
        <v>-7</v>
      </c>
      <c r="Q151" s="1"/>
      <c r="R151" s="5">
        <v>0</v>
      </c>
      <c r="S151" s="1" t="s">
        <v>36</v>
      </c>
      <c r="T151" s="5">
        <v>14538.19</v>
      </c>
      <c r="U151" s="1" t="s">
        <v>37</v>
      </c>
      <c r="V151" s="1"/>
      <c r="W151" s="1"/>
      <c r="X151" s="1"/>
      <c r="Y151" s="1"/>
      <c r="Z151" s="5">
        <v>7523</v>
      </c>
      <c r="AA151" s="1"/>
      <c r="AB151" s="1"/>
      <c r="AC151" s="2"/>
      <c r="AD151" s="2"/>
    </row>
    <row r="152" spans="1:30" ht="14.4" x14ac:dyDescent="0.3">
      <c r="A152" s="3">
        <v>46037</v>
      </c>
      <c r="B152" s="4">
        <v>46038</v>
      </c>
      <c r="C152" s="1" t="s">
        <v>349</v>
      </c>
      <c r="D152" s="1" t="s">
        <v>29</v>
      </c>
      <c r="E152" s="1" t="s">
        <v>30</v>
      </c>
      <c r="F152" s="44" t="s">
        <v>63</v>
      </c>
      <c r="G152" s="45"/>
      <c r="H152" s="1" t="s">
        <v>32</v>
      </c>
      <c r="I152" s="1" t="s">
        <v>40</v>
      </c>
      <c r="J152" s="1" t="s">
        <v>41</v>
      </c>
      <c r="K152" s="1" t="s">
        <v>35</v>
      </c>
      <c r="L152" s="1" t="s">
        <v>36</v>
      </c>
      <c r="M152" s="5">
        <v>7</v>
      </c>
      <c r="N152" s="1" t="s">
        <v>36</v>
      </c>
      <c r="O152" s="5">
        <v>-7</v>
      </c>
      <c r="P152" s="5">
        <v>-7</v>
      </c>
      <c r="Q152" s="1"/>
      <c r="R152" s="5">
        <v>0</v>
      </c>
      <c r="S152" s="1" t="s">
        <v>36</v>
      </c>
      <c r="T152" s="5">
        <v>14545.19</v>
      </c>
      <c r="U152" s="1" t="s">
        <v>37</v>
      </c>
      <c r="V152" s="1"/>
      <c r="W152" s="1"/>
      <c r="X152" s="1"/>
      <c r="Y152" s="1"/>
      <c r="Z152" s="5">
        <v>7523</v>
      </c>
      <c r="AA152" s="1"/>
      <c r="AB152" s="1"/>
      <c r="AC152" s="2"/>
      <c r="AD152" s="2"/>
    </row>
    <row r="153" spans="1:30" ht="14.4" x14ac:dyDescent="0.3">
      <c r="A153" s="3">
        <v>46036</v>
      </c>
      <c r="B153" s="4">
        <v>46038</v>
      </c>
      <c r="C153" s="1" t="s">
        <v>350</v>
      </c>
      <c r="D153" s="1" t="s">
        <v>29</v>
      </c>
      <c r="E153" s="1" t="s">
        <v>30</v>
      </c>
      <c r="F153" s="44" t="s">
        <v>351</v>
      </c>
      <c r="G153" s="45"/>
      <c r="H153" s="1" t="s">
        <v>32</v>
      </c>
      <c r="I153" s="1" t="s">
        <v>40</v>
      </c>
      <c r="J153" s="1" t="s">
        <v>41</v>
      </c>
      <c r="K153" s="1" t="s">
        <v>35</v>
      </c>
      <c r="L153" s="1" t="s">
        <v>36</v>
      </c>
      <c r="M153" s="5">
        <v>21</v>
      </c>
      <c r="N153" s="1" t="s">
        <v>36</v>
      </c>
      <c r="O153" s="5">
        <v>-21</v>
      </c>
      <c r="P153" s="5">
        <v>-21</v>
      </c>
      <c r="Q153" s="1"/>
      <c r="R153" s="5">
        <v>0</v>
      </c>
      <c r="S153" s="1" t="s">
        <v>36</v>
      </c>
      <c r="T153" s="5">
        <v>14552.19</v>
      </c>
      <c r="U153" s="1" t="s">
        <v>37</v>
      </c>
      <c r="V153" s="1"/>
      <c r="W153" s="1"/>
      <c r="X153" s="1"/>
      <c r="Y153" s="1"/>
      <c r="Z153" s="5">
        <v>4784</v>
      </c>
      <c r="AA153" s="1"/>
      <c r="AB153" s="1"/>
      <c r="AC153" s="2"/>
      <c r="AD153" s="2"/>
    </row>
    <row r="154" spans="1:30" ht="14.4" x14ac:dyDescent="0.3">
      <c r="A154" s="3">
        <v>46037</v>
      </c>
      <c r="B154" s="4">
        <v>46037</v>
      </c>
      <c r="C154" s="1" t="s">
        <v>352</v>
      </c>
      <c r="D154" s="1" t="s">
        <v>43</v>
      </c>
      <c r="E154" s="1" t="s">
        <v>30</v>
      </c>
      <c r="F154" s="1" t="s">
        <v>353</v>
      </c>
      <c r="G154" s="1" t="s">
        <v>354</v>
      </c>
      <c r="H154" s="44" t="s">
        <v>32</v>
      </c>
      <c r="I154" s="45"/>
      <c r="J154" s="1"/>
      <c r="K154" s="1"/>
      <c r="L154" s="1" t="s">
        <v>36</v>
      </c>
      <c r="M154" s="5">
        <v>750</v>
      </c>
      <c r="N154" s="1" t="s">
        <v>36</v>
      </c>
      <c r="O154" s="5">
        <v>-750</v>
      </c>
      <c r="P154" s="5">
        <v>-750.2</v>
      </c>
      <c r="Q154" s="1"/>
      <c r="R154" s="5">
        <v>-0.2</v>
      </c>
      <c r="S154" s="1" t="s">
        <v>36</v>
      </c>
      <c r="T154" s="5">
        <v>14573.19</v>
      </c>
      <c r="U154" s="1" t="s">
        <v>37</v>
      </c>
      <c r="V154" s="5">
        <v>88927545</v>
      </c>
      <c r="W154" s="5">
        <v>90127</v>
      </c>
      <c r="X154" s="1"/>
      <c r="Y154" s="1"/>
      <c r="Z154" s="1"/>
      <c r="AA154" s="1"/>
      <c r="AB154" s="1"/>
      <c r="AC154" s="2"/>
      <c r="AD154" s="2"/>
    </row>
    <row r="155" spans="1:30" ht="14.4" x14ac:dyDescent="0.3">
      <c r="A155" s="3">
        <v>46037</v>
      </c>
      <c r="B155" s="4">
        <v>46037</v>
      </c>
      <c r="C155" s="1" t="s">
        <v>355</v>
      </c>
      <c r="D155" s="1" t="s">
        <v>43</v>
      </c>
      <c r="E155" s="1" t="s">
        <v>30</v>
      </c>
      <c r="F155" s="1" t="s">
        <v>111</v>
      </c>
      <c r="G155" s="1" t="s">
        <v>356</v>
      </c>
      <c r="H155" s="44" t="s">
        <v>32</v>
      </c>
      <c r="I155" s="45"/>
      <c r="J155" s="1"/>
      <c r="K155" s="1"/>
      <c r="L155" s="1" t="s">
        <v>36</v>
      </c>
      <c r="M155" s="5">
        <v>62.21</v>
      </c>
      <c r="N155" s="1" t="s">
        <v>36</v>
      </c>
      <c r="O155" s="5">
        <v>-62.21</v>
      </c>
      <c r="P155" s="5">
        <v>-62.21</v>
      </c>
      <c r="Q155" s="1"/>
      <c r="R155" s="5">
        <v>0</v>
      </c>
      <c r="S155" s="1" t="s">
        <v>36</v>
      </c>
      <c r="T155" s="5">
        <v>15323.39</v>
      </c>
      <c r="U155" s="1" t="s">
        <v>37</v>
      </c>
      <c r="V155" s="5">
        <v>53132022</v>
      </c>
      <c r="W155" s="5">
        <v>230580</v>
      </c>
      <c r="X155" s="1"/>
      <c r="Y155" s="1"/>
      <c r="Z155" s="1"/>
      <c r="AA155" s="1"/>
      <c r="AB155" s="1"/>
      <c r="AC155" s="2"/>
      <c r="AD155" s="2"/>
    </row>
    <row r="156" spans="1:30" ht="14.4" x14ac:dyDescent="0.3">
      <c r="A156" s="3">
        <v>46037</v>
      </c>
      <c r="B156" s="4">
        <v>46037</v>
      </c>
      <c r="C156" s="1" t="s">
        <v>357</v>
      </c>
      <c r="D156" s="1" t="s">
        <v>43</v>
      </c>
      <c r="E156" s="1" t="s">
        <v>30</v>
      </c>
      <c r="F156" s="1" t="s">
        <v>179</v>
      </c>
      <c r="G156" s="1" t="s">
        <v>358</v>
      </c>
      <c r="H156" s="44" t="s">
        <v>32</v>
      </c>
      <c r="I156" s="45"/>
      <c r="J156" s="1"/>
      <c r="K156" s="1"/>
      <c r="L156" s="1" t="s">
        <v>36</v>
      </c>
      <c r="M156" s="5">
        <v>185</v>
      </c>
      <c r="N156" s="1" t="s">
        <v>36</v>
      </c>
      <c r="O156" s="5">
        <v>-185</v>
      </c>
      <c r="P156" s="5">
        <v>-185</v>
      </c>
      <c r="Q156" s="1"/>
      <c r="R156" s="5">
        <v>0</v>
      </c>
      <c r="S156" s="1" t="s">
        <v>36</v>
      </c>
      <c r="T156" s="5">
        <v>15385.6</v>
      </c>
      <c r="U156" s="1" t="s">
        <v>37</v>
      </c>
      <c r="V156" s="1"/>
      <c r="W156" s="1"/>
      <c r="X156" s="1"/>
      <c r="Y156" s="1"/>
      <c r="Z156" s="1"/>
      <c r="AA156" s="1"/>
      <c r="AB156" s="1"/>
      <c r="AC156" s="2"/>
      <c r="AD156" s="2"/>
    </row>
    <row r="157" spans="1:30" ht="14.4" x14ac:dyDescent="0.3">
      <c r="A157" s="3">
        <v>46037</v>
      </c>
      <c r="B157" s="4">
        <v>46037</v>
      </c>
      <c r="C157" s="1" t="s">
        <v>359</v>
      </c>
      <c r="D157" s="1" t="s">
        <v>43</v>
      </c>
      <c r="E157" s="1" t="s">
        <v>30</v>
      </c>
      <c r="F157" s="1" t="s">
        <v>179</v>
      </c>
      <c r="G157" s="1" t="s">
        <v>360</v>
      </c>
      <c r="H157" s="44" t="s">
        <v>32</v>
      </c>
      <c r="I157" s="45"/>
      <c r="J157" s="1"/>
      <c r="K157" s="1"/>
      <c r="L157" s="1" t="s">
        <v>36</v>
      </c>
      <c r="M157" s="5">
        <v>620</v>
      </c>
      <c r="N157" s="1" t="s">
        <v>36</v>
      </c>
      <c r="O157" s="5">
        <v>-620</v>
      </c>
      <c r="P157" s="5">
        <v>-620</v>
      </c>
      <c r="Q157" s="1"/>
      <c r="R157" s="5">
        <v>0</v>
      </c>
      <c r="S157" s="1" t="s">
        <v>36</v>
      </c>
      <c r="T157" s="5">
        <v>15570.6</v>
      </c>
      <c r="U157" s="1" t="s">
        <v>37</v>
      </c>
      <c r="V157" s="1"/>
      <c r="W157" s="1"/>
      <c r="X157" s="1"/>
      <c r="Y157" s="1"/>
      <c r="Z157" s="1"/>
      <c r="AA157" s="1"/>
      <c r="AB157" s="1"/>
      <c r="AC157" s="2"/>
      <c r="AD157" s="2"/>
    </row>
    <row r="158" spans="1:30" ht="14.4" x14ac:dyDescent="0.3">
      <c r="A158" s="3">
        <v>46037</v>
      </c>
      <c r="B158" s="4">
        <v>46037</v>
      </c>
      <c r="C158" s="1" t="s">
        <v>361</v>
      </c>
      <c r="D158" s="1" t="s">
        <v>43</v>
      </c>
      <c r="E158" s="1" t="s">
        <v>30</v>
      </c>
      <c r="F158" s="1" t="s">
        <v>66</v>
      </c>
      <c r="G158" s="1" t="s">
        <v>362</v>
      </c>
      <c r="H158" s="44" t="s">
        <v>32</v>
      </c>
      <c r="I158" s="45"/>
      <c r="J158" s="1"/>
      <c r="K158" s="1"/>
      <c r="L158" s="1" t="s">
        <v>36</v>
      </c>
      <c r="M158" s="5">
        <v>976</v>
      </c>
      <c r="N158" s="1" t="s">
        <v>36</v>
      </c>
      <c r="O158" s="5">
        <v>-976</v>
      </c>
      <c r="P158" s="5">
        <v>-976</v>
      </c>
      <c r="Q158" s="1"/>
      <c r="R158" s="5">
        <v>0</v>
      </c>
      <c r="S158" s="1" t="s">
        <v>36</v>
      </c>
      <c r="T158" s="5">
        <v>16190.6</v>
      </c>
      <c r="U158" s="1" t="s">
        <v>37</v>
      </c>
      <c r="V158" s="5">
        <v>47239381</v>
      </c>
      <c r="W158" s="5">
        <v>90128</v>
      </c>
      <c r="X158" s="1"/>
      <c r="Y158" s="1"/>
      <c r="Z158" s="1"/>
      <c r="AA158" s="1"/>
      <c r="AB158" s="1"/>
      <c r="AC158" s="2"/>
      <c r="AD158" s="2"/>
    </row>
    <row r="159" spans="1:30" ht="14.4" x14ac:dyDescent="0.3">
      <c r="A159" s="3">
        <v>46037</v>
      </c>
      <c r="B159" s="4">
        <v>46037</v>
      </c>
      <c r="C159" s="1" t="s">
        <v>363</v>
      </c>
      <c r="D159" s="1" t="s">
        <v>43</v>
      </c>
      <c r="E159" s="1" t="s">
        <v>30</v>
      </c>
      <c r="F159" s="1" t="s">
        <v>71</v>
      </c>
      <c r="G159" s="1" t="s">
        <v>362</v>
      </c>
      <c r="H159" s="44" t="s">
        <v>32</v>
      </c>
      <c r="I159" s="45"/>
      <c r="J159" s="1"/>
      <c r="K159" s="1"/>
      <c r="L159" s="1" t="s">
        <v>36</v>
      </c>
      <c r="M159" s="5">
        <v>976</v>
      </c>
      <c r="N159" s="1" t="s">
        <v>36</v>
      </c>
      <c r="O159" s="5">
        <v>-976</v>
      </c>
      <c r="P159" s="5">
        <v>-976</v>
      </c>
      <c r="Q159" s="1"/>
      <c r="R159" s="5">
        <v>0</v>
      </c>
      <c r="S159" s="1" t="s">
        <v>36</v>
      </c>
      <c r="T159" s="5">
        <v>17166.599999999999</v>
      </c>
      <c r="U159" s="1" t="s">
        <v>37</v>
      </c>
      <c r="V159" s="5">
        <v>63189198</v>
      </c>
      <c r="W159" s="5">
        <v>202728</v>
      </c>
      <c r="X159" s="1"/>
      <c r="Y159" s="1"/>
      <c r="Z159" s="1"/>
      <c r="AA159" s="1"/>
      <c r="AB159" s="1"/>
      <c r="AC159" s="2"/>
      <c r="AD159" s="2"/>
    </row>
    <row r="160" spans="1:30" ht="14.4" x14ac:dyDescent="0.3">
      <c r="A160" s="3">
        <v>46037</v>
      </c>
      <c r="B160" s="4">
        <v>46037</v>
      </c>
      <c r="C160" s="1" t="s">
        <v>364</v>
      </c>
      <c r="D160" s="1" t="s">
        <v>43</v>
      </c>
      <c r="E160" s="1" t="s">
        <v>30</v>
      </c>
      <c r="F160" s="1" t="s">
        <v>69</v>
      </c>
      <c r="G160" s="1" t="s">
        <v>362</v>
      </c>
      <c r="H160" s="44" t="s">
        <v>32</v>
      </c>
      <c r="I160" s="45"/>
      <c r="J160" s="1"/>
      <c r="K160" s="1"/>
      <c r="L160" s="1" t="s">
        <v>36</v>
      </c>
      <c r="M160" s="5">
        <v>976</v>
      </c>
      <c r="N160" s="1" t="s">
        <v>36</v>
      </c>
      <c r="O160" s="5">
        <v>-976</v>
      </c>
      <c r="P160" s="5">
        <v>-976</v>
      </c>
      <c r="Q160" s="1"/>
      <c r="R160" s="5">
        <v>0</v>
      </c>
      <c r="S160" s="1" t="s">
        <v>36</v>
      </c>
      <c r="T160" s="5">
        <v>18142.599999999999</v>
      </c>
      <c r="U160" s="1" t="s">
        <v>37</v>
      </c>
      <c r="V160" s="5">
        <v>684481</v>
      </c>
      <c r="W160" s="5">
        <v>206788</v>
      </c>
      <c r="X160" s="1"/>
      <c r="Y160" s="1"/>
      <c r="Z160" s="1"/>
      <c r="AA160" s="1"/>
      <c r="AB160" s="1"/>
      <c r="AC160" s="2"/>
      <c r="AD160" s="2"/>
    </row>
    <row r="161" spans="1:30" ht="14.4" x14ac:dyDescent="0.3">
      <c r="A161" s="3">
        <v>46037</v>
      </c>
      <c r="B161" s="4">
        <v>46037</v>
      </c>
      <c r="C161" s="1" t="s">
        <v>365</v>
      </c>
      <c r="D161" s="1" t="s">
        <v>43</v>
      </c>
      <c r="E161" s="1" t="s">
        <v>30</v>
      </c>
      <c r="F161" s="1" t="s">
        <v>74</v>
      </c>
      <c r="G161" s="1" t="s">
        <v>362</v>
      </c>
      <c r="H161" s="44" t="s">
        <v>32</v>
      </c>
      <c r="I161" s="45"/>
      <c r="J161" s="1"/>
      <c r="K161" s="1"/>
      <c r="L161" s="1" t="s">
        <v>36</v>
      </c>
      <c r="M161" s="5">
        <v>976</v>
      </c>
      <c r="N161" s="1" t="s">
        <v>36</v>
      </c>
      <c r="O161" s="5">
        <v>-976</v>
      </c>
      <c r="P161" s="5">
        <v>-976</v>
      </c>
      <c r="Q161" s="1"/>
      <c r="R161" s="5">
        <v>0</v>
      </c>
      <c r="S161" s="1" t="s">
        <v>36</v>
      </c>
      <c r="T161" s="5">
        <v>19118.599999999999</v>
      </c>
      <c r="U161" s="1" t="s">
        <v>37</v>
      </c>
      <c r="V161" s="5">
        <v>39904763</v>
      </c>
      <c r="W161" s="5">
        <v>90128</v>
      </c>
      <c r="X161" s="1"/>
      <c r="Y161" s="1"/>
      <c r="Z161" s="1"/>
      <c r="AA161" s="1"/>
      <c r="AB161" s="1"/>
      <c r="AC161" s="2"/>
      <c r="AD161" s="2"/>
    </row>
    <row r="162" spans="1:30" ht="14.4" x14ac:dyDescent="0.3">
      <c r="A162" s="3">
        <v>46037</v>
      </c>
      <c r="B162" s="4">
        <v>46037</v>
      </c>
      <c r="C162" s="1" t="s">
        <v>366</v>
      </c>
      <c r="D162" s="1" t="s">
        <v>43</v>
      </c>
      <c r="E162" s="1" t="s">
        <v>30</v>
      </c>
      <c r="F162" s="1" t="s">
        <v>44</v>
      </c>
      <c r="G162" s="1" t="s">
        <v>367</v>
      </c>
      <c r="H162" s="44" t="s">
        <v>32</v>
      </c>
      <c r="I162" s="45"/>
      <c r="J162" s="1"/>
      <c r="K162" s="1"/>
      <c r="L162" s="1" t="s">
        <v>36</v>
      </c>
      <c r="M162" s="5">
        <v>130</v>
      </c>
      <c r="N162" s="1" t="s">
        <v>36</v>
      </c>
      <c r="O162" s="5">
        <v>-130</v>
      </c>
      <c r="P162" s="5">
        <v>-130</v>
      </c>
      <c r="Q162" s="1"/>
      <c r="R162" s="5">
        <v>0</v>
      </c>
      <c r="S162" s="1" t="s">
        <v>36</v>
      </c>
      <c r="T162" s="5">
        <v>20094.599999999999</v>
      </c>
      <c r="U162" s="1" t="s">
        <v>37</v>
      </c>
      <c r="V162" s="5">
        <v>81777815</v>
      </c>
      <c r="W162" s="5">
        <v>400234</v>
      </c>
      <c r="X162" s="1"/>
      <c r="Y162" s="1"/>
      <c r="Z162" s="1"/>
      <c r="AA162" s="1"/>
      <c r="AB162" s="1"/>
      <c r="AC162" s="2"/>
      <c r="AD162" s="2"/>
    </row>
    <row r="163" spans="1:30" ht="14.4" x14ac:dyDescent="0.3">
      <c r="A163" s="3">
        <v>46037</v>
      </c>
      <c r="B163" s="4">
        <v>46037</v>
      </c>
      <c r="C163" s="1" t="s">
        <v>368</v>
      </c>
      <c r="D163" s="1" t="s">
        <v>43</v>
      </c>
      <c r="E163" s="1" t="s">
        <v>30</v>
      </c>
      <c r="F163" s="1" t="s">
        <v>79</v>
      </c>
      <c r="G163" s="5">
        <v>10055618</v>
      </c>
      <c r="H163" s="1"/>
      <c r="I163" s="1"/>
      <c r="J163" s="1"/>
      <c r="K163" s="1"/>
      <c r="L163" s="1" t="s">
        <v>36</v>
      </c>
      <c r="M163" s="5">
        <v>52</v>
      </c>
      <c r="N163" s="1" t="s">
        <v>36</v>
      </c>
      <c r="O163" s="5">
        <v>-52</v>
      </c>
      <c r="P163" s="5">
        <v>-52</v>
      </c>
      <c r="Q163" s="1"/>
      <c r="R163" s="5">
        <v>0</v>
      </c>
      <c r="S163" s="1" t="s">
        <v>36</v>
      </c>
      <c r="T163" s="5">
        <v>20224.599999999999</v>
      </c>
      <c r="U163" s="1" t="s">
        <v>37</v>
      </c>
      <c r="V163" s="5">
        <v>31373854</v>
      </c>
      <c r="W163" s="5">
        <v>400250</v>
      </c>
      <c r="X163" s="1"/>
      <c r="Y163" s="1"/>
      <c r="Z163" s="1"/>
      <c r="AA163" s="1"/>
      <c r="AB163" s="1"/>
      <c r="AC163" s="2"/>
      <c r="AD163" s="2"/>
    </row>
    <row r="164" spans="1:30" ht="14.4" x14ac:dyDescent="0.3">
      <c r="A164" s="3">
        <v>46037</v>
      </c>
      <c r="B164" s="4">
        <v>46037</v>
      </c>
      <c r="C164" s="1" t="s">
        <v>369</v>
      </c>
      <c r="D164" s="1" t="s">
        <v>43</v>
      </c>
      <c r="E164" s="1" t="s">
        <v>30</v>
      </c>
      <c r="F164" s="1" t="s">
        <v>79</v>
      </c>
      <c r="G164" s="5">
        <v>10305795</v>
      </c>
      <c r="H164" s="1"/>
      <c r="I164" s="1"/>
      <c r="J164" s="1"/>
      <c r="K164" s="1"/>
      <c r="L164" s="1" t="s">
        <v>36</v>
      </c>
      <c r="M164" s="5">
        <v>100</v>
      </c>
      <c r="N164" s="1" t="s">
        <v>36</v>
      </c>
      <c r="O164" s="5">
        <v>-100</v>
      </c>
      <c r="P164" s="5">
        <v>-100</v>
      </c>
      <c r="Q164" s="1"/>
      <c r="R164" s="5">
        <v>0</v>
      </c>
      <c r="S164" s="1" t="s">
        <v>36</v>
      </c>
      <c r="T164" s="5">
        <v>20276.599999999999</v>
      </c>
      <c r="U164" s="1" t="s">
        <v>37</v>
      </c>
      <c r="V164" s="5">
        <v>31373854</v>
      </c>
      <c r="W164" s="5">
        <v>400250</v>
      </c>
      <c r="X164" s="1"/>
      <c r="Y164" s="1"/>
      <c r="Z164" s="1"/>
      <c r="AA164" s="1"/>
      <c r="AB164" s="1"/>
      <c r="AC164" s="2"/>
      <c r="AD164" s="2"/>
    </row>
    <row r="165" spans="1:30" ht="14.4" x14ac:dyDescent="0.3">
      <c r="A165" s="3">
        <v>46036</v>
      </c>
      <c r="B165" s="4">
        <v>46036</v>
      </c>
      <c r="C165" s="1" t="s">
        <v>370</v>
      </c>
      <c r="D165" s="1" t="s">
        <v>43</v>
      </c>
      <c r="E165" s="1" t="s">
        <v>30</v>
      </c>
      <c r="F165" s="1" t="s">
        <v>66</v>
      </c>
      <c r="G165" s="1" t="s">
        <v>371</v>
      </c>
      <c r="H165" s="44" t="s">
        <v>32</v>
      </c>
      <c r="I165" s="45"/>
      <c r="J165" s="1"/>
      <c r="K165" s="1"/>
      <c r="L165" s="1" t="s">
        <v>36</v>
      </c>
      <c r="M165" s="5">
        <v>150</v>
      </c>
      <c r="N165" s="1" t="s">
        <v>36</v>
      </c>
      <c r="O165" s="5">
        <v>-150</v>
      </c>
      <c r="P165" s="5">
        <v>-150</v>
      </c>
      <c r="Q165" s="1"/>
      <c r="R165" s="5">
        <v>0</v>
      </c>
      <c r="S165" s="1" t="s">
        <v>36</v>
      </c>
      <c r="T165" s="5">
        <v>20376.599999999999</v>
      </c>
      <c r="U165" s="1" t="s">
        <v>37</v>
      </c>
      <c r="V165" s="5">
        <v>47239381</v>
      </c>
      <c r="W165" s="5">
        <v>90128</v>
      </c>
      <c r="X165" s="1"/>
      <c r="Y165" s="1"/>
      <c r="Z165" s="1"/>
      <c r="AA165" s="1"/>
      <c r="AB165" s="1"/>
      <c r="AC165" s="2"/>
      <c r="AD165" s="2"/>
    </row>
    <row r="166" spans="1:30" ht="14.4" x14ac:dyDescent="0.3">
      <c r="A166" s="3">
        <v>46035</v>
      </c>
      <c r="B166" s="4">
        <v>46036</v>
      </c>
      <c r="C166" s="1" t="s">
        <v>372</v>
      </c>
      <c r="D166" s="1" t="s">
        <v>29</v>
      </c>
      <c r="E166" s="1" t="s">
        <v>30</v>
      </c>
      <c r="F166" s="44" t="s">
        <v>94</v>
      </c>
      <c r="G166" s="45"/>
      <c r="H166" s="1" t="s">
        <v>32</v>
      </c>
      <c r="I166" s="1" t="s">
        <v>40</v>
      </c>
      <c r="J166" s="1" t="s">
        <v>41</v>
      </c>
      <c r="K166" s="1" t="s">
        <v>35</v>
      </c>
      <c r="L166" s="1" t="s">
        <v>36</v>
      </c>
      <c r="M166" s="5">
        <v>42.5</v>
      </c>
      <c r="N166" s="1" t="s">
        <v>36</v>
      </c>
      <c r="O166" s="5">
        <v>-42.5</v>
      </c>
      <c r="P166" s="5">
        <v>-42.5</v>
      </c>
      <c r="Q166" s="1"/>
      <c r="R166" s="5">
        <v>0</v>
      </c>
      <c r="S166" s="1" t="s">
        <v>36</v>
      </c>
      <c r="T166" s="5">
        <v>20526.599999999999</v>
      </c>
      <c r="U166" s="1" t="s">
        <v>37</v>
      </c>
      <c r="V166" s="1"/>
      <c r="W166" s="1"/>
      <c r="X166" s="1"/>
      <c r="Y166" s="1"/>
      <c r="Z166" s="5">
        <v>7399</v>
      </c>
      <c r="AA166" s="1"/>
      <c r="AB166" s="1"/>
      <c r="AC166" s="2"/>
      <c r="AD166" s="2"/>
    </row>
    <row r="167" spans="1:30" ht="14.4" x14ac:dyDescent="0.3">
      <c r="A167" s="3">
        <v>46035</v>
      </c>
      <c r="B167" s="4">
        <v>46036</v>
      </c>
      <c r="C167" s="1" t="s">
        <v>373</v>
      </c>
      <c r="D167" s="1" t="s">
        <v>29</v>
      </c>
      <c r="E167" s="1" t="s">
        <v>30</v>
      </c>
      <c r="F167" s="44" t="s">
        <v>374</v>
      </c>
      <c r="G167" s="45"/>
      <c r="H167" s="1" t="s">
        <v>32</v>
      </c>
      <c r="I167" s="1" t="s">
        <v>40</v>
      </c>
      <c r="J167" s="1" t="s">
        <v>41</v>
      </c>
      <c r="K167" s="1" t="s">
        <v>35</v>
      </c>
      <c r="L167" s="1" t="s">
        <v>36</v>
      </c>
      <c r="M167" s="5">
        <v>2.2999999999999998</v>
      </c>
      <c r="N167" s="1" t="s">
        <v>36</v>
      </c>
      <c r="O167" s="5">
        <v>-2.2999999999999998</v>
      </c>
      <c r="P167" s="5">
        <v>-2.2999999999999998</v>
      </c>
      <c r="Q167" s="1"/>
      <c r="R167" s="5">
        <v>0</v>
      </c>
      <c r="S167" s="1" t="s">
        <v>36</v>
      </c>
      <c r="T167" s="5">
        <v>20569.099999999999</v>
      </c>
      <c r="U167" s="1" t="s">
        <v>37</v>
      </c>
      <c r="V167" s="1"/>
      <c r="W167" s="1"/>
      <c r="X167" s="1"/>
      <c r="Y167" s="1"/>
      <c r="Z167" s="5">
        <v>4111</v>
      </c>
      <c r="AA167" s="1"/>
      <c r="AB167" s="1"/>
      <c r="AC167" s="2"/>
      <c r="AD167" s="2"/>
    </row>
    <row r="168" spans="1:30" ht="14.4" x14ac:dyDescent="0.3">
      <c r="A168" s="3">
        <v>46036</v>
      </c>
      <c r="B168" s="4">
        <v>46036</v>
      </c>
      <c r="C168" s="1" t="s">
        <v>375</v>
      </c>
      <c r="D168" s="1" t="s">
        <v>52</v>
      </c>
      <c r="E168" s="1" t="s">
        <v>30</v>
      </c>
      <c r="F168" s="1" t="s">
        <v>53</v>
      </c>
      <c r="G168" s="44" t="s">
        <v>150</v>
      </c>
      <c r="H168" s="45"/>
      <c r="I168" s="1"/>
      <c r="J168" s="1"/>
      <c r="K168" s="1"/>
      <c r="L168" s="1" t="s">
        <v>36</v>
      </c>
      <c r="M168" s="5">
        <v>3000</v>
      </c>
      <c r="N168" s="1" t="s">
        <v>36</v>
      </c>
      <c r="O168" s="5">
        <v>3000</v>
      </c>
      <c r="P168" s="5">
        <v>3000</v>
      </c>
      <c r="Q168" s="1"/>
      <c r="R168" s="5">
        <v>0</v>
      </c>
      <c r="S168" s="1" t="s">
        <v>36</v>
      </c>
      <c r="T168" s="5">
        <v>20571.400000000001</v>
      </c>
      <c r="U168" s="1" t="s">
        <v>37</v>
      </c>
      <c r="V168" s="1"/>
      <c r="W168" s="1"/>
      <c r="X168" s="1"/>
      <c r="Y168" s="1"/>
      <c r="Z168" s="1"/>
      <c r="AA168" s="1"/>
      <c r="AB168" s="1"/>
      <c r="AC168" s="2"/>
      <c r="AD168" s="2"/>
    </row>
    <row r="169" spans="1:30" ht="14.4" x14ac:dyDescent="0.3">
      <c r="A169" s="3">
        <v>46035</v>
      </c>
      <c r="B169" s="4">
        <v>46035</v>
      </c>
      <c r="C169" s="1" t="s">
        <v>376</v>
      </c>
      <c r="D169" s="1" t="s">
        <v>43</v>
      </c>
      <c r="E169" s="1" t="s">
        <v>30</v>
      </c>
      <c r="F169" s="1" t="s">
        <v>111</v>
      </c>
      <c r="G169" s="1" t="s">
        <v>377</v>
      </c>
      <c r="H169" s="44" t="s">
        <v>32</v>
      </c>
      <c r="I169" s="45"/>
      <c r="J169" s="1"/>
      <c r="K169" s="1"/>
      <c r="L169" s="1" t="s">
        <v>36</v>
      </c>
      <c r="M169" s="5">
        <v>110</v>
      </c>
      <c r="N169" s="1" t="s">
        <v>36</v>
      </c>
      <c r="O169" s="5">
        <v>-110</v>
      </c>
      <c r="P169" s="5">
        <v>-110</v>
      </c>
      <c r="Q169" s="1"/>
      <c r="R169" s="5">
        <v>0</v>
      </c>
      <c r="S169" s="1" t="s">
        <v>36</v>
      </c>
      <c r="T169" s="5">
        <v>17571.400000000001</v>
      </c>
      <c r="U169" s="1" t="s">
        <v>37</v>
      </c>
      <c r="V169" s="5">
        <v>53132022</v>
      </c>
      <c r="W169" s="5">
        <v>230580</v>
      </c>
      <c r="X169" s="1"/>
      <c r="Y169" s="1"/>
      <c r="Z169" s="1"/>
      <c r="AA169" s="1"/>
      <c r="AB169" s="1"/>
      <c r="AC169" s="2"/>
      <c r="AD169" s="2"/>
    </row>
    <row r="170" spans="1:30" ht="14.4" x14ac:dyDescent="0.3">
      <c r="A170" s="3">
        <v>46035</v>
      </c>
      <c r="B170" s="4">
        <v>46035</v>
      </c>
      <c r="C170" s="1" t="s">
        <v>378</v>
      </c>
      <c r="D170" s="1" t="s">
        <v>52</v>
      </c>
      <c r="E170" s="1" t="s">
        <v>30</v>
      </c>
      <c r="F170" s="1" t="s">
        <v>103</v>
      </c>
      <c r="G170" s="44" t="s">
        <v>379</v>
      </c>
      <c r="H170" s="45"/>
      <c r="I170" s="45"/>
      <c r="J170" s="1"/>
      <c r="K170" s="1"/>
      <c r="L170" s="1" t="s">
        <v>36</v>
      </c>
      <c r="M170" s="5">
        <v>416.16</v>
      </c>
      <c r="N170" s="1" t="s">
        <v>36</v>
      </c>
      <c r="O170" s="5">
        <v>416.16</v>
      </c>
      <c r="P170" s="5">
        <v>416.16</v>
      </c>
      <c r="Q170" s="1"/>
      <c r="R170" s="5">
        <v>0</v>
      </c>
      <c r="S170" s="1" t="s">
        <v>36</v>
      </c>
      <c r="T170" s="5">
        <v>17681.400000000001</v>
      </c>
      <c r="U170" s="1" t="s">
        <v>37</v>
      </c>
      <c r="V170" s="1"/>
      <c r="W170" s="1"/>
      <c r="X170" s="1"/>
      <c r="Y170" s="1"/>
      <c r="Z170" s="1"/>
      <c r="AA170" s="1"/>
      <c r="AB170" s="1"/>
      <c r="AC170" s="2"/>
      <c r="AD170" s="2"/>
    </row>
    <row r="171" spans="1:30" ht="14.4" x14ac:dyDescent="0.3">
      <c r="A171" s="3">
        <v>46034</v>
      </c>
      <c r="B171" s="4">
        <v>46035</v>
      </c>
      <c r="C171" s="1" t="s">
        <v>380</v>
      </c>
      <c r="D171" s="1" t="s">
        <v>29</v>
      </c>
      <c r="E171" s="1" t="s">
        <v>30</v>
      </c>
      <c r="F171" s="44" t="s">
        <v>63</v>
      </c>
      <c r="G171" s="45"/>
      <c r="H171" s="1" t="s">
        <v>32</v>
      </c>
      <c r="I171" s="1" t="s">
        <v>40</v>
      </c>
      <c r="J171" s="1" t="s">
        <v>41</v>
      </c>
      <c r="K171" s="1" t="s">
        <v>35</v>
      </c>
      <c r="L171" s="1" t="s">
        <v>36</v>
      </c>
      <c r="M171" s="5">
        <v>7</v>
      </c>
      <c r="N171" s="1" t="s">
        <v>36</v>
      </c>
      <c r="O171" s="5">
        <v>-7</v>
      </c>
      <c r="P171" s="5">
        <v>-7</v>
      </c>
      <c r="Q171" s="1"/>
      <c r="R171" s="5">
        <v>0</v>
      </c>
      <c r="S171" s="1" t="s">
        <v>36</v>
      </c>
      <c r="T171" s="5">
        <v>17265.240000000002</v>
      </c>
      <c r="U171" s="1" t="s">
        <v>37</v>
      </c>
      <c r="V171" s="1"/>
      <c r="W171" s="1"/>
      <c r="X171" s="1"/>
      <c r="Y171" s="1"/>
      <c r="Z171" s="5">
        <v>7523</v>
      </c>
      <c r="AA171" s="1"/>
      <c r="AB171" s="1"/>
      <c r="AC171" s="2"/>
      <c r="AD171" s="2"/>
    </row>
    <row r="172" spans="1:30" ht="14.4" x14ac:dyDescent="0.3">
      <c r="A172" s="3">
        <v>46034</v>
      </c>
      <c r="B172" s="4">
        <v>46035</v>
      </c>
      <c r="C172" s="1" t="s">
        <v>381</v>
      </c>
      <c r="D172" s="1" t="s">
        <v>29</v>
      </c>
      <c r="E172" s="1" t="s">
        <v>30</v>
      </c>
      <c r="F172" s="44" t="s">
        <v>382</v>
      </c>
      <c r="G172" s="45"/>
      <c r="H172" s="1" t="s">
        <v>32</v>
      </c>
      <c r="I172" s="1" t="s">
        <v>40</v>
      </c>
      <c r="J172" s="1" t="s">
        <v>41</v>
      </c>
      <c r="K172" s="1" t="s">
        <v>35</v>
      </c>
      <c r="L172" s="1" t="s">
        <v>36</v>
      </c>
      <c r="M172" s="5">
        <v>60</v>
      </c>
      <c r="N172" s="1" t="s">
        <v>36</v>
      </c>
      <c r="O172" s="5">
        <v>-60</v>
      </c>
      <c r="P172" s="5">
        <v>-60</v>
      </c>
      <c r="Q172" s="1"/>
      <c r="R172" s="5">
        <v>0</v>
      </c>
      <c r="S172" s="1" t="s">
        <v>36</v>
      </c>
      <c r="T172" s="5">
        <v>17272.240000000002</v>
      </c>
      <c r="U172" s="1" t="s">
        <v>37</v>
      </c>
      <c r="V172" s="1"/>
      <c r="W172" s="1"/>
      <c r="X172" s="1"/>
      <c r="Y172" s="1"/>
      <c r="Z172" s="5">
        <v>5532</v>
      </c>
      <c r="AA172" s="1"/>
      <c r="AB172" s="1"/>
      <c r="AC172" s="2"/>
      <c r="AD172" s="2"/>
    </row>
    <row r="173" spans="1:30" ht="14.4" x14ac:dyDescent="0.3">
      <c r="A173" s="3">
        <v>46034</v>
      </c>
      <c r="B173" s="4">
        <v>46034</v>
      </c>
      <c r="C173" s="1" t="s">
        <v>383</v>
      </c>
      <c r="D173" s="1" t="s">
        <v>43</v>
      </c>
      <c r="E173" s="1" t="s">
        <v>30</v>
      </c>
      <c r="F173" s="1" t="s">
        <v>168</v>
      </c>
      <c r="G173" s="5">
        <v>2617763</v>
      </c>
      <c r="H173" s="1"/>
      <c r="I173" s="1"/>
      <c r="J173" s="1"/>
      <c r="K173" s="1"/>
      <c r="L173" s="1" t="s">
        <v>36</v>
      </c>
      <c r="M173" s="5">
        <v>6.3</v>
      </c>
      <c r="N173" s="1" t="s">
        <v>36</v>
      </c>
      <c r="O173" s="5">
        <v>-6.3</v>
      </c>
      <c r="P173" s="5">
        <v>-6.3</v>
      </c>
      <c r="Q173" s="1"/>
      <c r="R173" s="5">
        <v>0</v>
      </c>
      <c r="S173" s="1" t="s">
        <v>36</v>
      </c>
      <c r="T173" s="5">
        <v>17332.240000000002</v>
      </c>
      <c r="U173" s="1" t="s">
        <v>37</v>
      </c>
      <c r="V173" s="5">
        <v>20390720</v>
      </c>
      <c r="W173" s="5">
        <v>205385</v>
      </c>
      <c r="X173" s="1"/>
      <c r="Y173" s="1"/>
      <c r="Z173" s="1"/>
      <c r="AA173" s="1"/>
      <c r="AB173" s="1"/>
      <c r="AC173" s="2"/>
      <c r="AD173" s="2"/>
    </row>
    <row r="174" spans="1:30" ht="14.4" x14ac:dyDescent="0.3">
      <c r="A174" s="3">
        <v>46034</v>
      </c>
      <c r="B174" s="4">
        <v>46034</v>
      </c>
      <c r="C174" s="1" t="s">
        <v>384</v>
      </c>
      <c r="D174" s="1" t="s">
        <v>43</v>
      </c>
      <c r="E174" s="1" t="s">
        <v>30</v>
      </c>
      <c r="F174" s="1" t="s">
        <v>161</v>
      </c>
      <c r="G174" s="8">
        <v>109000000</v>
      </c>
      <c r="H174" s="1"/>
      <c r="I174" s="1"/>
      <c r="J174" s="1"/>
      <c r="K174" s="1"/>
      <c r="L174" s="1" t="s">
        <v>36</v>
      </c>
      <c r="M174" s="5">
        <v>1405.36</v>
      </c>
      <c r="N174" s="1" t="s">
        <v>36</v>
      </c>
      <c r="O174" s="5">
        <v>-1405.36</v>
      </c>
      <c r="P174" s="5">
        <v>-1405.36</v>
      </c>
      <c r="Q174" s="1"/>
      <c r="R174" s="5">
        <v>0</v>
      </c>
      <c r="S174" s="1" t="s">
        <v>36</v>
      </c>
      <c r="T174" s="5">
        <v>17338.54</v>
      </c>
      <c r="U174" s="1" t="s">
        <v>37</v>
      </c>
      <c r="V174" s="5">
        <v>3921697</v>
      </c>
      <c r="W174" s="5">
        <v>201147</v>
      </c>
      <c r="X174" s="1"/>
      <c r="Y174" s="1"/>
      <c r="Z174" s="1"/>
      <c r="AA174" s="1"/>
      <c r="AB174" s="1"/>
      <c r="AC174" s="2"/>
      <c r="AD174" s="2"/>
    </row>
    <row r="175" spans="1:30" ht="14.4" x14ac:dyDescent="0.3">
      <c r="A175" s="3">
        <v>46033</v>
      </c>
      <c r="B175" s="4">
        <v>46034</v>
      </c>
      <c r="C175" s="1" t="s">
        <v>385</v>
      </c>
      <c r="D175" s="1" t="s">
        <v>29</v>
      </c>
      <c r="E175" s="1" t="s">
        <v>30</v>
      </c>
      <c r="F175" s="44" t="s">
        <v>347</v>
      </c>
      <c r="G175" s="45"/>
      <c r="H175" s="1" t="s">
        <v>32</v>
      </c>
      <c r="I175" s="1" t="s">
        <v>40</v>
      </c>
      <c r="J175" s="1" t="s">
        <v>41</v>
      </c>
      <c r="K175" s="1" t="s">
        <v>35</v>
      </c>
      <c r="L175" s="1" t="s">
        <v>36</v>
      </c>
      <c r="M175" s="5">
        <v>12.5</v>
      </c>
      <c r="N175" s="1" t="s">
        <v>36</v>
      </c>
      <c r="O175" s="5">
        <v>-12.5</v>
      </c>
      <c r="P175" s="5">
        <v>-12.5</v>
      </c>
      <c r="Q175" s="1"/>
      <c r="R175" s="5">
        <v>0</v>
      </c>
      <c r="S175" s="1" t="s">
        <v>36</v>
      </c>
      <c r="T175" s="5">
        <v>18743.900000000001</v>
      </c>
      <c r="U175" s="1" t="s">
        <v>37</v>
      </c>
      <c r="V175" s="1"/>
      <c r="W175" s="1"/>
      <c r="X175" s="1"/>
      <c r="Y175" s="1"/>
      <c r="Z175" s="5">
        <v>7523</v>
      </c>
      <c r="AA175" s="1"/>
      <c r="AB175" s="1"/>
      <c r="AC175" s="2"/>
      <c r="AD175" s="2"/>
    </row>
    <row r="176" spans="1:30" ht="14.4" x14ac:dyDescent="0.3">
      <c r="A176" s="3">
        <v>46032</v>
      </c>
      <c r="B176" s="4">
        <v>46033</v>
      </c>
      <c r="C176" s="1" t="s">
        <v>386</v>
      </c>
      <c r="D176" s="1" t="s">
        <v>29</v>
      </c>
      <c r="E176" s="1" t="s">
        <v>30</v>
      </c>
      <c r="F176" s="44" t="s">
        <v>63</v>
      </c>
      <c r="G176" s="45"/>
      <c r="H176" s="1" t="s">
        <v>32</v>
      </c>
      <c r="I176" s="1" t="s">
        <v>40</v>
      </c>
      <c r="J176" s="1" t="s">
        <v>41</v>
      </c>
      <c r="K176" s="1" t="s">
        <v>35</v>
      </c>
      <c r="L176" s="1" t="s">
        <v>36</v>
      </c>
      <c r="M176" s="5">
        <v>7</v>
      </c>
      <c r="N176" s="1" t="s">
        <v>36</v>
      </c>
      <c r="O176" s="5">
        <v>-7</v>
      </c>
      <c r="P176" s="5">
        <v>-7</v>
      </c>
      <c r="Q176" s="1"/>
      <c r="R176" s="5">
        <v>0</v>
      </c>
      <c r="S176" s="1" t="s">
        <v>36</v>
      </c>
      <c r="T176" s="5">
        <v>18756.400000000001</v>
      </c>
      <c r="U176" s="1" t="s">
        <v>37</v>
      </c>
      <c r="V176" s="1"/>
      <c r="W176" s="1"/>
      <c r="X176" s="1"/>
      <c r="Y176" s="1"/>
      <c r="Z176" s="5">
        <v>7523</v>
      </c>
      <c r="AA176" s="1"/>
      <c r="AB176" s="1"/>
      <c r="AC176" s="2"/>
      <c r="AD176" s="2"/>
    </row>
    <row r="177" spans="1:30" ht="14.4" x14ac:dyDescent="0.3">
      <c r="A177" s="3">
        <v>46032</v>
      </c>
      <c r="B177" s="4">
        <v>46032</v>
      </c>
      <c r="C177" s="1" t="s">
        <v>387</v>
      </c>
      <c r="D177" s="1" t="s">
        <v>29</v>
      </c>
      <c r="E177" s="1" t="s">
        <v>30</v>
      </c>
      <c r="F177" s="44" t="s">
        <v>152</v>
      </c>
      <c r="G177" s="45"/>
      <c r="H177" s="1" t="s">
        <v>32</v>
      </c>
      <c r="I177" s="1" t="s">
        <v>40</v>
      </c>
      <c r="J177" s="1" t="s">
        <v>41</v>
      </c>
      <c r="K177" s="1" t="s">
        <v>35</v>
      </c>
      <c r="L177" s="1" t="s">
        <v>153</v>
      </c>
      <c r="M177" s="5">
        <v>6</v>
      </c>
      <c r="N177" s="1" t="s">
        <v>36</v>
      </c>
      <c r="O177" s="5">
        <v>-4.49</v>
      </c>
      <c r="P177" s="5">
        <v>-4.53</v>
      </c>
      <c r="Q177" s="5">
        <v>1.338662</v>
      </c>
      <c r="R177" s="5">
        <v>-0.04</v>
      </c>
      <c r="S177" s="1" t="s">
        <v>36</v>
      </c>
      <c r="T177" s="5">
        <v>18763.400000000001</v>
      </c>
      <c r="U177" s="1" t="s">
        <v>37</v>
      </c>
      <c r="V177" s="1"/>
      <c r="W177" s="1"/>
      <c r="X177" s="1"/>
      <c r="Y177" s="1"/>
      <c r="Z177" s="5">
        <v>5734</v>
      </c>
      <c r="AA177" s="1"/>
      <c r="AB177" s="1"/>
      <c r="AC177" s="2"/>
      <c r="AD177" s="2"/>
    </row>
    <row r="178" spans="1:30" ht="14.4" x14ac:dyDescent="0.3">
      <c r="A178" s="3">
        <v>46031</v>
      </c>
      <c r="B178" s="4">
        <v>46031</v>
      </c>
      <c r="C178" s="1" t="s">
        <v>388</v>
      </c>
      <c r="D178" s="1" t="s">
        <v>43</v>
      </c>
      <c r="E178" s="1" t="s">
        <v>30</v>
      </c>
      <c r="F178" s="1" t="s">
        <v>111</v>
      </c>
      <c r="G178" s="1" t="s">
        <v>389</v>
      </c>
      <c r="H178" s="44" t="s">
        <v>32</v>
      </c>
      <c r="I178" s="45"/>
      <c r="J178" s="1"/>
      <c r="K178" s="1"/>
      <c r="L178" s="1" t="s">
        <v>36</v>
      </c>
      <c r="M178" s="5">
        <v>185.2</v>
      </c>
      <c r="N178" s="1" t="s">
        <v>36</v>
      </c>
      <c r="O178" s="5">
        <v>-185.2</v>
      </c>
      <c r="P178" s="5">
        <v>-185.2</v>
      </c>
      <c r="Q178" s="1"/>
      <c r="R178" s="5">
        <v>0</v>
      </c>
      <c r="S178" s="1" t="s">
        <v>36</v>
      </c>
      <c r="T178" s="5">
        <v>18767.93</v>
      </c>
      <c r="U178" s="1" t="s">
        <v>37</v>
      </c>
      <c r="V178" s="5">
        <v>53132022</v>
      </c>
      <c r="W178" s="5">
        <v>230580</v>
      </c>
      <c r="X178" s="1"/>
      <c r="Y178" s="1"/>
      <c r="Z178" s="1"/>
      <c r="AA178" s="1"/>
      <c r="AB178" s="1"/>
      <c r="AC178" s="2"/>
      <c r="AD178" s="2"/>
    </row>
    <row r="179" spans="1:30" ht="14.4" x14ac:dyDescent="0.3">
      <c r="A179" s="3">
        <v>46030</v>
      </c>
      <c r="B179" s="4">
        <v>46030</v>
      </c>
      <c r="C179" s="1" t="s">
        <v>390</v>
      </c>
      <c r="D179" s="1" t="s">
        <v>52</v>
      </c>
      <c r="E179" s="1" t="s">
        <v>30</v>
      </c>
      <c r="F179" s="1" t="s">
        <v>108</v>
      </c>
      <c r="G179" s="44" t="s">
        <v>391</v>
      </c>
      <c r="H179" s="45"/>
      <c r="I179" s="1"/>
      <c r="J179" s="1"/>
      <c r="K179" s="1"/>
      <c r="L179" s="1" t="s">
        <v>36</v>
      </c>
      <c r="M179" s="5">
        <v>2300</v>
      </c>
      <c r="N179" s="1" t="s">
        <v>36</v>
      </c>
      <c r="O179" s="5">
        <v>2300</v>
      </c>
      <c r="P179" s="5">
        <v>2300</v>
      </c>
      <c r="Q179" s="1"/>
      <c r="R179" s="5">
        <v>0</v>
      </c>
      <c r="S179" s="1" t="s">
        <v>36</v>
      </c>
      <c r="T179" s="5">
        <v>18953.13</v>
      </c>
      <c r="U179" s="1" t="s">
        <v>37</v>
      </c>
      <c r="V179" s="1"/>
      <c r="W179" s="1"/>
      <c r="X179" s="1"/>
      <c r="Y179" s="1"/>
      <c r="Z179" s="1"/>
      <c r="AA179" s="1"/>
      <c r="AB179" s="1"/>
      <c r="AC179" s="2"/>
      <c r="AD179" s="2"/>
    </row>
    <row r="180" spans="1:30" ht="14.4" x14ac:dyDescent="0.3">
      <c r="A180" s="3">
        <v>46030</v>
      </c>
      <c r="B180" s="4">
        <v>46030</v>
      </c>
      <c r="C180" s="1" t="s">
        <v>392</v>
      </c>
      <c r="D180" s="1" t="s">
        <v>43</v>
      </c>
      <c r="E180" s="1" t="s">
        <v>30</v>
      </c>
      <c r="F180" s="1" t="s">
        <v>393</v>
      </c>
      <c r="G180" s="1" t="s">
        <v>394</v>
      </c>
      <c r="H180" s="44" t="s">
        <v>32</v>
      </c>
      <c r="I180" s="45"/>
      <c r="J180" s="1"/>
      <c r="K180" s="1"/>
      <c r="L180" s="1" t="s">
        <v>36</v>
      </c>
      <c r="M180" s="5">
        <v>3260</v>
      </c>
      <c r="N180" s="1" t="s">
        <v>36</v>
      </c>
      <c r="O180" s="5">
        <v>-3260</v>
      </c>
      <c r="P180" s="5">
        <v>-3260</v>
      </c>
      <c r="Q180" s="1"/>
      <c r="R180" s="5">
        <v>0</v>
      </c>
      <c r="S180" s="1" t="s">
        <v>36</v>
      </c>
      <c r="T180" s="5">
        <v>16653.13</v>
      </c>
      <c r="U180" s="1" t="s">
        <v>37</v>
      </c>
      <c r="V180" s="5">
        <v>41448654</v>
      </c>
      <c r="W180" s="5">
        <v>90129</v>
      </c>
      <c r="X180" s="1"/>
      <c r="Y180" s="1"/>
      <c r="Z180" s="1"/>
      <c r="AA180" s="1"/>
      <c r="AB180" s="1"/>
      <c r="AC180" s="2"/>
      <c r="AD180" s="2"/>
    </row>
    <row r="181" spans="1:30" ht="14.4" x14ac:dyDescent="0.3">
      <c r="A181" s="3">
        <v>46030</v>
      </c>
      <c r="B181" s="4">
        <v>46030</v>
      </c>
      <c r="C181" s="1" t="s">
        <v>395</v>
      </c>
      <c r="D181" s="1" t="s">
        <v>52</v>
      </c>
      <c r="E181" s="1" t="s">
        <v>30</v>
      </c>
      <c r="F181" s="1" t="s">
        <v>76</v>
      </c>
      <c r="G181" s="44" t="s">
        <v>396</v>
      </c>
      <c r="H181" s="45"/>
      <c r="I181" s="1"/>
      <c r="J181" s="1"/>
      <c r="K181" s="1"/>
      <c r="L181" s="1" t="s">
        <v>36</v>
      </c>
      <c r="M181" s="5">
        <v>2910</v>
      </c>
      <c r="N181" s="1" t="s">
        <v>36</v>
      </c>
      <c r="O181" s="5">
        <v>2910</v>
      </c>
      <c r="P181" s="5">
        <v>2910</v>
      </c>
      <c r="Q181" s="1"/>
      <c r="R181" s="5">
        <v>0</v>
      </c>
      <c r="S181" s="1" t="s">
        <v>36</v>
      </c>
      <c r="T181" s="5">
        <v>19913.13</v>
      </c>
      <c r="U181" s="1" t="s">
        <v>37</v>
      </c>
      <c r="V181" s="1"/>
      <c r="W181" s="1"/>
      <c r="X181" s="1"/>
      <c r="Y181" s="1"/>
      <c r="Z181" s="1"/>
      <c r="AA181" s="1"/>
      <c r="AB181" s="1"/>
      <c r="AC181" s="2"/>
      <c r="AD181" s="2"/>
    </row>
    <row r="182" spans="1:30" ht="14.4" x14ac:dyDescent="0.3">
      <c r="A182" s="3">
        <v>46030</v>
      </c>
      <c r="B182" s="4">
        <v>46030</v>
      </c>
      <c r="C182" s="1" t="s">
        <v>397</v>
      </c>
      <c r="D182" s="1" t="s">
        <v>52</v>
      </c>
      <c r="E182" s="1" t="s">
        <v>30</v>
      </c>
      <c r="F182" s="1" t="s">
        <v>53</v>
      </c>
      <c r="G182" s="1" t="s">
        <v>398</v>
      </c>
      <c r="H182" s="1"/>
      <c r="I182" s="1"/>
      <c r="J182" s="1"/>
      <c r="K182" s="1"/>
      <c r="L182" s="1" t="s">
        <v>36</v>
      </c>
      <c r="M182" s="5">
        <v>10000</v>
      </c>
      <c r="N182" s="1" t="s">
        <v>36</v>
      </c>
      <c r="O182" s="5">
        <v>10000</v>
      </c>
      <c r="P182" s="5">
        <v>10000</v>
      </c>
      <c r="Q182" s="1"/>
      <c r="R182" s="5">
        <v>0</v>
      </c>
      <c r="S182" s="1" t="s">
        <v>36</v>
      </c>
      <c r="T182" s="5">
        <v>17003.13</v>
      </c>
      <c r="U182" s="1" t="s">
        <v>37</v>
      </c>
      <c r="V182" s="1"/>
      <c r="W182" s="1"/>
      <c r="X182" s="1"/>
      <c r="Y182" s="1"/>
      <c r="Z182" s="1"/>
      <c r="AA182" s="1"/>
      <c r="AB182" s="1"/>
      <c r="AC182" s="2"/>
      <c r="AD182" s="2"/>
    </row>
    <row r="183" spans="1:30" ht="14.4" x14ac:dyDescent="0.3">
      <c r="A183" s="3">
        <v>46030</v>
      </c>
      <c r="B183" s="4">
        <v>46030</v>
      </c>
      <c r="C183" s="1" t="s">
        <v>399</v>
      </c>
      <c r="D183" s="1" t="s">
        <v>175</v>
      </c>
      <c r="E183" s="1" t="s">
        <v>30</v>
      </c>
      <c r="F183" s="1" t="s">
        <v>176</v>
      </c>
      <c r="G183" s="44" t="s">
        <v>177</v>
      </c>
      <c r="H183" s="45"/>
      <c r="I183" s="1"/>
      <c r="J183" s="1"/>
      <c r="K183" s="1"/>
      <c r="L183" s="1" t="s">
        <v>36</v>
      </c>
      <c r="M183" s="5">
        <v>10</v>
      </c>
      <c r="N183" s="1" t="s">
        <v>36</v>
      </c>
      <c r="O183" s="5">
        <v>-10</v>
      </c>
      <c r="P183" s="5">
        <v>-10</v>
      </c>
      <c r="Q183" s="1"/>
      <c r="R183" s="5">
        <v>0</v>
      </c>
      <c r="S183" s="1" t="s">
        <v>36</v>
      </c>
      <c r="T183" s="5">
        <v>7003.13</v>
      </c>
      <c r="U183" s="1" t="s">
        <v>37</v>
      </c>
      <c r="V183" s="1"/>
      <c r="W183" s="1"/>
      <c r="X183" s="1"/>
      <c r="Y183" s="1"/>
      <c r="Z183" s="1"/>
      <c r="AA183" s="1"/>
      <c r="AB183" s="1"/>
      <c r="AC183" s="2"/>
      <c r="AD183" s="2"/>
    </row>
    <row r="184" spans="1:30" ht="14.4" x14ac:dyDescent="0.3">
      <c r="A184" s="3">
        <v>46029</v>
      </c>
      <c r="B184" s="4">
        <v>46030</v>
      </c>
      <c r="C184" s="1" t="s">
        <v>400</v>
      </c>
      <c r="D184" s="1" t="s">
        <v>29</v>
      </c>
      <c r="E184" s="1" t="s">
        <v>30</v>
      </c>
      <c r="F184" s="44" t="s">
        <v>401</v>
      </c>
      <c r="G184" s="45"/>
      <c r="H184" s="1" t="s">
        <v>32</v>
      </c>
      <c r="I184" s="1" t="s">
        <v>40</v>
      </c>
      <c r="J184" s="1" t="s">
        <v>41</v>
      </c>
      <c r="K184" s="1" t="s">
        <v>35</v>
      </c>
      <c r="L184" s="1" t="s">
        <v>36</v>
      </c>
      <c r="M184" s="5">
        <v>80</v>
      </c>
      <c r="N184" s="1" t="s">
        <v>36</v>
      </c>
      <c r="O184" s="5">
        <v>-80</v>
      </c>
      <c r="P184" s="5">
        <v>-80</v>
      </c>
      <c r="Q184" s="1"/>
      <c r="R184" s="5">
        <v>0</v>
      </c>
      <c r="S184" s="1" t="s">
        <v>36</v>
      </c>
      <c r="T184" s="5">
        <v>7013.13</v>
      </c>
      <c r="U184" s="1" t="s">
        <v>37</v>
      </c>
      <c r="V184" s="1"/>
      <c r="W184" s="1"/>
      <c r="X184" s="1"/>
      <c r="Y184" s="1"/>
      <c r="Z184" s="5">
        <v>9399</v>
      </c>
      <c r="AA184" s="1"/>
      <c r="AB184" s="1"/>
      <c r="AC184" s="2"/>
      <c r="AD184" s="2"/>
    </row>
    <row r="185" spans="1:30" ht="14.4" x14ac:dyDescent="0.3">
      <c r="A185" s="3">
        <v>46029</v>
      </c>
      <c r="B185" s="4">
        <v>46029</v>
      </c>
      <c r="C185" s="1" t="s">
        <v>402</v>
      </c>
      <c r="D185" s="1" t="s">
        <v>52</v>
      </c>
      <c r="E185" s="1" t="s">
        <v>30</v>
      </c>
      <c r="F185" s="1" t="s">
        <v>135</v>
      </c>
      <c r="G185" s="44" t="s">
        <v>136</v>
      </c>
      <c r="H185" s="45"/>
      <c r="I185" s="1"/>
      <c r="J185" s="1"/>
      <c r="K185" s="1"/>
      <c r="L185" s="1" t="s">
        <v>36</v>
      </c>
      <c r="M185" s="5">
        <v>370</v>
      </c>
      <c r="N185" s="1" t="s">
        <v>36</v>
      </c>
      <c r="O185" s="5">
        <v>370</v>
      </c>
      <c r="P185" s="5">
        <v>370</v>
      </c>
      <c r="Q185" s="1"/>
      <c r="R185" s="5">
        <v>0</v>
      </c>
      <c r="S185" s="1" t="s">
        <v>36</v>
      </c>
      <c r="T185" s="5">
        <v>7093.13</v>
      </c>
      <c r="U185" s="1" t="s">
        <v>37</v>
      </c>
      <c r="V185" s="1"/>
      <c r="W185" s="1"/>
      <c r="X185" s="1"/>
      <c r="Y185" s="1"/>
      <c r="Z185" s="1"/>
      <c r="AA185" s="1"/>
      <c r="AB185" s="1"/>
      <c r="AC185" s="2"/>
      <c r="AD185" s="2"/>
    </row>
    <row r="186" spans="1:30" ht="14.4" x14ac:dyDescent="0.3">
      <c r="A186" s="3">
        <v>46028</v>
      </c>
      <c r="B186" s="4">
        <v>46029</v>
      </c>
      <c r="C186" s="1" t="s">
        <v>403</v>
      </c>
      <c r="D186" s="1" t="s">
        <v>29</v>
      </c>
      <c r="E186" s="1" t="s">
        <v>30</v>
      </c>
      <c r="F186" s="44" t="s">
        <v>63</v>
      </c>
      <c r="G186" s="45"/>
      <c r="H186" s="1" t="s">
        <v>32</v>
      </c>
      <c r="I186" s="1" t="s">
        <v>40</v>
      </c>
      <c r="J186" s="1" t="s">
        <v>41</v>
      </c>
      <c r="K186" s="1" t="s">
        <v>35</v>
      </c>
      <c r="L186" s="1" t="s">
        <v>36</v>
      </c>
      <c r="M186" s="5">
        <v>7</v>
      </c>
      <c r="N186" s="1" t="s">
        <v>36</v>
      </c>
      <c r="O186" s="5">
        <v>-7</v>
      </c>
      <c r="P186" s="5">
        <v>-7</v>
      </c>
      <c r="Q186" s="1"/>
      <c r="R186" s="5">
        <v>0</v>
      </c>
      <c r="S186" s="1" t="s">
        <v>36</v>
      </c>
      <c r="T186" s="5">
        <v>6723.13</v>
      </c>
      <c r="U186" s="1" t="s">
        <v>37</v>
      </c>
      <c r="V186" s="1"/>
      <c r="W186" s="1"/>
      <c r="X186" s="1"/>
      <c r="Y186" s="1"/>
      <c r="Z186" s="5">
        <v>7523</v>
      </c>
      <c r="AA186" s="1"/>
      <c r="AB186" s="1"/>
      <c r="AC186" s="2"/>
      <c r="AD186" s="2"/>
    </row>
    <row r="187" spans="1:30" ht="14.4" x14ac:dyDescent="0.3">
      <c r="A187" s="3">
        <v>46028</v>
      </c>
      <c r="B187" s="4">
        <v>46029</v>
      </c>
      <c r="C187" s="1" t="s">
        <v>404</v>
      </c>
      <c r="D187" s="1" t="s">
        <v>29</v>
      </c>
      <c r="E187" s="1" t="s">
        <v>30</v>
      </c>
      <c r="F187" s="44" t="s">
        <v>63</v>
      </c>
      <c r="G187" s="45"/>
      <c r="H187" s="1" t="s">
        <v>32</v>
      </c>
      <c r="I187" s="1" t="s">
        <v>40</v>
      </c>
      <c r="J187" s="1" t="s">
        <v>41</v>
      </c>
      <c r="K187" s="1" t="s">
        <v>35</v>
      </c>
      <c r="L187" s="1" t="s">
        <v>36</v>
      </c>
      <c r="M187" s="5">
        <v>7</v>
      </c>
      <c r="N187" s="1" t="s">
        <v>36</v>
      </c>
      <c r="O187" s="5">
        <v>-7</v>
      </c>
      <c r="P187" s="5">
        <v>-7</v>
      </c>
      <c r="Q187" s="1"/>
      <c r="R187" s="5">
        <v>0</v>
      </c>
      <c r="S187" s="1" t="s">
        <v>36</v>
      </c>
      <c r="T187" s="5">
        <v>6730.13</v>
      </c>
      <c r="U187" s="1" t="s">
        <v>37</v>
      </c>
      <c r="V187" s="1"/>
      <c r="W187" s="1"/>
      <c r="X187" s="1"/>
      <c r="Y187" s="1"/>
      <c r="Z187" s="5">
        <v>7523</v>
      </c>
      <c r="AA187" s="1"/>
      <c r="AB187" s="1"/>
      <c r="AC187" s="2"/>
      <c r="AD187" s="2"/>
    </row>
    <row r="188" spans="1:30" ht="14.4" x14ac:dyDescent="0.3">
      <c r="A188" s="3">
        <v>46028</v>
      </c>
      <c r="B188" s="4">
        <v>46028</v>
      </c>
      <c r="C188" s="1" t="s">
        <v>405</v>
      </c>
      <c r="D188" s="1" t="s">
        <v>43</v>
      </c>
      <c r="E188" s="1" t="s">
        <v>30</v>
      </c>
      <c r="F188" s="1" t="s">
        <v>74</v>
      </c>
      <c r="G188" s="1" t="s">
        <v>165</v>
      </c>
      <c r="H188" s="44" t="s">
        <v>32</v>
      </c>
      <c r="I188" s="45"/>
      <c r="J188" s="1"/>
      <c r="K188" s="1"/>
      <c r="L188" s="1" t="s">
        <v>36</v>
      </c>
      <c r="M188" s="5">
        <v>500</v>
      </c>
      <c r="N188" s="1" t="s">
        <v>36</v>
      </c>
      <c r="O188" s="5">
        <v>-500</v>
      </c>
      <c r="P188" s="5">
        <v>-500.2</v>
      </c>
      <c r="Q188" s="1"/>
      <c r="R188" s="5">
        <v>-0.2</v>
      </c>
      <c r="S188" s="1" t="s">
        <v>36</v>
      </c>
      <c r="T188" s="5">
        <v>6737.13</v>
      </c>
      <c r="U188" s="1" t="s">
        <v>37</v>
      </c>
      <c r="V188" s="5">
        <v>39904763</v>
      </c>
      <c r="W188" s="5">
        <v>90128</v>
      </c>
      <c r="X188" s="1"/>
      <c r="Y188" s="1"/>
      <c r="Z188" s="1"/>
      <c r="AA188" s="1"/>
      <c r="AB188" s="1"/>
      <c r="AC188" s="2"/>
      <c r="AD188" s="2"/>
    </row>
    <row r="189" spans="1:30" ht="14.4" x14ac:dyDescent="0.3">
      <c r="A189" s="3">
        <v>46028</v>
      </c>
      <c r="B189" s="4">
        <v>46028</v>
      </c>
      <c r="C189" s="1" t="s">
        <v>406</v>
      </c>
      <c r="D189" s="1" t="s">
        <v>43</v>
      </c>
      <c r="E189" s="1" t="s">
        <v>30</v>
      </c>
      <c r="F189" s="1" t="s">
        <v>74</v>
      </c>
      <c r="G189" s="1" t="s">
        <v>165</v>
      </c>
      <c r="H189" s="44" t="s">
        <v>32</v>
      </c>
      <c r="I189" s="45"/>
      <c r="J189" s="1"/>
      <c r="K189" s="1"/>
      <c r="L189" s="1" t="s">
        <v>36</v>
      </c>
      <c r="M189" s="5">
        <v>2500</v>
      </c>
      <c r="N189" s="1" t="s">
        <v>36</v>
      </c>
      <c r="O189" s="5">
        <v>-2500</v>
      </c>
      <c r="P189" s="5">
        <v>-2500.1999999999998</v>
      </c>
      <c r="Q189" s="1"/>
      <c r="R189" s="5">
        <v>-0.2</v>
      </c>
      <c r="S189" s="1" t="s">
        <v>36</v>
      </c>
      <c r="T189" s="5">
        <v>7237.33</v>
      </c>
      <c r="U189" s="1" t="s">
        <v>37</v>
      </c>
      <c r="V189" s="5">
        <v>39904763</v>
      </c>
      <c r="W189" s="5">
        <v>90128</v>
      </c>
      <c r="X189" s="1"/>
      <c r="Y189" s="1"/>
      <c r="Z189" s="1"/>
      <c r="AA189" s="1"/>
      <c r="AB189" s="1"/>
      <c r="AC189" s="2"/>
      <c r="AD189" s="2"/>
    </row>
    <row r="190" spans="1:30" ht="14.4" x14ac:dyDescent="0.3">
      <c r="A190" s="3">
        <v>46028</v>
      </c>
      <c r="B190" s="4">
        <v>46028</v>
      </c>
      <c r="C190" s="1" t="s">
        <v>407</v>
      </c>
      <c r="D190" s="1" t="s">
        <v>43</v>
      </c>
      <c r="E190" s="1" t="s">
        <v>30</v>
      </c>
      <c r="F190" s="1" t="s">
        <v>239</v>
      </c>
      <c r="G190" s="8">
        <v>2.5E+17</v>
      </c>
      <c r="H190" s="1"/>
      <c r="I190" s="1"/>
      <c r="J190" s="1"/>
      <c r="K190" s="1"/>
      <c r="L190" s="1" t="s">
        <v>36</v>
      </c>
      <c r="M190" s="5">
        <v>375</v>
      </c>
      <c r="N190" s="1" t="s">
        <v>36</v>
      </c>
      <c r="O190" s="5">
        <v>-375</v>
      </c>
      <c r="P190" s="5">
        <v>-375</v>
      </c>
      <c r="Q190" s="1"/>
      <c r="R190" s="5">
        <v>0</v>
      </c>
      <c r="S190" s="1" t="s">
        <v>36</v>
      </c>
      <c r="T190" s="5">
        <v>9737.5300000000007</v>
      </c>
      <c r="U190" s="1" t="s">
        <v>37</v>
      </c>
      <c r="V190" s="5">
        <v>1394088</v>
      </c>
      <c r="W190" s="5">
        <v>400250</v>
      </c>
      <c r="X190" s="1"/>
      <c r="Y190" s="1"/>
      <c r="Z190" s="1"/>
      <c r="AA190" s="1"/>
      <c r="AB190" s="1"/>
      <c r="AC190" s="2"/>
      <c r="AD190" s="2"/>
    </row>
    <row r="191" spans="1:30" ht="14.4" x14ac:dyDescent="0.3">
      <c r="A191" s="3">
        <v>46027</v>
      </c>
      <c r="B191" s="4">
        <v>46027</v>
      </c>
      <c r="C191" s="1" t="s">
        <v>408</v>
      </c>
      <c r="D191" s="1" t="s">
        <v>52</v>
      </c>
      <c r="E191" s="1" t="s">
        <v>30</v>
      </c>
      <c r="F191" s="1" t="s">
        <v>53</v>
      </c>
      <c r="G191" s="44" t="s">
        <v>409</v>
      </c>
      <c r="H191" s="45"/>
      <c r="I191" s="1"/>
      <c r="J191" s="1"/>
      <c r="K191" s="1"/>
      <c r="L191" s="1" t="s">
        <v>36</v>
      </c>
      <c r="M191" s="5">
        <v>242.04</v>
      </c>
      <c r="N191" s="1" t="s">
        <v>36</v>
      </c>
      <c r="O191" s="5">
        <v>242.04</v>
      </c>
      <c r="P191" s="5">
        <v>242.04</v>
      </c>
      <c r="Q191" s="1"/>
      <c r="R191" s="5">
        <v>0</v>
      </c>
      <c r="S191" s="1" t="s">
        <v>36</v>
      </c>
      <c r="T191" s="5">
        <v>10112.530000000001</v>
      </c>
      <c r="U191" s="1" t="s">
        <v>37</v>
      </c>
      <c r="V191" s="1"/>
      <c r="W191" s="1"/>
      <c r="X191" s="1"/>
      <c r="Y191" s="1"/>
      <c r="Z191" s="1"/>
      <c r="AA191" s="1"/>
      <c r="AB191" s="1"/>
      <c r="AC191" s="2"/>
      <c r="AD191" s="2"/>
    </row>
    <row r="192" spans="1:30" ht="14.4" x14ac:dyDescent="0.3">
      <c r="A192" s="3">
        <v>46027</v>
      </c>
      <c r="B192" s="4">
        <v>46027</v>
      </c>
      <c r="C192" s="1" t="s">
        <v>410</v>
      </c>
      <c r="D192" s="1" t="s">
        <v>52</v>
      </c>
      <c r="E192" s="1" t="s">
        <v>30</v>
      </c>
      <c r="F192" s="1" t="s">
        <v>411</v>
      </c>
      <c r="G192" s="5">
        <v>980836</v>
      </c>
      <c r="H192" s="1"/>
      <c r="I192" s="1"/>
      <c r="J192" s="1"/>
      <c r="K192" s="1"/>
      <c r="L192" s="1" t="s">
        <v>36</v>
      </c>
      <c r="M192" s="5">
        <v>606</v>
      </c>
      <c r="N192" s="1" t="s">
        <v>36</v>
      </c>
      <c r="O192" s="5">
        <v>606</v>
      </c>
      <c r="P192" s="5">
        <v>606</v>
      </c>
      <c r="Q192" s="1"/>
      <c r="R192" s="5">
        <v>0</v>
      </c>
      <c r="S192" s="1" t="s">
        <v>36</v>
      </c>
      <c r="T192" s="5">
        <v>9870.49</v>
      </c>
      <c r="U192" s="1" t="s">
        <v>37</v>
      </c>
      <c r="V192" s="1"/>
      <c r="W192" s="1"/>
      <c r="X192" s="1"/>
      <c r="Y192" s="1"/>
      <c r="Z192" s="1"/>
      <c r="AA192" s="1"/>
      <c r="AB192" s="1"/>
      <c r="AC192" s="2"/>
      <c r="AD192" s="2"/>
    </row>
    <row r="193" spans="1:30" ht="14.4" x14ac:dyDescent="0.3">
      <c r="A193" s="3">
        <v>46027</v>
      </c>
      <c r="B193" s="4">
        <v>46027</v>
      </c>
      <c r="C193" s="1" t="s">
        <v>412</v>
      </c>
      <c r="D193" s="1" t="s">
        <v>43</v>
      </c>
      <c r="E193" s="1" t="s">
        <v>30</v>
      </c>
      <c r="F193" s="1" t="s">
        <v>168</v>
      </c>
      <c r="G193" s="5">
        <v>2617763</v>
      </c>
      <c r="H193" s="1"/>
      <c r="I193" s="1"/>
      <c r="J193" s="1"/>
      <c r="K193" s="1"/>
      <c r="L193" s="1" t="s">
        <v>36</v>
      </c>
      <c r="M193" s="5">
        <v>7.2</v>
      </c>
      <c r="N193" s="1" t="s">
        <v>36</v>
      </c>
      <c r="O193" s="5">
        <v>-7.2</v>
      </c>
      <c r="P193" s="5">
        <v>-7.2</v>
      </c>
      <c r="Q193" s="1"/>
      <c r="R193" s="5">
        <v>0</v>
      </c>
      <c r="S193" s="1" t="s">
        <v>36</v>
      </c>
      <c r="T193" s="5">
        <v>9264.49</v>
      </c>
      <c r="U193" s="1" t="s">
        <v>37</v>
      </c>
      <c r="V193" s="5">
        <v>20390720</v>
      </c>
      <c r="W193" s="5">
        <v>205385</v>
      </c>
      <c r="X193" s="1"/>
      <c r="Y193" s="1"/>
      <c r="Z193" s="1"/>
      <c r="AA193" s="1"/>
      <c r="AB193" s="1"/>
      <c r="AC193" s="2"/>
      <c r="AD193" s="2"/>
    </row>
    <row r="194" spans="1:30" ht="14.4" x14ac:dyDescent="0.3">
      <c r="A194" s="3">
        <v>46027</v>
      </c>
      <c r="B194" s="4">
        <v>46027</v>
      </c>
      <c r="C194" s="1" t="s">
        <v>413</v>
      </c>
      <c r="D194" s="1" t="s">
        <v>43</v>
      </c>
      <c r="E194" s="1" t="s">
        <v>30</v>
      </c>
      <c r="F194" s="1" t="s">
        <v>186</v>
      </c>
      <c r="G194" s="1" t="s">
        <v>187</v>
      </c>
      <c r="H194" s="44" t="s">
        <v>32</v>
      </c>
      <c r="I194" s="45"/>
      <c r="J194" s="1"/>
      <c r="K194" s="1"/>
      <c r="L194" s="1" t="s">
        <v>36</v>
      </c>
      <c r="M194" s="5">
        <v>130.74</v>
      </c>
      <c r="N194" s="1" t="s">
        <v>36</v>
      </c>
      <c r="O194" s="5">
        <v>-130.74</v>
      </c>
      <c r="P194" s="5">
        <v>-130.94</v>
      </c>
      <c r="Q194" s="1"/>
      <c r="R194" s="5">
        <v>-0.2</v>
      </c>
      <c r="S194" s="1" t="s">
        <v>36</v>
      </c>
      <c r="T194" s="5">
        <v>9271.69</v>
      </c>
      <c r="U194" s="1" t="s">
        <v>37</v>
      </c>
      <c r="V194" s="5">
        <v>79152122</v>
      </c>
      <c r="W194" s="5">
        <v>40004</v>
      </c>
      <c r="X194" s="1"/>
      <c r="Y194" s="1"/>
      <c r="Z194" s="1"/>
      <c r="AA194" s="1"/>
      <c r="AB194" s="1"/>
      <c r="AC194" s="2"/>
      <c r="AD194" s="2"/>
    </row>
    <row r="195" spans="1:30" ht="14.4" x14ac:dyDescent="0.3">
      <c r="A195" s="3">
        <v>46026</v>
      </c>
      <c r="B195" s="4">
        <v>46027</v>
      </c>
      <c r="C195" s="1" t="s">
        <v>414</v>
      </c>
      <c r="D195" s="1" t="s">
        <v>29</v>
      </c>
      <c r="E195" s="1" t="s">
        <v>30</v>
      </c>
      <c r="F195" s="44" t="s">
        <v>63</v>
      </c>
      <c r="G195" s="45"/>
      <c r="H195" s="1" t="s">
        <v>32</v>
      </c>
      <c r="I195" s="1" t="s">
        <v>40</v>
      </c>
      <c r="J195" s="1" t="s">
        <v>41</v>
      </c>
      <c r="K195" s="1" t="s">
        <v>35</v>
      </c>
      <c r="L195" s="1" t="s">
        <v>36</v>
      </c>
      <c r="M195" s="5">
        <v>6</v>
      </c>
      <c r="N195" s="1" t="s">
        <v>36</v>
      </c>
      <c r="O195" s="5">
        <v>-6</v>
      </c>
      <c r="P195" s="5">
        <v>-6</v>
      </c>
      <c r="Q195" s="1"/>
      <c r="R195" s="5">
        <v>0</v>
      </c>
      <c r="S195" s="1" t="s">
        <v>36</v>
      </c>
      <c r="T195" s="5">
        <v>9402.6299999999992</v>
      </c>
      <c r="U195" s="1" t="s">
        <v>37</v>
      </c>
      <c r="V195" s="1"/>
      <c r="W195" s="1"/>
      <c r="X195" s="1"/>
      <c r="Y195" s="1"/>
      <c r="Z195" s="5">
        <v>7523</v>
      </c>
      <c r="AA195" s="1"/>
      <c r="AB195" s="1"/>
      <c r="AC195" s="2"/>
      <c r="AD195" s="2"/>
    </row>
    <row r="196" spans="1:30" ht="14.4" x14ac:dyDescent="0.3">
      <c r="A196" s="3">
        <v>46026</v>
      </c>
      <c r="B196" s="4">
        <v>46027</v>
      </c>
      <c r="C196" s="1" t="s">
        <v>415</v>
      </c>
      <c r="D196" s="1" t="s">
        <v>29</v>
      </c>
      <c r="E196" s="1" t="s">
        <v>30</v>
      </c>
      <c r="F196" s="44" t="s">
        <v>416</v>
      </c>
      <c r="G196" s="45"/>
      <c r="H196" s="1" t="s">
        <v>32</v>
      </c>
      <c r="I196" s="1" t="s">
        <v>40</v>
      </c>
      <c r="J196" s="1" t="s">
        <v>41</v>
      </c>
      <c r="K196" s="1" t="s">
        <v>35</v>
      </c>
      <c r="L196" s="1" t="s">
        <v>36</v>
      </c>
      <c r="M196" s="5">
        <v>151.66</v>
      </c>
      <c r="N196" s="1" t="s">
        <v>36</v>
      </c>
      <c r="O196" s="5">
        <v>-151.66</v>
      </c>
      <c r="P196" s="5">
        <v>-151.66</v>
      </c>
      <c r="Q196" s="1"/>
      <c r="R196" s="5">
        <v>0</v>
      </c>
      <c r="S196" s="1" t="s">
        <v>36</v>
      </c>
      <c r="T196" s="5">
        <v>9408.6299999999992</v>
      </c>
      <c r="U196" s="1" t="s">
        <v>37</v>
      </c>
      <c r="V196" s="1"/>
      <c r="W196" s="1"/>
      <c r="X196" s="1"/>
      <c r="Y196" s="1"/>
      <c r="Z196" s="5">
        <v>5399</v>
      </c>
      <c r="AA196" s="1"/>
      <c r="AB196" s="1"/>
      <c r="AC196" s="2"/>
      <c r="AD196" s="2"/>
    </row>
    <row r="197" spans="1:30" ht="14.4" x14ac:dyDescent="0.3">
      <c r="A197" s="3">
        <v>46025</v>
      </c>
      <c r="B197" s="4">
        <v>46026</v>
      </c>
      <c r="C197" s="1" t="s">
        <v>417</v>
      </c>
      <c r="D197" s="1" t="s">
        <v>29</v>
      </c>
      <c r="E197" s="1" t="s">
        <v>30</v>
      </c>
      <c r="F197" s="44" t="s">
        <v>418</v>
      </c>
      <c r="G197" s="45"/>
      <c r="H197" s="1" t="s">
        <v>32</v>
      </c>
      <c r="I197" s="1" t="s">
        <v>40</v>
      </c>
      <c r="J197" s="1" t="s">
        <v>41</v>
      </c>
      <c r="K197" s="1" t="s">
        <v>35</v>
      </c>
      <c r="L197" s="1" t="s">
        <v>36</v>
      </c>
      <c r="M197" s="5">
        <v>2.0499999999999998</v>
      </c>
      <c r="N197" s="1" t="s">
        <v>36</v>
      </c>
      <c r="O197" s="5">
        <v>-2.0499999999999998</v>
      </c>
      <c r="P197" s="5">
        <v>-2.0499999999999998</v>
      </c>
      <c r="Q197" s="1"/>
      <c r="R197" s="5">
        <v>0</v>
      </c>
      <c r="S197" s="1" t="s">
        <v>36</v>
      </c>
      <c r="T197" s="5">
        <v>9560.2900000000009</v>
      </c>
      <c r="U197" s="1" t="s">
        <v>37</v>
      </c>
      <c r="V197" s="1"/>
      <c r="W197" s="1"/>
      <c r="X197" s="1"/>
      <c r="Y197" s="1"/>
      <c r="Z197" s="5">
        <v>7523</v>
      </c>
      <c r="AA197" s="1"/>
      <c r="AB197" s="1"/>
      <c r="AC197" s="2"/>
      <c r="AD197" s="2"/>
    </row>
    <row r="198" spans="1:30" ht="14.4" x14ac:dyDescent="0.3">
      <c r="A198" s="3">
        <v>46025</v>
      </c>
      <c r="B198" s="4">
        <v>46026</v>
      </c>
      <c r="C198" s="1" t="s">
        <v>419</v>
      </c>
      <c r="D198" s="1" t="s">
        <v>29</v>
      </c>
      <c r="E198" s="1" t="s">
        <v>30</v>
      </c>
      <c r="F198" s="44" t="s">
        <v>418</v>
      </c>
      <c r="G198" s="45"/>
      <c r="H198" s="1" t="s">
        <v>32</v>
      </c>
      <c r="I198" s="1" t="s">
        <v>40</v>
      </c>
      <c r="J198" s="1" t="s">
        <v>41</v>
      </c>
      <c r="K198" s="1" t="s">
        <v>35</v>
      </c>
      <c r="L198" s="1" t="s">
        <v>36</v>
      </c>
      <c r="M198" s="5">
        <v>1.87</v>
      </c>
      <c r="N198" s="1" t="s">
        <v>36</v>
      </c>
      <c r="O198" s="5">
        <v>-1.87</v>
      </c>
      <c r="P198" s="5">
        <v>-1.87</v>
      </c>
      <c r="Q198" s="1"/>
      <c r="R198" s="5">
        <v>0</v>
      </c>
      <c r="S198" s="1" t="s">
        <v>36</v>
      </c>
      <c r="T198" s="5">
        <v>9562.34</v>
      </c>
      <c r="U198" s="1" t="s">
        <v>37</v>
      </c>
      <c r="V198" s="1"/>
      <c r="W198" s="1"/>
      <c r="X198" s="1"/>
      <c r="Y198" s="1"/>
      <c r="Z198" s="5">
        <v>7523</v>
      </c>
      <c r="AA198" s="1"/>
      <c r="AB198" s="1"/>
      <c r="AC198" s="2"/>
      <c r="AD198" s="2"/>
    </row>
    <row r="199" spans="1:30" ht="14.4" x14ac:dyDescent="0.3">
      <c r="A199" s="3">
        <v>46025</v>
      </c>
      <c r="B199" s="4">
        <v>46026</v>
      </c>
      <c r="C199" s="1" t="s">
        <v>420</v>
      </c>
      <c r="D199" s="1" t="s">
        <v>29</v>
      </c>
      <c r="E199" s="1" t="s">
        <v>30</v>
      </c>
      <c r="F199" s="44" t="s">
        <v>418</v>
      </c>
      <c r="G199" s="45"/>
      <c r="H199" s="1" t="s">
        <v>32</v>
      </c>
      <c r="I199" s="1" t="s">
        <v>40</v>
      </c>
      <c r="J199" s="1" t="s">
        <v>41</v>
      </c>
      <c r="K199" s="1" t="s">
        <v>35</v>
      </c>
      <c r="L199" s="1" t="s">
        <v>36</v>
      </c>
      <c r="M199" s="5">
        <v>1.87</v>
      </c>
      <c r="N199" s="1" t="s">
        <v>36</v>
      </c>
      <c r="O199" s="5">
        <v>-1.87</v>
      </c>
      <c r="P199" s="5">
        <v>-1.87</v>
      </c>
      <c r="Q199" s="1"/>
      <c r="R199" s="5">
        <v>0</v>
      </c>
      <c r="S199" s="1" t="s">
        <v>36</v>
      </c>
      <c r="T199" s="5">
        <v>9564.2099999999991</v>
      </c>
      <c r="U199" s="1" t="s">
        <v>37</v>
      </c>
      <c r="V199" s="1"/>
      <c r="W199" s="1"/>
      <c r="X199" s="1"/>
      <c r="Y199" s="1"/>
      <c r="Z199" s="5">
        <v>7523</v>
      </c>
      <c r="AA199" s="1"/>
      <c r="AB199" s="1"/>
      <c r="AC199" s="2"/>
      <c r="AD199" s="2"/>
    </row>
    <row r="200" spans="1:30" ht="14.4" x14ac:dyDescent="0.3">
      <c r="A200" s="3">
        <v>46025</v>
      </c>
      <c r="B200" s="4">
        <v>46026</v>
      </c>
      <c r="C200" s="1" t="s">
        <v>421</v>
      </c>
      <c r="D200" s="1" t="s">
        <v>29</v>
      </c>
      <c r="E200" s="1" t="s">
        <v>30</v>
      </c>
      <c r="F200" s="44" t="s">
        <v>418</v>
      </c>
      <c r="G200" s="45"/>
      <c r="H200" s="1" t="s">
        <v>32</v>
      </c>
      <c r="I200" s="1" t="s">
        <v>40</v>
      </c>
      <c r="J200" s="1" t="s">
        <v>41</v>
      </c>
      <c r="K200" s="1" t="s">
        <v>35</v>
      </c>
      <c r="L200" s="1" t="s">
        <v>36</v>
      </c>
      <c r="M200" s="5">
        <v>0.76</v>
      </c>
      <c r="N200" s="1" t="s">
        <v>36</v>
      </c>
      <c r="O200" s="5">
        <v>-0.76</v>
      </c>
      <c r="P200" s="5">
        <v>-0.76</v>
      </c>
      <c r="Q200" s="1"/>
      <c r="R200" s="5">
        <v>0</v>
      </c>
      <c r="S200" s="1" t="s">
        <v>36</v>
      </c>
      <c r="T200" s="5">
        <v>9566.08</v>
      </c>
      <c r="U200" s="1" t="s">
        <v>37</v>
      </c>
      <c r="V200" s="1"/>
      <c r="W200" s="1"/>
      <c r="X200" s="1"/>
      <c r="Y200" s="1"/>
      <c r="Z200" s="5">
        <v>7523</v>
      </c>
      <c r="AA200" s="1"/>
      <c r="AB200" s="1"/>
      <c r="AC200" s="2"/>
      <c r="AD200" s="2"/>
    </row>
    <row r="201" spans="1:30" ht="14.4" x14ac:dyDescent="0.3">
      <c r="A201" s="3">
        <v>46026</v>
      </c>
      <c r="B201" s="4">
        <v>46026</v>
      </c>
      <c r="C201" s="1" t="s">
        <v>422</v>
      </c>
      <c r="D201" s="1" t="s">
        <v>29</v>
      </c>
      <c r="E201" s="1" t="s">
        <v>30</v>
      </c>
      <c r="F201" s="46" t="s">
        <v>423</v>
      </c>
      <c r="G201" s="45"/>
      <c r="H201" s="1" t="s">
        <v>32</v>
      </c>
      <c r="I201" s="1" t="s">
        <v>40</v>
      </c>
      <c r="J201" s="1" t="s">
        <v>41</v>
      </c>
      <c r="K201" s="1" t="s">
        <v>35</v>
      </c>
      <c r="L201" s="1" t="s">
        <v>36</v>
      </c>
      <c r="M201" s="5">
        <v>18.989999999999998</v>
      </c>
      <c r="N201" s="1" t="s">
        <v>36</v>
      </c>
      <c r="O201" s="5">
        <v>-18.989999999999998</v>
      </c>
      <c r="P201" s="5">
        <v>-18.989999999999998</v>
      </c>
      <c r="Q201" s="1"/>
      <c r="R201" s="5">
        <v>0</v>
      </c>
      <c r="S201" s="1" t="s">
        <v>36</v>
      </c>
      <c r="T201" s="5">
        <v>9566.84</v>
      </c>
      <c r="U201" s="1" t="s">
        <v>37</v>
      </c>
      <c r="V201" s="1"/>
      <c r="W201" s="1"/>
      <c r="X201" s="1"/>
      <c r="Y201" s="1"/>
      <c r="Z201" s="5">
        <v>4899</v>
      </c>
      <c r="AA201" s="1"/>
      <c r="AB201" s="1"/>
      <c r="AC201" s="2"/>
      <c r="AD201" s="2"/>
    </row>
    <row r="202" spans="1:30" ht="14.4" x14ac:dyDescent="0.3">
      <c r="A202" s="3">
        <v>46025</v>
      </c>
      <c r="B202" s="4">
        <v>46026</v>
      </c>
      <c r="C202" s="1" t="s">
        <v>424</v>
      </c>
      <c r="D202" s="1" t="s">
        <v>29</v>
      </c>
      <c r="E202" s="1" t="s">
        <v>30</v>
      </c>
      <c r="F202" s="44" t="s">
        <v>63</v>
      </c>
      <c r="G202" s="45"/>
      <c r="H202" s="1" t="s">
        <v>32</v>
      </c>
      <c r="I202" s="1" t="s">
        <v>40</v>
      </c>
      <c r="J202" s="1" t="s">
        <v>41</v>
      </c>
      <c r="K202" s="1" t="s">
        <v>35</v>
      </c>
      <c r="L202" s="1" t="s">
        <v>36</v>
      </c>
      <c r="M202" s="5">
        <v>6</v>
      </c>
      <c r="N202" s="1" t="s">
        <v>36</v>
      </c>
      <c r="O202" s="5">
        <v>-6</v>
      </c>
      <c r="P202" s="5">
        <v>-6</v>
      </c>
      <c r="Q202" s="1"/>
      <c r="R202" s="5">
        <v>0</v>
      </c>
      <c r="S202" s="1" t="s">
        <v>36</v>
      </c>
      <c r="T202" s="5">
        <v>9585.83</v>
      </c>
      <c r="U202" s="1" t="s">
        <v>37</v>
      </c>
      <c r="V202" s="1"/>
      <c r="W202" s="1"/>
      <c r="X202" s="1"/>
      <c r="Y202" s="1"/>
      <c r="Z202" s="5">
        <v>7523</v>
      </c>
      <c r="AA202" s="1"/>
      <c r="AB202" s="1"/>
      <c r="AC202" s="2"/>
      <c r="AD202" s="2"/>
    </row>
    <row r="203" spans="1:30" ht="14.4" x14ac:dyDescent="0.3">
      <c r="A203" s="3">
        <v>46025</v>
      </c>
      <c r="B203" s="4">
        <v>46025</v>
      </c>
      <c r="C203" s="1" t="s">
        <v>425</v>
      </c>
      <c r="D203" s="1" t="s">
        <v>43</v>
      </c>
      <c r="E203" s="1" t="s">
        <v>30</v>
      </c>
      <c r="F203" s="1" t="s">
        <v>426</v>
      </c>
      <c r="G203" s="1" t="s">
        <v>367</v>
      </c>
      <c r="H203" s="44" t="s">
        <v>32</v>
      </c>
      <c r="I203" s="45"/>
      <c r="J203" s="1"/>
      <c r="K203" s="1"/>
      <c r="L203" s="1" t="s">
        <v>36</v>
      </c>
      <c r="M203" s="5">
        <v>14.5</v>
      </c>
      <c r="N203" s="1" t="s">
        <v>36</v>
      </c>
      <c r="O203" s="5">
        <v>-14.5</v>
      </c>
      <c r="P203" s="5">
        <v>-14.7</v>
      </c>
      <c r="Q203" s="1"/>
      <c r="R203" s="5">
        <v>-0.2</v>
      </c>
      <c r="S203" s="1" t="s">
        <v>36</v>
      </c>
      <c r="T203" s="5">
        <v>9591.83</v>
      </c>
      <c r="U203" s="1" t="s">
        <v>37</v>
      </c>
      <c r="V203" s="5">
        <v>3476618</v>
      </c>
      <c r="W203" s="5">
        <v>202963</v>
      </c>
      <c r="X203" s="1"/>
      <c r="Y203" s="1"/>
      <c r="Z203" s="1"/>
      <c r="AA203" s="1"/>
      <c r="AB203" s="1"/>
      <c r="AC203" s="2"/>
      <c r="AD203" s="2"/>
    </row>
    <row r="204" spans="1:30" ht="14.4" x14ac:dyDescent="0.3">
      <c r="A204" s="3">
        <v>46024</v>
      </c>
      <c r="B204" s="4">
        <v>46025</v>
      </c>
      <c r="C204" s="1" t="s">
        <v>427</v>
      </c>
      <c r="D204" s="1" t="s">
        <v>29</v>
      </c>
      <c r="E204" s="1" t="s">
        <v>30</v>
      </c>
      <c r="F204" s="44" t="s">
        <v>63</v>
      </c>
      <c r="G204" s="45"/>
      <c r="H204" s="1" t="s">
        <v>32</v>
      </c>
      <c r="I204" s="1" t="s">
        <v>40</v>
      </c>
      <c r="J204" s="1" t="s">
        <v>41</v>
      </c>
      <c r="K204" s="1" t="s">
        <v>35</v>
      </c>
      <c r="L204" s="1" t="s">
        <v>36</v>
      </c>
      <c r="M204" s="5">
        <v>6</v>
      </c>
      <c r="N204" s="1" t="s">
        <v>36</v>
      </c>
      <c r="O204" s="5">
        <v>-6</v>
      </c>
      <c r="P204" s="5">
        <v>-6</v>
      </c>
      <c r="Q204" s="1"/>
      <c r="R204" s="5">
        <v>0</v>
      </c>
      <c r="S204" s="1" t="s">
        <v>36</v>
      </c>
      <c r="T204" s="5">
        <v>9606.5300000000007</v>
      </c>
      <c r="U204" s="1" t="s">
        <v>37</v>
      </c>
      <c r="V204" s="1"/>
      <c r="W204" s="1"/>
      <c r="X204" s="1"/>
      <c r="Y204" s="1"/>
      <c r="Z204" s="5">
        <v>7523</v>
      </c>
      <c r="AA204" s="1"/>
      <c r="AB204" s="1"/>
      <c r="AC204" s="2"/>
      <c r="AD204" s="2"/>
    </row>
    <row r="205" spans="1:30" ht="14.4" x14ac:dyDescent="0.3">
      <c r="A205" s="3">
        <v>46024</v>
      </c>
      <c r="B205" s="4">
        <v>46025</v>
      </c>
      <c r="C205" s="1" t="s">
        <v>428</v>
      </c>
      <c r="D205" s="1" t="s">
        <v>29</v>
      </c>
      <c r="E205" s="1" t="s">
        <v>30</v>
      </c>
      <c r="F205" s="44" t="s">
        <v>63</v>
      </c>
      <c r="G205" s="45"/>
      <c r="H205" s="1" t="s">
        <v>32</v>
      </c>
      <c r="I205" s="1" t="s">
        <v>40</v>
      </c>
      <c r="J205" s="1" t="s">
        <v>41</v>
      </c>
      <c r="K205" s="1" t="s">
        <v>35</v>
      </c>
      <c r="L205" s="1" t="s">
        <v>36</v>
      </c>
      <c r="M205" s="5">
        <v>6</v>
      </c>
      <c r="N205" s="1" t="s">
        <v>36</v>
      </c>
      <c r="O205" s="5">
        <v>-6</v>
      </c>
      <c r="P205" s="5">
        <v>-6</v>
      </c>
      <c r="Q205" s="1"/>
      <c r="R205" s="5">
        <v>0</v>
      </c>
      <c r="S205" s="1" t="s">
        <v>36</v>
      </c>
      <c r="T205" s="5">
        <v>9612.5300000000007</v>
      </c>
      <c r="U205" s="1" t="s">
        <v>37</v>
      </c>
      <c r="V205" s="1"/>
      <c r="W205" s="1"/>
      <c r="X205" s="1"/>
      <c r="Y205" s="1"/>
      <c r="Z205" s="5">
        <v>7523</v>
      </c>
      <c r="AA205" s="1"/>
      <c r="AB205" s="1"/>
      <c r="AC205" s="2"/>
      <c r="AD205" s="2"/>
    </row>
    <row r="206" spans="1:30" ht="14.4" x14ac:dyDescent="0.3">
      <c r="A206" s="3">
        <v>46024</v>
      </c>
      <c r="B206" s="4">
        <v>46024</v>
      </c>
      <c r="C206" s="1" t="s">
        <v>429</v>
      </c>
      <c r="D206" s="1" t="s">
        <v>43</v>
      </c>
      <c r="E206" s="1" t="s">
        <v>30</v>
      </c>
      <c r="F206" s="1" t="s">
        <v>74</v>
      </c>
      <c r="G206" s="1" t="s">
        <v>430</v>
      </c>
      <c r="H206" s="44" t="s">
        <v>32</v>
      </c>
      <c r="I206" s="45"/>
      <c r="J206" s="1"/>
      <c r="K206" s="1"/>
      <c r="L206" s="1" t="s">
        <v>36</v>
      </c>
      <c r="M206" s="5">
        <v>1500</v>
      </c>
      <c r="N206" s="1" t="s">
        <v>36</v>
      </c>
      <c r="O206" s="5">
        <v>-1500</v>
      </c>
      <c r="P206" s="5">
        <v>-1500.2</v>
      </c>
      <c r="Q206" s="1"/>
      <c r="R206" s="5">
        <v>-0.2</v>
      </c>
      <c r="S206" s="1" t="s">
        <v>36</v>
      </c>
      <c r="T206" s="5">
        <v>9618.5300000000007</v>
      </c>
      <c r="U206" s="1" t="s">
        <v>37</v>
      </c>
      <c r="V206" s="5">
        <v>39904763</v>
      </c>
      <c r="W206" s="5">
        <v>90128</v>
      </c>
      <c r="X206" s="1"/>
      <c r="Y206" s="1"/>
      <c r="Z206" s="1"/>
      <c r="AA206" s="1"/>
      <c r="AB206" s="1"/>
      <c r="AC206" s="2"/>
      <c r="AD206" s="2"/>
    </row>
    <row r="207" spans="1:30" ht="14.4" x14ac:dyDescent="0.3">
      <c r="A207" s="3">
        <v>46024</v>
      </c>
      <c r="B207" s="4">
        <v>46024</v>
      </c>
      <c r="C207" s="1" t="s">
        <v>431</v>
      </c>
      <c r="D207" s="1" t="s">
        <v>43</v>
      </c>
      <c r="E207" s="1" t="s">
        <v>30</v>
      </c>
      <c r="F207" s="1" t="s">
        <v>432</v>
      </c>
      <c r="G207" s="1" t="s">
        <v>433</v>
      </c>
      <c r="H207" s="1"/>
      <c r="I207" s="1"/>
      <c r="J207" s="1"/>
      <c r="K207" s="1"/>
      <c r="L207" s="1" t="s">
        <v>36</v>
      </c>
      <c r="M207" s="5">
        <v>1500</v>
      </c>
      <c r="N207" s="1" t="s">
        <v>36</v>
      </c>
      <c r="O207" s="5">
        <v>1500</v>
      </c>
      <c r="P207" s="5">
        <v>1500</v>
      </c>
      <c r="Q207" s="1"/>
      <c r="R207" s="5">
        <v>0</v>
      </c>
      <c r="S207" s="1" t="s">
        <v>36</v>
      </c>
      <c r="T207" s="5">
        <v>11118.73</v>
      </c>
      <c r="U207" s="1" t="s">
        <v>37</v>
      </c>
      <c r="V207" s="1"/>
      <c r="W207" s="1"/>
      <c r="X207" s="1"/>
      <c r="Y207" s="1"/>
      <c r="Z207" s="1"/>
      <c r="AA207" s="1"/>
      <c r="AB207" s="1"/>
      <c r="AC207" s="2"/>
      <c r="AD207" s="2"/>
    </row>
    <row r="208" spans="1:30" ht="14.4" x14ac:dyDescent="0.3">
      <c r="A208" s="3">
        <v>46024</v>
      </c>
      <c r="B208" s="4">
        <v>46024</v>
      </c>
      <c r="C208" s="1" t="s">
        <v>434</v>
      </c>
      <c r="D208" s="1" t="s">
        <v>43</v>
      </c>
      <c r="E208" s="1" t="s">
        <v>30</v>
      </c>
      <c r="F208" s="1" t="s">
        <v>235</v>
      </c>
      <c r="G208" s="5">
        <v>73368653</v>
      </c>
      <c r="H208" s="1"/>
      <c r="I208" s="1"/>
      <c r="J208" s="1"/>
      <c r="K208" s="1"/>
      <c r="L208" s="1" t="s">
        <v>36</v>
      </c>
      <c r="M208" s="5">
        <v>54.25</v>
      </c>
      <c r="N208" s="1" t="s">
        <v>36</v>
      </c>
      <c r="O208" s="5">
        <v>-54.25</v>
      </c>
      <c r="P208" s="5">
        <v>-54.25</v>
      </c>
      <c r="Q208" s="1"/>
      <c r="R208" s="5">
        <v>0</v>
      </c>
      <c r="S208" s="1" t="s">
        <v>36</v>
      </c>
      <c r="T208" s="5">
        <v>9618.73</v>
      </c>
      <c r="U208" s="1" t="s">
        <v>37</v>
      </c>
      <c r="V208" s="5">
        <v>23709310</v>
      </c>
      <c r="W208" s="5">
        <v>208045</v>
      </c>
      <c r="X208" s="1"/>
      <c r="Y208" s="1"/>
      <c r="Z208" s="1"/>
      <c r="AA208" s="1"/>
      <c r="AB208" s="1"/>
      <c r="AC208" s="2"/>
      <c r="AD208" s="2"/>
    </row>
    <row r="209" spans="1:30" ht="14.4" x14ac:dyDescent="0.3">
      <c r="A209" s="3">
        <v>46024</v>
      </c>
      <c r="B209" s="4">
        <v>46024</v>
      </c>
      <c r="C209" s="1" t="s">
        <v>435</v>
      </c>
      <c r="D209" s="1" t="s">
        <v>43</v>
      </c>
      <c r="E209" s="1" t="s">
        <v>30</v>
      </c>
      <c r="F209" s="1" t="s">
        <v>233</v>
      </c>
      <c r="G209" s="5">
        <v>73778440</v>
      </c>
      <c r="H209" s="1"/>
      <c r="I209" s="1"/>
      <c r="J209" s="1"/>
      <c r="K209" s="1"/>
      <c r="L209" s="1" t="s">
        <v>36</v>
      </c>
      <c r="M209" s="5">
        <v>54.25</v>
      </c>
      <c r="N209" s="1" t="s">
        <v>36</v>
      </c>
      <c r="O209" s="5">
        <v>-54.25</v>
      </c>
      <c r="P209" s="5">
        <v>-54.25</v>
      </c>
      <c r="Q209" s="1"/>
      <c r="R209" s="5">
        <v>0</v>
      </c>
      <c r="S209" s="1" t="s">
        <v>36</v>
      </c>
      <c r="T209" s="5">
        <v>9672.98</v>
      </c>
      <c r="U209" s="1" t="s">
        <v>37</v>
      </c>
      <c r="V209" s="5">
        <v>23709310</v>
      </c>
      <c r="W209" s="5">
        <v>208045</v>
      </c>
      <c r="X209" s="1"/>
      <c r="Y209" s="1"/>
      <c r="Z209" s="1"/>
      <c r="AA209" s="1"/>
      <c r="AB209" s="1"/>
      <c r="AC209" s="2"/>
      <c r="AD209" s="2"/>
    </row>
    <row r="210" spans="1:30" ht="14.4" x14ac:dyDescent="0.3">
      <c r="A210" s="3">
        <v>46024</v>
      </c>
      <c r="B210" s="4">
        <v>46024</v>
      </c>
      <c r="C210" s="1" t="s">
        <v>436</v>
      </c>
      <c r="D210" s="1" t="s">
        <v>43</v>
      </c>
      <c r="E210" s="1" t="s">
        <v>30</v>
      </c>
      <c r="F210" s="1" t="s">
        <v>242</v>
      </c>
      <c r="G210" s="5">
        <v>72868147</v>
      </c>
      <c r="H210" s="1"/>
      <c r="I210" s="1"/>
      <c r="J210" s="1"/>
      <c r="K210" s="1"/>
      <c r="L210" s="1" t="s">
        <v>36</v>
      </c>
      <c r="M210" s="5">
        <v>54.25</v>
      </c>
      <c r="N210" s="1" t="s">
        <v>36</v>
      </c>
      <c r="O210" s="5">
        <v>-54.25</v>
      </c>
      <c r="P210" s="5">
        <v>-54.25</v>
      </c>
      <c r="Q210" s="1"/>
      <c r="R210" s="5">
        <v>0</v>
      </c>
      <c r="S210" s="1" t="s">
        <v>36</v>
      </c>
      <c r="T210" s="5">
        <v>9727.23</v>
      </c>
      <c r="U210" s="1" t="s">
        <v>37</v>
      </c>
      <c r="V210" s="5">
        <v>23709310</v>
      </c>
      <c r="W210" s="5">
        <v>208045</v>
      </c>
      <c r="X210" s="1"/>
      <c r="Y210" s="1"/>
      <c r="Z210" s="1"/>
      <c r="AA210" s="1"/>
      <c r="AB210" s="1"/>
      <c r="AC210" s="2"/>
      <c r="AD210" s="2"/>
    </row>
    <row r="211" spans="1:30" ht="14.4" x14ac:dyDescent="0.3">
      <c r="A211" s="3">
        <v>46024</v>
      </c>
      <c r="B211" s="4">
        <v>46024</v>
      </c>
      <c r="C211" s="1" t="s">
        <v>437</v>
      </c>
      <c r="D211" s="1" t="s">
        <v>43</v>
      </c>
      <c r="E211" s="1" t="s">
        <v>30</v>
      </c>
      <c r="F211" s="1" t="s">
        <v>237</v>
      </c>
      <c r="G211" s="5">
        <v>73079111</v>
      </c>
      <c r="H211" s="1"/>
      <c r="I211" s="1"/>
      <c r="J211" s="1"/>
      <c r="K211" s="1"/>
      <c r="L211" s="1" t="s">
        <v>36</v>
      </c>
      <c r="M211" s="5">
        <v>54.25</v>
      </c>
      <c r="N211" s="1" t="s">
        <v>36</v>
      </c>
      <c r="O211" s="5">
        <v>-54.25</v>
      </c>
      <c r="P211" s="5">
        <v>-54.25</v>
      </c>
      <c r="Q211" s="1"/>
      <c r="R211" s="5">
        <v>0</v>
      </c>
      <c r="S211" s="1" t="s">
        <v>36</v>
      </c>
      <c r="T211" s="5">
        <v>9781.48</v>
      </c>
      <c r="U211" s="1" t="s">
        <v>37</v>
      </c>
      <c r="V211" s="5">
        <v>23709310</v>
      </c>
      <c r="W211" s="5">
        <v>208045</v>
      </c>
      <c r="X211" s="1"/>
      <c r="Y211" s="1"/>
      <c r="Z211" s="1"/>
      <c r="AA211" s="1"/>
      <c r="AB211" s="1"/>
      <c r="AC211" s="2"/>
      <c r="AD211" s="2"/>
    </row>
    <row r="212" spans="1:30" ht="14.4" x14ac:dyDescent="0.3">
      <c r="A212" s="3">
        <v>46024</v>
      </c>
      <c r="B212" s="4">
        <v>46024</v>
      </c>
      <c r="C212" s="1" t="s">
        <v>438</v>
      </c>
      <c r="D212" s="1" t="s">
        <v>43</v>
      </c>
      <c r="E212" s="1" t="s">
        <v>30</v>
      </c>
      <c r="F212" s="1" t="s">
        <v>244</v>
      </c>
      <c r="G212" s="5">
        <v>70103612</v>
      </c>
      <c r="H212" s="1"/>
      <c r="I212" s="1"/>
      <c r="J212" s="1"/>
      <c r="K212" s="1"/>
      <c r="L212" s="1" t="s">
        <v>36</v>
      </c>
      <c r="M212" s="5">
        <v>16.62</v>
      </c>
      <c r="N212" s="1" t="s">
        <v>36</v>
      </c>
      <c r="O212" s="5">
        <v>-16.62</v>
      </c>
      <c r="P212" s="5">
        <v>-16.62</v>
      </c>
      <c r="Q212" s="1"/>
      <c r="R212" s="5">
        <v>0</v>
      </c>
      <c r="S212" s="1" t="s">
        <v>36</v>
      </c>
      <c r="T212" s="5">
        <v>9835.73</v>
      </c>
      <c r="U212" s="1" t="s">
        <v>37</v>
      </c>
      <c r="V212" s="5">
        <v>23709310</v>
      </c>
      <c r="W212" s="5">
        <v>208045</v>
      </c>
      <c r="X212" s="1"/>
      <c r="Y212" s="1"/>
      <c r="Z212" s="1"/>
      <c r="AA212" s="1"/>
      <c r="AB212" s="1"/>
      <c r="AC212" s="2"/>
      <c r="AD212" s="2"/>
    </row>
    <row r="213" spans="1:30" ht="14.4" x14ac:dyDescent="0.3">
      <c r="A213" s="3">
        <v>46023</v>
      </c>
      <c r="B213" s="4">
        <v>46024</v>
      </c>
      <c r="C213" s="1" t="s">
        <v>439</v>
      </c>
      <c r="D213" s="1" t="s">
        <v>29</v>
      </c>
      <c r="E213" s="1" t="s">
        <v>30</v>
      </c>
      <c r="F213" s="46" t="s">
        <v>440</v>
      </c>
      <c r="G213" s="45"/>
      <c r="H213" s="1" t="s">
        <v>32</v>
      </c>
      <c r="I213" s="1" t="s">
        <v>40</v>
      </c>
      <c r="J213" s="1" t="s">
        <v>41</v>
      </c>
      <c r="K213" s="1" t="s">
        <v>35</v>
      </c>
      <c r="L213" s="1" t="s">
        <v>36</v>
      </c>
      <c r="M213" s="5">
        <v>15.98</v>
      </c>
      <c r="N213" s="1" t="s">
        <v>36</v>
      </c>
      <c r="O213" s="5">
        <v>-15.98</v>
      </c>
      <c r="P213" s="5">
        <v>-15.98</v>
      </c>
      <c r="Q213" s="1"/>
      <c r="R213" s="5">
        <v>0</v>
      </c>
      <c r="S213" s="1" t="s">
        <v>36</v>
      </c>
      <c r="T213" s="5">
        <v>9852.35</v>
      </c>
      <c r="U213" s="1" t="s">
        <v>37</v>
      </c>
      <c r="V213" s="1"/>
      <c r="W213" s="1"/>
      <c r="X213" s="1"/>
      <c r="Y213" s="1"/>
      <c r="Z213" s="5">
        <v>5552</v>
      </c>
      <c r="AA213" s="1"/>
      <c r="AB213" s="1"/>
      <c r="AC213" s="2"/>
      <c r="AD213" s="2"/>
    </row>
    <row r="214" spans="1:30" ht="14.4" x14ac:dyDescent="0.3">
      <c r="A214" s="3">
        <v>46023</v>
      </c>
      <c r="B214" s="4">
        <v>46024</v>
      </c>
      <c r="C214" s="1" t="s">
        <v>441</v>
      </c>
      <c r="D214" s="1" t="s">
        <v>29</v>
      </c>
      <c r="E214" s="1" t="s">
        <v>30</v>
      </c>
      <c r="F214" s="44" t="s">
        <v>63</v>
      </c>
      <c r="G214" s="45"/>
      <c r="H214" s="1" t="s">
        <v>32</v>
      </c>
      <c r="I214" s="1" t="s">
        <v>40</v>
      </c>
      <c r="J214" s="1" t="s">
        <v>41</v>
      </c>
      <c r="K214" s="1" t="s">
        <v>35</v>
      </c>
      <c r="L214" s="1" t="s">
        <v>36</v>
      </c>
      <c r="M214" s="5">
        <v>6</v>
      </c>
      <c r="N214" s="1" t="s">
        <v>36</v>
      </c>
      <c r="O214" s="5">
        <v>-6</v>
      </c>
      <c r="P214" s="5">
        <v>-6</v>
      </c>
      <c r="Q214" s="1"/>
      <c r="R214" s="5">
        <v>0</v>
      </c>
      <c r="S214" s="1" t="s">
        <v>36</v>
      </c>
      <c r="T214" s="5">
        <v>9868.33</v>
      </c>
      <c r="U214" s="1" t="s">
        <v>37</v>
      </c>
      <c r="V214" s="1"/>
      <c r="W214" s="1"/>
      <c r="X214" s="1"/>
      <c r="Y214" s="1"/>
      <c r="Z214" s="5">
        <v>7523</v>
      </c>
      <c r="AA214" s="1"/>
      <c r="AB214" s="1"/>
      <c r="AC214" s="2"/>
      <c r="AD214" s="2"/>
    </row>
    <row r="215" spans="1:30" ht="14.4" x14ac:dyDescent="0.3">
      <c r="A215" s="3">
        <v>46023</v>
      </c>
      <c r="B215" s="4">
        <v>46023</v>
      </c>
      <c r="C215" s="1" t="s">
        <v>442</v>
      </c>
      <c r="D215" s="1" t="s">
        <v>29</v>
      </c>
      <c r="E215" s="1" t="s">
        <v>30</v>
      </c>
      <c r="F215" s="44" t="s">
        <v>246</v>
      </c>
      <c r="G215" s="45"/>
      <c r="H215" s="1" t="s">
        <v>32</v>
      </c>
      <c r="I215" s="1" t="s">
        <v>40</v>
      </c>
      <c r="J215" s="1" t="s">
        <v>41</v>
      </c>
      <c r="K215" s="1" t="s">
        <v>35</v>
      </c>
      <c r="L215" s="1" t="s">
        <v>36</v>
      </c>
      <c r="M215" s="5">
        <v>7</v>
      </c>
      <c r="N215" s="1" t="s">
        <v>36</v>
      </c>
      <c r="O215" s="5">
        <v>-7</v>
      </c>
      <c r="P215" s="5">
        <v>-7</v>
      </c>
      <c r="Q215" s="1"/>
      <c r="R215" s="5">
        <v>0</v>
      </c>
      <c r="S215" s="1" t="s">
        <v>36</v>
      </c>
      <c r="T215" s="5">
        <v>9874.33</v>
      </c>
      <c r="U215" s="1" t="s">
        <v>37</v>
      </c>
      <c r="V215" s="1"/>
      <c r="W215" s="1"/>
      <c r="X215" s="1"/>
      <c r="Y215" s="1"/>
      <c r="Z215" s="5">
        <v>4816</v>
      </c>
      <c r="AA215" s="1"/>
      <c r="AB215" s="1"/>
      <c r="AC215" s="2"/>
      <c r="AD215" s="2"/>
    </row>
    <row r="216" spans="1:30" ht="14.4" x14ac:dyDescent="0.3">
      <c r="A216" s="7">
        <v>46022</v>
      </c>
      <c r="B216" s="4">
        <v>46023</v>
      </c>
      <c r="C216" s="1" t="s">
        <v>443</v>
      </c>
      <c r="D216" s="1" t="s">
        <v>29</v>
      </c>
      <c r="E216" s="1" t="s">
        <v>30</v>
      </c>
      <c r="F216" s="44" t="s">
        <v>63</v>
      </c>
      <c r="G216" s="45"/>
      <c r="H216" s="1" t="s">
        <v>32</v>
      </c>
      <c r="I216" s="1" t="s">
        <v>40</v>
      </c>
      <c r="J216" s="1" t="s">
        <v>41</v>
      </c>
      <c r="K216" s="1" t="s">
        <v>35</v>
      </c>
      <c r="L216" s="1" t="s">
        <v>36</v>
      </c>
      <c r="M216" s="5">
        <v>6</v>
      </c>
      <c r="N216" s="1" t="s">
        <v>36</v>
      </c>
      <c r="O216" s="5">
        <v>-6</v>
      </c>
      <c r="P216" s="5">
        <v>-6</v>
      </c>
      <c r="Q216" s="1"/>
      <c r="R216" s="5">
        <v>0</v>
      </c>
      <c r="S216" s="1" t="s">
        <v>36</v>
      </c>
      <c r="T216" s="5">
        <v>9881.33</v>
      </c>
      <c r="U216" s="1" t="s">
        <v>37</v>
      </c>
      <c r="V216" s="1"/>
      <c r="W216" s="1"/>
      <c r="X216" s="1"/>
      <c r="Y216" s="1"/>
      <c r="Z216" s="5">
        <v>7523</v>
      </c>
      <c r="AA216" s="1"/>
      <c r="AB216" s="1"/>
      <c r="AC216" s="2"/>
      <c r="AD216" s="2"/>
    </row>
    <row r="217" spans="1:30" ht="14.4" x14ac:dyDescent="0.3">
      <c r="A217" s="7">
        <v>46022</v>
      </c>
      <c r="B217" s="4">
        <v>46023</v>
      </c>
      <c r="C217" s="1" t="s">
        <v>444</v>
      </c>
      <c r="D217" s="1" t="s">
        <v>29</v>
      </c>
      <c r="E217" s="1" t="s">
        <v>30</v>
      </c>
      <c r="F217" s="44" t="s">
        <v>63</v>
      </c>
      <c r="G217" s="45"/>
      <c r="H217" s="1" t="s">
        <v>32</v>
      </c>
      <c r="I217" s="1" t="s">
        <v>40</v>
      </c>
      <c r="J217" s="1" t="s">
        <v>41</v>
      </c>
      <c r="K217" s="1" t="s">
        <v>35</v>
      </c>
      <c r="L217" s="1" t="s">
        <v>36</v>
      </c>
      <c r="M217" s="5">
        <v>6</v>
      </c>
      <c r="N217" s="1" t="s">
        <v>36</v>
      </c>
      <c r="O217" s="5">
        <v>-6</v>
      </c>
      <c r="P217" s="5">
        <v>-6</v>
      </c>
      <c r="Q217" s="1"/>
      <c r="R217" s="5">
        <v>0</v>
      </c>
      <c r="S217" s="1" t="s">
        <v>36</v>
      </c>
      <c r="T217" s="5">
        <v>9887.33</v>
      </c>
      <c r="U217" s="1" t="s">
        <v>37</v>
      </c>
      <c r="V217" s="1"/>
      <c r="W217" s="1"/>
      <c r="X217" s="1"/>
      <c r="Y217" s="1"/>
      <c r="Z217" s="5">
        <v>7523</v>
      </c>
      <c r="AA217" s="1"/>
      <c r="AB217" s="1"/>
      <c r="AC217" s="2"/>
      <c r="AD217" s="2"/>
    </row>
    <row r="218" spans="1:30" ht="13.2" x14ac:dyDescent="0.25">
      <c r="A218" s="9"/>
      <c r="B218" s="1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9"/>
      <c r="N218" s="2"/>
      <c r="O218" s="9"/>
      <c r="P218" s="9"/>
      <c r="Q218" s="2"/>
      <c r="R218" s="9"/>
      <c r="S218" s="2"/>
      <c r="T218" s="9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3.2" x14ac:dyDescent="0.25">
      <c r="A219" s="9"/>
      <c r="B219" s="1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9"/>
      <c r="N219" s="2"/>
      <c r="O219" s="9"/>
      <c r="P219" s="9"/>
      <c r="Q219" s="2"/>
      <c r="R219" s="9"/>
      <c r="S219" s="2"/>
      <c r="T219" s="9"/>
      <c r="U219" s="2"/>
      <c r="V219" s="2"/>
      <c r="W219" s="2"/>
      <c r="X219" s="2"/>
      <c r="Y219" s="2"/>
      <c r="Z219" s="9"/>
      <c r="AA219" s="2"/>
      <c r="AB219" s="2"/>
      <c r="AC219" s="2"/>
      <c r="AD219" s="2"/>
    </row>
    <row r="220" spans="1:30" ht="13.2" x14ac:dyDescent="0.25">
      <c r="A220" s="9"/>
      <c r="B220" s="1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9"/>
      <c r="N220" s="2"/>
      <c r="O220" s="9"/>
      <c r="P220" s="9"/>
      <c r="Q220" s="2"/>
      <c r="R220" s="9"/>
      <c r="S220" s="2"/>
      <c r="T220" s="9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3.2" x14ac:dyDescent="0.25">
      <c r="A221" s="9"/>
      <c r="B221" s="1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9"/>
      <c r="N221" s="2"/>
      <c r="O221" s="9"/>
      <c r="P221" s="9"/>
      <c r="Q221" s="9"/>
      <c r="R221" s="9"/>
      <c r="S221" s="2"/>
      <c r="T221" s="9"/>
      <c r="U221" s="2"/>
      <c r="V221" s="2"/>
      <c r="W221" s="2"/>
      <c r="X221" s="2"/>
      <c r="Y221" s="2"/>
      <c r="Z221" s="9"/>
      <c r="AA221" s="2"/>
      <c r="AB221" s="2"/>
      <c r="AC221" s="2"/>
      <c r="AD221" s="2"/>
    </row>
    <row r="222" spans="1:30" ht="13.2" x14ac:dyDescent="0.25">
      <c r="A222" s="9"/>
      <c r="B222" s="1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9"/>
      <c r="N222" s="2"/>
      <c r="O222" s="9"/>
      <c r="P222" s="9"/>
      <c r="Q222" s="2"/>
      <c r="R222" s="9"/>
      <c r="S222" s="2"/>
      <c r="T222" s="9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3.2" x14ac:dyDescent="0.25">
      <c r="A223" s="9"/>
      <c r="B223" s="10"/>
      <c r="C223" s="2"/>
      <c r="D223" s="2"/>
      <c r="E223" s="2"/>
      <c r="F223" s="2"/>
      <c r="G223" s="9"/>
      <c r="H223" s="2"/>
      <c r="I223" s="2"/>
      <c r="J223" s="2"/>
      <c r="K223" s="2"/>
      <c r="L223" s="2"/>
      <c r="M223" s="9"/>
      <c r="N223" s="2"/>
      <c r="O223" s="9"/>
      <c r="P223" s="9"/>
      <c r="Q223" s="2"/>
      <c r="R223" s="9"/>
      <c r="S223" s="2"/>
      <c r="T223" s="9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3.2" x14ac:dyDescent="0.25">
      <c r="A224" s="9"/>
      <c r="B224" s="1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9"/>
      <c r="N224" s="2"/>
      <c r="O224" s="9"/>
      <c r="P224" s="9"/>
      <c r="Q224" s="2"/>
      <c r="R224" s="9"/>
      <c r="S224" s="2"/>
      <c r="T224" s="9"/>
      <c r="U224" s="2"/>
      <c r="V224" s="2"/>
      <c r="W224" s="2"/>
      <c r="X224" s="2"/>
      <c r="Y224" s="2"/>
      <c r="Z224" s="9"/>
      <c r="AA224" s="2"/>
      <c r="AB224" s="2"/>
      <c r="AC224" s="2"/>
      <c r="AD224" s="2"/>
    </row>
    <row r="225" spans="1:30" ht="13.2" x14ac:dyDescent="0.25">
      <c r="A225" s="9"/>
      <c r="B225" s="1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9"/>
      <c r="N225" s="2"/>
      <c r="O225" s="9"/>
      <c r="P225" s="9"/>
      <c r="Q225" s="2"/>
      <c r="R225" s="9"/>
      <c r="S225" s="2"/>
      <c r="T225" s="9"/>
      <c r="U225" s="2"/>
      <c r="V225" s="2"/>
      <c r="W225" s="2"/>
      <c r="X225" s="2"/>
      <c r="Y225" s="2"/>
      <c r="Z225" s="9"/>
      <c r="AA225" s="2"/>
      <c r="AB225" s="2"/>
      <c r="AC225" s="2"/>
      <c r="AD225" s="2"/>
    </row>
    <row r="226" spans="1:30" ht="13.2" x14ac:dyDescent="0.25">
      <c r="A226" s="9"/>
      <c r="B226" s="10"/>
      <c r="C226" s="2"/>
      <c r="D226" s="2"/>
      <c r="E226" s="2"/>
      <c r="F226" s="11"/>
      <c r="G226" s="2"/>
      <c r="H226" s="2"/>
      <c r="I226" s="2"/>
      <c r="J226" s="2"/>
      <c r="K226" s="2"/>
      <c r="L226" s="2"/>
      <c r="M226" s="9"/>
      <c r="N226" s="2"/>
      <c r="O226" s="9"/>
      <c r="P226" s="9"/>
      <c r="Q226" s="2"/>
      <c r="R226" s="9"/>
      <c r="S226" s="2"/>
      <c r="T226" s="9"/>
      <c r="U226" s="2"/>
      <c r="V226" s="2"/>
      <c r="W226" s="2"/>
      <c r="X226" s="2"/>
      <c r="Y226" s="2"/>
      <c r="Z226" s="9"/>
      <c r="AA226" s="2"/>
      <c r="AB226" s="2"/>
      <c r="AC226" s="2"/>
      <c r="AD226" s="2"/>
    </row>
    <row r="227" spans="1:30" ht="13.2" x14ac:dyDescent="0.25">
      <c r="A227" s="9"/>
      <c r="B227" s="1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9"/>
      <c r="N227" s="2"/>
      <c r="O227" s="9"/>
      <c r="P227" s="9"/>
      <c r="Q227" s="2"/>
      <c r="R227" s="9"/>
      <c r="S227" s="2"/>
      <c r="T227" s="9"/>
      <c r="U227" s="2"/>
      <c r="V227" s="2"/>
      <c r="W227" s="2"/>
      <c r="X227" s="2"/>
      <c r="Y227" s="2"/>
      <c r="Z227" s="9"/>
      <c r="AA227" s="2"/>
      <c r="AB227" s="2"/>
      <c r="AC227" s="2"/>
      <c r="AD227" s="2"/>
    </row>
    <row r="228" spans="1:30" ht="13.2" x14ac:dyDescent="0.25">
      <c r="A228" s="9"/>
      <c r="B228" s="1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9"/>
      <c r="N228" s="2"/>
      <c r="O228" s="9"/>
      <c r="P228" s="9"/>
      <c r="Q228" s="2"/>
      <c r="R228" s="9"/>
      <c r="S228" s="2"/>
      <c r="T228" s="9"/>
      <c r="U228" s="2"/>
      <c r="V228" s="2"/>
      <c r="W228" s="2"/>
      <c r="X228" s="2"/>
      <c r="Y228" s="2"/>
      <c r="Z228" s="9"/>
      <c r="AA228" s="2"/>
      <c r="AB228" s="2"/>
      <c r="AC228" s="2"/>
      <c r="AD228" s="2"/>
    </row>
    <row r="229" spans="1:30" ht="13.2" x14ac:dyDescent="0.25">
      <c r="A229" s="9"/>
      <c r="B229" s="1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9"/>
      <c r="N229" s="2"/>
      <c r="O229" s="9"/>
      <c r="P229" s="9"/>
      <c r="Q229" s="2"/>
      <c r="R229" s="9"/>
      <c r="S229" s="2"/>
      <c r="T229" s="9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3.2" x14ac:dyDescent="0.25">
      <c r="A230" s="9"/>
      <c r="B230" s="10"/>
      <c r="C230" s="2"/>
      <c r="D230" s="2"/>
      <c r="E230" s="2"/>
      <c r="F230" s="11"/>
      <c r="G230" s="2"/>
      <c r="H230" s="2"/>
      <c r="I230" s="2"/>
      <c r="J230" s="2"/>
      <c r="K230" s="2"/>
      <c r="L230" s="2"/>
      <c r="M230" s="9"/>
      <c r="N230" s="2"/>
      <c r="O230" s="9"/>
      <c r="P230" s="9"/>
      <c r="Q230" s="2"/>
      <c r="R230" s="9"/>
      <c r="S230" s="2"/>
      <c r="T230" s="9"/>
      <c r="U230" s="2"/>
      <c r="V230" s="2"/>
      <c r="W230" s="2"/>
      <c r="X230" s="2"/>
      <c r="Y230" s="2"/>
      <c r="Z230" s="9"/>
      <c r="AA230" s="2"/>
      <c r="AB230" s="2"/>
      <c r="AC230" s="2"/>
      <c r="AD230" s="2"/>
    </row>
    <row r="231" spans="1:30" ht="13.2" x14ac:dyDescent="0.25">
      <c r="A231" s="9"/>
      <c r="B231" s="1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9"/>
      <c r="N231" s="2"/>
      <c r="O231" s="9"/>
      <c r="P231" s="9"/>
      <c r="Q231" s="2"/>
      <c r="R231" s="9"/>
      <c r="S231" s="2"/>
      <c r="T231" s="9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3.2" x14ac:dyDescent="0.25">
      <c r="A232" s="9"/>
      <c r="B232" s="1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9"/>
      <c r="N232" s="2"/>
      <c r="O232" s="9"/>
      <c r="P232" s="9"/>
      <c r="Q232" s="2"/>
      <c r="R232" s="9"/>
      <c r="S232" s="2"/>
      <c r="T232" s="9"/>
      <c r="U232" s="2"/>
      <c r="V232" s="2"/>
      <c r="W232" s="2"/>
      <c r="X232" s="2"/>
      <c r="Y232" s="2"/>
      <c r="Z232" s="9"/>
      <c r="AA232" s="2"/>
      <c r="AB232" s="2"/>
      <c r="AC232" s="2"/>
      <c r="AD232" s="2"/>
    </row>
    <row r="233" spans="1:30" ht="13.2" x14ac:dyDescent="0.25">
      <c r="A233" s="9"/>
      <c r="B233" s="1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9"/>
      <c r="N233" s="2"/>
      <c r="O233" s="9"/>
      <c r="P233" s="9"/>
      <c r="Q233" s="2"/>
      <c r="R233" s="9"/>
      <c r="S233" s="2"/>
      <c r="T233" s="9"/>
      <c r="U233" s="2"/>
      <c r="V233" s="2"/>
      <c r="W233" s="2"/>
      <c r="X233" s="2"/>
      <c r="Y233" s="2"/>
      <c r="Z233" s="9"/>
      <c r="AA233" s="2"/>
      <c r="AB233" s="2"/>
      <c r="AC233" s="2"/>
      <c r="AD233" s="2"/>
    </row>
    <row r="234" spans="1:30" ht="13.2" x14ac:dyDescent="0.25">
      <c r="A234" s="9"/>
      <c r="B234" s="1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9"/>
      <c r="N234" s="2"/>
      <c r="O234" s="9"/>
      <c r="P234" s="9"/>
      <c r="Q234" s="2"/>
      <c r="R234" s="9"/>
      <c r="S234" s="2"/>
      <c r="T234" s="9"/>
      <c r="U234" s="2"/>
      <c r="V234" s="2"/>
      <c r="W234" s="2"/>
      <c r="X234" s="2"/>
      <c r="Y234" s="2"/>
      <c r="Z234" s="9"/>
      <c r="AA234" s="2"/>
      <c r="AB234" s="2"/>
      <c r="AC234" s="2"/>
      <c r="AD234" s="2"/>
    </row>
    <row r="235" spans="1:30" ht="13.2" x14ac:dyDescent="0.25">
      <c r="A235" s="9"/>
      <c r="B235" s="1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9"/>
      <c r="N235" s="2"/>
      <c r="O235" s="9"/>
      <c r="P235" s="9"/>
      <c r="Q235" s="2"/>
      <c r="R235" s="9"/>
      <c r="S235" s="2"/>
      <c r="T235" s="9"/>
      <c r="U235" s="2"/>
      <c r="V235" s="2"/>
      <c r="W235" s="2"/>
      <c r="X235" s="2"/>
      <c r="Y235" s="2"/>
      <c r="Z235" s="9"/>
      <c r="AA235" s="2"/>
      <c r="AB235" s="2"/>
      <c r="AC235" s="2"/>
      <c r="AD235" s="2"/>
    </row>
    <row r="236" spans="1:30" ht="13.2" x14ac:dyDescent="0.25">
      <c r="A236" s="9"/>
      <c r="B236" s="1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9"/>
      <c r="N236" s="2"/>
      <c r="O236" s="9"/>
      <c r="P236" s="9"/>
      <c r="Q236" s="2"/>
      <c r="R236" s="9"/>
      <c r="S236" s="2"/>
      <c r="T236" s="9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.2" x14ac:dyDescent="0.25">
      <c r="A237" s="9"/>
      <c r="B237" s="1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9"/>
      <c r="N237" s="2"/>
      <c r="O237" s="9"/>
      <c r="P237" s="9"/>
      <c r="Q237" s="2"/>
      <c r="R237" s="9"/>
      <c r="S237" s="2"/>
      <c r="T237" s="9"/>
      <c r="U237" s="2"/>
      <c r="V237" s="9"/>
      <c r="W237" s="9"/>
      <c r="X237" s="2"/>
      <c r="Y237" s="2"/>
      <c r="Z237" s="2"/>
      <c r="AA237" s="2"/>
      <c r="AB237" s="2"/>
      <c r="AC237" s="2"/>
      <c r="AD237" s="2"/>
    </row>
    <row r="238" spans="1:30" ht="13.2" x14ac:dyDescent="0.25">
      <c r="A238" s="9"/>
      <c r="B238" s="1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9"/>
      <c r="N238" s="2"/>
      <c r="O238" s="9"/>
      <c r="P238" s="9"/>
      <c r="Q238" s="2"/>
      <c r="R238" s="9"/>
      <c r="S238" s="2"/>
      <c r="T238" s="9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.2" x14ac:dyDescent="0.25">
      <c r="A239" s="9"/>
      <c r="B239" s="1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9"/>
      <c r="N239" s="2"/>
      <c r="O239" s="9"/>
      <c r="P239" s="9"/>
      <c r="Q239" s="2"/>
      <c r="R239" s="9"/>
      <c r="S239" s="2"/>
      <c r="T239" s="9"/>
      <c r="U239" s="2"/>
      <c r="V239" s="2"/>
      <c r="W239" s="2"/>
      <c r="X239" s="2"/>
      <c r="Y239" s="2"/>
      <c r="Z239" s="9"/>
      <c r="AA239" s="2"/>
      <c r="AB239" s="2"/>
      <c r="AC239" s="2"/>
      <c r="AD239" s="2"/>
    </row>
    <row r="240" spans="1:30" ht="13.2" x14ac:dyDescent="0.25">
      <c r="A240" s="9"/>
      <c r="B240" s="1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9"/>
      <c r="N240" s="2"/>
      <c r="O240" s="9"/>
      <c r="P240" s="9"/>
      <c r="Q240" s="2"/>
      <c r="R240" s="9"/>
      <c r="S240" s="2"/>
      <c r="T240" s="9"/>
      <c r="U240" s="2"/>
      <c r="V240" s="2"/>
      <c r="W240" s="2"/>
      <c r="X240" s="2"/>
      <c r="Y240" s="2"/>
      <c r="Z240" s="9"/>
      <c r="AA240" s="2"/>
      <c r="AB240" s="2"/>
      <c r="AC240" s="2"/>
      <c r="AD240" s="2"/>
    </row>
    <row r="241" spans="1:30" ht="13.2" x14ac:dyDescent="0.25">
      <c r="A241" s="9"/>
      <c r="B241" s="1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9"/>
      <c r="N241" s="2"/>
      <c r="O241" s="9"/>
      <c r="P241" s="9"/>
      <c r="Q241" s="2"/>
      <c r="R241" s="9"/>
      <c r="S241" s="2"/>
      <c r="T241" s="9"/>
      <c r="U241" s="2"/>
      <c r="V241" s="2"/>
      <c r="W241" s="2"/>
      <c r="X241" s="2"/>
      <c r="Y241" s="2"/>
      <c r="Z241" s="9"/>
      <c r="AA241" s="2"/>
      <c r="AB241" s="2"/>
      <c r="AC241" s="2"/>
      <c r="AD241" s="2"/>
    </row>
    <row r="242" spans="1:30" ht="13.2" x14ac:dyDescent="0.25">
      <c r="A242" s="9"/>
      <c r="B242" s="1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9"/>
      <c r="N242" s="2"/>
      <c r="O242" s="9"/>
      <c r="P242" s="9"/>
      <c r="Q242" s="2"/>
      <c r="R242" s="9"/>
      <c r="S242" s="2"/>
      <c r="T242" s="9"/>
      <c r="U242" s="2"/>
      <c r="V242" s="2"/>
      <c r="W242" s="2"/>
      <c r="X242" s="2"/>
      <c r="Y242" s="2"/>
      <c r="Z242" s="9"/>
      <c r="AA242" s="2"/>
      <c r="AB242" s="2"/>
      <c r="AC242" s="2"/>
      <c r="AD242" s="2"/>
    </row>
    <row r="243" spans="1:30" ht="13.2" x14ac:dyDescent="0.25">
      <c r="A243" s="9"/>
      <c r="B243" s="1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9"/>
      <c r="N243" s="2"/>
      <c r="O243" s="9"/>
      <c r="P243" s="9"/>
      <c r="Q243" s="2"/>
      <c r="R243" s="9"/>
      <c r="S243" s="2"/>
      <c r="T243" s="9"/>
      <c r="U243" s="2"/>
      <c r="V243" s="2"/>
      <c r="W243" s="2"/>
      <c r="X243" s="2"/>
      <c r="Y243" s="2"/>
      <c r="Z243" s="9"/>
      <c r="AA243" s="2"/>
      <c r="AB243" s="2"/>
      <c r="AC243" s="2"/>
      <c r="AD243" s="2"/>
    </row>
    <row r="244" spans="1:30" ht="13.2" x14ac:dyDescent="0.25">
      <c r="A244" s="9"/>
      <c r="B244" s="1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9"/>
      <c r="N244" s="2"/>
      <c r="O244" s="9"/>
      <c r="P244" s="9"/>
      <c r="Q244" s="2"/>
      <c r="R244" s="9"/>
      <c r="S244" s="2"/>
      <c r="T244" s="9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3.2" x14ac:dyDescent="0.25">
      <c r="A245" s="9"/>
      <c r="B245" s="1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9"/>
      <c r="N245" s="2"/>
      <c r="O245" s="9"/>
      <c r="P245" s="9"/>
      <c r="Q245" s="2"/>
      <c r="R245" s="9"/>
      <c r="S245" s="2"/>
      <c r="T245" s="9"/>
      <c r="U245" s="2"/>
      <c r="V245" s="2"/>
      <c r="W245" s="2"/>
      <c r="X245" s="2"/>
      <c r="Y245" s="2"/>
      <c r="Z245" s="9"/>
      <c r="AA245" s="2"/>
      <c r="AB245" s="2"/>
      <c r="AC245" s="2"/>
      <c r="AD245" s="2"/>
    </row>
    <row r="246" spans="1:30" ht="13.2" x14ac:dyDescent="0.25">
      <c r="A246" s="9"/>
      <c r="B246" s="1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9"/>
      <c r="N246" s="2"/>
      <c r="O246" s="9"/>
      <c r="P246" s="9"/>
      <c r="Q246" s="2"/>
      <c r="R246" s="9"/>
      <c r="S246" s="2"/>
      <c r="T246" s="9"/>
      <c r="U246" s="2"/>
      <c r="V246" s="2"/>
      <c r="W246" s="2"/>
      <c r="X246" s="2"/>
      <c r="Y246" s="2"/>
      <c r="Z246" s="9"/>
      <c r="AA246" s="2"/>
      <c r="AB246" s="2"/>
      <c r="AC246" s="2"/>
      <c r="AD246" s="2"/>
    </row>
    <row r="247" spans="1:30" ht="13.2" x14ac:dyDescent="0.25">
      <c r="A247" s="9"/>
      <c r="B247" s="1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9"/>
      <c r="N247" s="2"/>
      <c r="O247" s="9"/>
      <c r="P247" s="9"/>
      <c r="Q247" s="2"/>
      <c r="R247" s="9"/>
      <c r="S247" s="2"/>
      <c r="T247" s="9"/>
      <c r="U247" s="2"/>
      <c r="V247" s="2"/>
      <c r="W247" s="2"/>
      <c r="X247" s="2"/>
      <c r="Y247" s="2"/>
      <c r="Z247" s="9"/>
      <c r="AA247" s="2"/>
      <c r="AB247" s="2"/>
      <c r="AC247" s="2"/>
      <c r="AD247" s="2"/>
    </row>
    <row r="248" spans="1:30" ht="13.2" x14ac:dyDescent="0.25">
      <c r="A248" s="9"/>
      <c r="B248" s="1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9"/>
      <c r="N248" s="2"/>
      <c r="O248" s="9"/>
      <c r="P248" s="9"/>
      <c r="Q248" s="2"/>
      <c r="R248" s="9"/>
      <c r="S248" s="2"/>
      <c r="T248" s="9"/>
      <c r="U248" s="2"/>
      <c r="V248" s="2"/>
      <c r="W248" s="2"/>
      <c r="X248" s="2"/>
      <c r="Y248" s="2"/>
      <c r="Z248" s="9"/>
      <c r="AA248" s="2"/>
      <c r="AB248" s="2"/>
      <c r="AC248" s="2"/>
      <c r="AD248" s="2"/>
    </row>
    <row r="249" spans="1:30" ht="13.2" x14ac:dyDescent="0.25">
      <c r="A249" s="9"/>
      <c r="B249" s="10"/>
      <c r="C249" s="2"/>
      <c r="D249" s="2"/>
      <c r="E249" s="2"/>
      <c r="F249" s="2"/>
      <c r="G249" s="12"/>
      <c r="H249" s="2"/>
      <c r="I249" s="2"/>
      <c r="J249" s="2"/>
      <c r="K249" s="2"/>
      <c r="L249" s="2"/>
      <c r="M249" s="9"/>
      <c r="N249" s="2"/>
      <c r="O249" s="9"/>
      <c r="P249" s="9"/>
      <c r="Q249" s="2"/>
      <c r="R249" s="9"/>
      <c r="S249" s="2"/>
      <c r="T249" s="9"/>
      <c r="U249" s="2"/>
      <c r="V249" s="2"/>
      <c r="W249" s="2"/>
      <c r="X249" s="2"/>
      <c r="Y249" s="2"/>
      <c r="Z249" s="9"/>
      <c r="AA249" s="2"/>
      <c r="AB249" s="2"/>
      <c r="AC249" s="2"/>
      <c r="AD249" s="2"/>
    </row>
    <row r="250" spans="1:30" ht="13.2" x14ac:dyDescent="0.25">
      <c r="A250" s="9"/>
      <c r="B250" s="1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9"/>
      <c r="N250" s="2"/>
      <c r="O250" s="9"/>
      <c r="P250" s="9"/>
      <c r="Q250" s="2"/>
      <c r="R250" s="9"/>
      <c r="S250" s="2"/>
      <c r="T250" s="9"/>
      <c r="U250" s="2"/>
      <c r="V250" s="9"/>
      <c r="W250" s="9"/>
      <c r="X250" s="2"/>
      <c r="Y250" s="2"/>
      <c r="Z250" s="2"/>
      <c r="AA250" s="2"/>
      <c r="AB250" s="2"/>
      <c r="AC250" s="2"/>
      <c r="AD250" s="2"/>
    </row>
    <row r="251" spans="1:30" ht="13.2" x14ac:dyDescent="0.25">
      <c r="A251" s="9"/>
      <c r="B251" s="1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9"/>
      <c r="N251" s="2"/>
      <c r="O251" s="9"/>
      <c r="P251" s="9"/>
      <c r="Q251" s="2"/>
      <c r="R251" s="9"/>
      <c r="S251" s="2"/>
      <c r="T251" s="9"/>
      <c r="U251" s="2"/>
      <c r="V251" s="2"/>
      <c r="W251" s="2"/>
      <c r="X251" s="2"/>
      <c r="Y251" s="2"/>
      <c r="Z251" s="9"/>
      <c r="AA251" s="2"/>
      <c r="AB251" s="2"/>
      <c r="AC251" s="2"/>
      <c r="AD251" s="2"/>
    </row>
    <row r="252" spans="1:30" ht="13.2" x14ac:dyDescent="0.25">
      <c r="A252" s="9"/>
      <c r="B252" s="1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9"/>
      <c r="N252" s="2"/>
      <c r="O252" s="9"/>
      <c r="P252" s="9"/>
      <c r="Q252" s="2"/>
      <c r="R252" s="9"/>
      <c r="S252" s="2"/>
      <c r="T252" s="9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3.2" x14ac:dyDescent="0.25">
      <c r="A253" s="9"/>
      <c r="B253" s="1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9"/>
      <c r="N253" s="2"/>
      <c r="O253" s="9"/>
      <c r="P253" s="9"/>
      <c r="Q253" s="2"/>
      <c r="R253" s="9"/>
      <c r="S253" s="2"/>
      <c r="T253" s="9"/>
      <c r="U253" s="2"/>
      <c r="V253" s="2"/>
      <c r="W253" s="2"/>
      <c r="X253" s="2"/>
      <c r="Y253" s="2"/>
      <c r="Z253" s="9"/>
      <c r="AA253" s="2"/>
      <c r="AB253" s="2"/>
      <c r="AC253" s="2"/>
      <c r="AD253" s="2"/>
    </row>
    <row r="254" spans="1:30" ht="13.2" x14ac:dyDescent="0.25">
      <c r="A254" s="9"/>
      <c r="B254" s="1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9"/>
      <c r="N254" s="2"/>
      <c r="O254" s="9"/>
      <c r="P254" s="9"/>
      <c r="Q254" s="2"/>
      <c r="R254" s="9"/>
      <c r="S254" s="2"/>
      <c r="T254" s="9"/>
      <c r="U254" s="2"/>
      <c r="V254" s="9"/>
      <c r="W254" s="9"/>
      <c r="X254" s="2"/>
      <c r="Y254" s="2"/>
      <c r="Z254" s="2"/>
      <c r="AA254" s="2"/>
      <c r="AB254" s="2"/>
      <c r="AC254" s="2"/>
      <c r="AD254" s="2"/>
    </row>
    <row r="255" spans="1:30" ht="13.2" x14ac:dyDescent="0.25">
      <c r="A255" s="9"/>
      <c r="B255" s="1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9"/>
      <c r="N255" s="2"/>
      <c r="O255" s="9"/>
      <c r="P255" s="9"/>
      <c r="Q255" s="2"/>
      <c r="R255" s="9"/>
      <c r="S255" s="2"/>
      <c r="T255" s="9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3.2" x14ac:dyDescent="0.25">
      <c r="A256" s="9"/>
      <c r="B256" s="1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9"/>
      <c r="N256" s="2"/>
      <c r="O256" s="9"/>
      <c r="P256" s="9"/>
      <c r="Q256" s="2"/>
      <c r="R256" s="9"/>
      <c r="S256" s="2"/>
      <c r="T256" s="9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3.2" x14ac:dyDescent="0.25">
      <c r="A257" s="9"/>
      <c r="B257" s="10"/>
      <c r="C257" s="2"/>
      <c r="D257" s="2"/>
      <c r="E257" s="2"/>
      <c r="F257" s="2"/>
      <c r="G257" s="9"/>
      <c r="H257" s="2"/>
      <c r="I257" s="2"/>
      <c r="J257" s="2"/>
      <c r="K257" s="2"/>
      <c r="L257" s="2"/>
      <c r="M257" s="9"/>
      <c r="N257" s="2"/>
      <c r="O257" s="9"/>
      <c r="P257" s="9"/>
      <c r="Q257" s="2"/>
      <c r="R257" s="9"/>
      <c r="S257" s="2"/>
      <c r="T257" s="9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3.2" x14ac:dyDescent="0.25">
      <c r="A258" s="9"/>
      <c r="B258" s="10"/>
      <c r="C258" s="2"/>
      <c r="D258" s="2"/>
      <c r="E258" s="2"/>
      <c r="F258" s="2"/>
      <c r="G258" s="9"/>
      <c r="H258" s="2"/>
      <c r="I258" s="2"/>
      <c r="J258" s="2"/>
      <c r="K258" s="2"/>
      <c r="L258" s="2"/>
      <c r="M258" s="9"/>
      <c r="N258" s="2"/>
      <c r="O258" s="9"/>
      <c r="P258" s="9"/>
      <c r="Q258" s="2"/>
      <c r="R258" s="9"/>
      <c r="S258" s="2"/>
      <c r="T258" s="9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3.2" x14ac:dyDescent="0.25">
      <c r="A259" s="9"/>
      <c r="B259" s="10"/>
      <c r="C259" s="2"/>
      <c r="D259" s="2"/>
      <c r="E259" s="2"/>
      <c r="F259" s="2"/>
      <c r="G259" s="9"/>
      <c r="H259" s="2"/>
      <c r="I259" s="2"/>
      <c r="J259" s="2"/>
      <c r="K259" s="2"/>
      <c r="L259" s="2"/>
      <c r="M259" s="9"/>
      <c r="N259" s="2"/>
      <c r="O259" s="9"/>
      <c r="P259" s="9"/>
      <c r="Q259" s="2"/>
      <c r="R259" s="9"/>
      <c r="S259" s="2"/>
      <c r="T259" s="9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3.2" x14ac:dyDescent="0.25">
      <c r="A260" s="9"/>
      <c r="B260" s="10"/>
      <c r="C260" s="2"/>
      <c r="D260" s="2"/>
      <c r="E260" s="2"/>
      <c r="F260" s="2"/>
      <c r="G260" s="9"/>
      <c r="H260" s="2"/>
      <c r="I260" s="2"/>
      <c r="J260" s="2"/>
      <c r="K260" s="2"/>
      <c r="L260" s="2"/>
      <c r="M260" s="9"/>
      <c r="N260" s="2"/>
      <c r="O260" s="9"/>
      <c r="P260" s="9"/>
      <c r="Q260" s="2"/>
      <c r="R260" s="9"/>
      <c r="S260" s="2"/>
      <c r="T260" s="9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3.2" x14ac:dyDescent="0.25">
      <c r="A261" s="9"/>
      <c r="B261" s="1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9"/>
      <c r="N261" s="2"/>
      <c r="O261" s="9"/>
      <c r="P261" s="9"/>
      <c r="Q261" s="2"/>
      <c r="R261" s="9"/>
      <c r="S261" s="2"/>
      <c r="T261" s="9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3.2" x14ac:dyDescent="0.25">
      <c r="A262" s="9"/>
      <c r="B262" s="10"/>
      <c r="C262" s="2"/>
      <c r="D262" s="2"/>
      <c r="E262" s="2"/>
      <c r="F262" s="2"/>
      <c r="G262" s="9"/>
      <c r="H262" s="2"/>
      <c r="I262" s="2"/>
      <c r="J262" s="2"/>
      <c r="K262" s="2"/>
      <c r="L262" s="2"/>
      <c r="M262" s="9"/>
      <c r="N262" s="2"/>
      <c r="O262" s="9"/>
      <c r="P262" s="9"/>
      <c r="Q262" s="2"/>
      <c r="R262" s="9"/>
      <c r="S262" s="2"/>
      <c r="T262" s="9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3.2" x14ac:dyDescent="0.25">
      <c r="A263" s="9"/>
      <c r="B263" s="10"/>
      <c r="C263" s="2"/>
      <c r="D263" s="2"/>
      <c r="E263" s="2"/>
      <c r="F263" s="2"/>
      <c r="G263" s="9"/>
      <c r="H263" s="2"/>
      <c r="I263" s="2"/>
      <c r="J263" s="2"/>
      <c r="K263" s="2"/>
      <c r="L263" s="2"/>
      <c r="M263" s="9"/>
      <c r="N263" s="2"/>
      <c r="O263" s="9"/>
      <c r="P263" s="9"/>
      <c r="Q263" s="2"/>
      <c r="R263" s="9"/>
      <c r="S263" s="2"/>
      <c r="T263" s="9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3.2" x14ac:dyDescent="0.25">
      <c r="A264" s="9"/>
      <c r="B264" s="1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9"/>
      <c r="N264" s="2"/>
      <c r="O264" s="9"/>
      <c r="P264" s="9"/>
      <c r="Q264" s="2"/>
      <c r="R264" s="9"/>
      <c r="S264" s="2"/>
      <c r="T264" s="9"/>
      <c r="U264" s="2"/>
      <c r="V264" s="9"/>
      <c r="W264" s="9"/>
      <c r="X264" s="2"/>
      <c r="Y264" s="2"/>
      <c r="Z264" s="2"/>
      <c r="AA264" s="2"/>
      <c r="AB264" s="2"/>
      <c r="AC264" s="2"/>
      <c r="AD264" s="2"/>
    </row>
    <row r="265" spans="1:30" ht="13.2" x14ac:dyDescent="0.25">
      <c r="A265" s="9"/>
      <c r="B265" s="1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9"/>
      <c r="N265" s="2"/>
      <c r="O265" s="9"/>
      <c r="P265" s="9"/>
      <c r="Q265" s="2"/>
      <c r="R265" s="9"/>
      <c r="S265" s="2"/>
      <c r="T265" s="9"/>
      <c r="U265" s="2"/>
      <c r="V265" s="2"/>
      <c r="W265" s="2"/>
      <c r="X265" s="2"/>
      <c r="Y265" s="2"/>
      <c r="Z265" s="9"/>
      <c r="AA265" s="2"/>
      <c r="AB265" s="2"/>
      <c r="AC265" s="2"/>
      <c r="AD265" s="2"/>
    </row>
    <row r="266" spans="1:30" ht="13.2" x14ac:dyDescent="0.25">
      <c r="A266" s="9"/>
      <c r="B266" s="1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9"/>
      <c r="N266" s="2"/>
      <c r="O266" s="9"/>
      <c r="P266" s="9"/>
      <c r="Q266" s="2"/>
      <c r="R266" s="9"/>
      <c r="S266" s="2"/>
      <c r="T266" s="9"/>
      <c r="U266" s="2"/>
      <c r="V266" s="2"/>
      <c r="W266" s="2"/>
      <c r="X266" s="2"/>
      <c r="Y266" s="2"/>
      <c r="Z266" s="9"/>
      <c r="AA266" s="2"/>
      <c r="AB266" s="2"/>
      <c r="AC266" s="2"/>
      <c r="AD266" s="2"/>
    </row>
    <row r="267" spans="1:30" ht="13.2" x14ac:dyDescent="0.25">
      <c r="A267" s="9"/>
      <c r="B267" s="10"/>
      <c r="C267" s="2"/>
      <c r="D267" s="2"/>
      <c r="E267" s="2"/>
      <c r="F267" s="11"/>
      <c r="G267" s="2"/>
      <c r="H267" s="2"/>
      <c r="I267" s="2"/>
      <c r="J267" s="2"/>
      <c r="K267" s="2"/>
      <c r="L267" s="2"/>
      <c r="M267" s="9"/>
      <c r="N267" s="2"/>
      <c r="O267" s="9"/>
      <c r="P267" s="9"/>
      <c r="Q267" s="2"/>
      <c r="R267" s="9"/>
      <c r="S267" s="2"/>
      <c r="T267" s="9"/>
      <c r="U267" s="2"/>
      <c r="V267" s="2"/>
      <c r="W267" s="2"/>
      <c r="X267" s="2"/>
      <c r="Y267" s="2"/>
      <c r="Z267" s="9"/>
      <c r="AA267" s="2"/>
      <c r="AB267" s="2"/>
      <c r="AC267" s="2"/>
      <c r="AD267" s="2"/>
    </row>
    <row r="268" spans="1:30" ht="13.2" x14ac:dyDescent="0.25">
      <c r="A268" s="9"/>
      <c r="B268" s="1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9"/>
      <c r="N268" s="2"/>
      <c r="O268" s="9"/>
      <c r="P268" s="9"/>
      <c r="Q268" s="2"/>
      <c r="R268" s="9"/>
      <c r="S268" s="2"/>
      <c r="T268" s="9"/>
      <c r="U268" s="2"/>
      <c r="V268" s="2"/>
      <c r="W268" s="2"/>
      <c r="X268" s="2"/>
      <c r="Y268" s="2"/>
      <c r="Z268" s="9"/>
      <c r="AA268" s="2"/>
      <c r="AB268" s="2"/>
      <c r="AC268" s="2"/>
      <c r="AD268" s="2"/>
    </row>
    <row r="269" spans="1:30" ht="13.2" x14ac:dyDescent="0.25">
      <c r="A269" s="9"/>
      <c r="B269" s="1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9"/>
      <c r="N269" s="2"/>
      <c r="O269" s="9"/>
      <c r="P269" s="9"/>
      <c r="Q269" s="2"/>
      <c r="R269" s="9"/>
      <c r="S269" s="2"/>
      <c r="T269" s="9"/>
      <c r="U269" s="2"/>
      <c r="V269" s="2"/>
      <c r="W269" s="2"/>
      <c r="X269" s="2"/>
      <c r="Y269" s="2"/>
      <c r="Z269" s="9"/>
      <c r="AA269" s="2"/>
      <c r="AB269" s="2"/>
      <c r="AC269" s="2"/>
      <c r="AD269" s="2"/>
    </row>
    <row r="270" spans="1:30" ht="13.2" x14ac:dyDescent="0.25">
      <c r="A270" s="9"/>
      <c r="B270" s="1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9"/>
      <c r="N270" s="2"/>
      <c r="O270" s="9"/>
      <c r="P270" s="9"/>
      <c r="Q270" s="2"/>
      <c r="R270" s="9"/>
      <c r="S270" s="2"/>
      <c r="T270" s="9"/>
      <c r="U270" s="2"/>
      <c r="V270" s="2"/>
      <c r="W270" s="2"/>
      <c r="X270" s="2"/>
      <c r="Y270" s="2"/>
      <c r="Z270" s="9"/>
      <c r="AA270" s="2"/>
      <c r="AB270" s="2"/>
      <c r="AC270" s="2"/>
      <c r="AD270" s="2"/>
    </row>
    <row r="271" spans="1:30" ht="13.2" x14ac:dyDescent="0.25">
      <c r="A271" s="9"/>
      <c r="B271" s="1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9"/>
      <c r="N271" s="2"/>
      <c r="O271" s="9"/>
      <c r="P271" s="9"/>
      <c r="Q271" s="2"/>
      <c r="R271" s="9"/>
      <c r="S271" s="2"/>
      <c r="T271" s="9"/>
      <c r="U271" s="2"/>
      <c r="V271" s="2"/>
      <c r="W271" s="2"/>
      <c r="X271" s="2"/>
      <c r="Y271" s="2"/>
      <c r="Z271" s="9"/>
      <c r="AA271" s="2"/>
      <c r="AB271" s="2"/>
      <c r="AC271" s="2"/>
      <c r="AD271" s="2"/>
    </row>
    <row r="272" spans="1:30" ht="13.2" x14ac:dyDescent="0.25">
      <c r="A272" s="9"/>
      <c r="B272" s="10"/>
      <c r="C272" s="2"/>
      <c r="D272" s="2"/>
      <c r="E272" s="2"/>
      <c r="F272" s="11"/>
      <c r="G272" s="2"/>
      <c r="H272" s="2"/>
      <c r="I272" s="2"/>
      <c r="J272" s="2"/>
      <c r="K272" s="2"/>
      <c r="L272" s="2"/>
      <c r="M272" s="9"/>
      <c r="N272" s="2"/>
      <c r="O272" s="9"/>
      <c r="P272" s="9"/>
      <c r="Q272" s="2"/>
      <c r="R272" s="9"/>
      <c r="S272" s="2"/>
      <c r="T272" s="9"/>
      <c r="U272" s="2"/>
      <c r="V272" s="2"/>
      <c r="W272" s="2"/>
      <c r="X272" s="2"/>
      <c r="Y272" s="2"/>
      <c r="Z272" s="9"/>
      <c r="AA272" s="2"/>
      <c r="AB272" s="2"/>
      <c r="AC272" s="2"/>
      <c r="AD272" s="2"/>
    </row>
    <row r="273" spans="1:30" ht="13.2" x14ac:dyDescent="0.25">
      <c r="A273" s="9"/>
      <c r="B273" s="1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9"/>
      <c r="N273" s="2"/>
      <c r="O273" s="9"/>
      <c r="P273" s="9"/>
      <c r="Q273" s="2"/>
      <c r="R273" s="9"/>
      <c r="S273" s="2"/>
      <c r="T273" s="9"/>
      <c r="U273" s="2"/>
      <c r="V273" s="2"/>
      <c r="W273" s="2"/>
      <c r="X273" s="2"/>
      <c r="Y273" s="2"/>
      <c r="Z273" s="9"/>
      <c r="AA273" s="2"/>
      <c r="AB273" s="2"/>
      <c r="AC273" s="2"/>
      <c r="AD273" s="2"/>
    </row>
    <row r="274" spans="1:30" ht="13.2" x14ac:dyDescent="0.25">
      <c r="A274" s="9"/>
      <c r="B274" s="1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9"/>
      <c r="N274" s="2"/>
      <c r="O274" s="9"/>
      <c r="P274" s="9"/>
      <c r="Q274" s="2"/>
      <c r="R274" s="9"/>
      <c r="S274" s="2"/>
      <c r="T274" s="9"/>
      <c r="U274" s="2"/>
      <c r="V274" s="2"/>
      <c r="W274" s="2"/>
      <c r="X274" s="2"/>
      <c r="Y274" s="2"/>
      <c r="Z274" s="9"/>
      <c r="AA274" s="2"/>
      <c r="AB274" s="2"/>
      <c r="AC274" s="2"/>
      <c r="AD274" s="2"/>
    </row>
    <row r="275" spans="1:30" ht="13.2" x14ac:dyDescent="0.25">
      <c r="A275" s="9"/>
      <c r="B275" s="1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9"/>
      <c r="N275" s="2"/>
      <c r="O275" s="9"/>
      <c r="P275" s="9"/>
      <c r="Q275" s="2"/>
      <c r="R275" s="9"/>
      <c r="S275" s="2"/>
      <c r="T275" s="9"/>
      <c r="U275" s="2"/>
      <c r="V275" s="2"/>
      <c r="W275" s="2"/>
      <c r="X275" s="2"/>
      <c r="Y275" s="2"/>
      <c r="Z275" s="9"/>
      <c r="AA275" s="2"/>
      <c r="AB275" s="2"/>
      <c r="AC275" s="2"/>
      <c r="AD275" s="2"/>
    </row>
    <row r="276" spans="1:30" ht="13.2" x14ac:dyDescent="0.25">
      <c r="A276" s="9"/>
      <c r="B276" s="1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9"/>
      <c r="N276" s="2"/>
      <c r="O276" s="9"/>
      <c r="P276" s="9"/>
      <c r="Q276" s="2"/>
      <c r="R276" s="9"/>
      <c r="S276" s="2"/>
      <c r="T276" s="9"/>
      <c r="U276" s="2"/>
      <c r="V276" s="2"/>
      <c r="W276" s="2"/>
      <c r="X276" s="2"/>
      <c r="Y276" s="2"/>
      <c r="Z276" s="9"/>
      <c r="AA276" s="2"/>
      <c r="AB276" s="2"/>
      <c r="AC276" s="2"/>
      <c r="AD276" s="2"/>
    </row>
    <row r="277" spans="1:30" ht="13.2" x14ac:dyDescent="0.25">
      <c r="A277" s="9"/>
      <c r="B277" s="1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9"/>
      <c r="N277" s="2"/>
      <c r="O277" s="9"/>
      <c r="P277" s="9"/>
      <c r="Q277" s="2"/>
      <c r="R277" s="9"/>
      <c r="S277" s="2"/>
      <c r="T277" s="9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3.2" x14ac:dyDescent="0.25">
      <c r="A278" s="9"/>
      <c r="B278" s="1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9"/>
      <c r="N278" s="2"/>
      <c r="O278" s="9"/>
      <c r="P278" s="9"/>
      <c r="Q278" s="2"/>
      <c r="R278" s="9"/>
      <c r="S278" s="2"/>
      <c r="T278" s="9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3.2" x14ac:dyDescent="0.25">
      <c r="A279" s="9"/>
      <c r="B279" s="1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9"/>
      <c r="N279" s="2"/>
      <c r="O279" s="9"/>
      <c r="P279" s="9"/>
      <c r="Q279" s="2"/>
      <c r="R279" s="9"/>
      <c r="S279" s="2"/>
      <c r="T279" s="9"/>
      <c r="U279" s="2"/>
      <c r="V279" s="2"/>
      <c r="W279" s="2"/>
      <c r="X279" s="2"/>
      <c r="Y279" s="2"/>
      <c r="Z279" s="9"/>
      <c r="AA279" s="2"/>
      <c r="AB279" s="2"/>
      <c r="AC279" s="2"/>
      <c r="AD279" s="2"/>
    </row>
    <row r="280" spans="1:30" ht="13.2" x14ac:dyDescent="0.25">
      <c r="A280" s="9"/>
      <c r="B280" s="1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9"/>
      <c r="N280" s="2"/>
      <c r="O280" s="9"/>
      <c r="P280" s="9"/>
      <c r="Q280" s="2"/>
      <c r="R280" s="9"/>
      <c r="S280" s="2"/>
      <c r="T280" s="9"/>
      <c r="U280" s="2"/>
      <c r="V280" s="2"/>
      <c r="W280" s="2"/>
      <c r="X280" s="2"/>
      <c r="Y280" s="2"/>
      <c r="Z280" s="9"/>
      <c r="AA280" s="2"/>
      <c r="AB280" s="2"/>
      <c r="AC280" s="2"/>
      <c r="AD280" s="2"/>
    </row>
    <row r="281" spans="1:30" ht="13.2" x14ac:dyDescent="0.25">
      <c r="A281" s="9"/>
      <c r="B281" s="1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9"/>
      <c r="N281" s="2"/>
      <c r="O281" s="9"/>
      <c r="P281" s="9"/>
      <c r="Q281" s="2"/>
      <c r="R281" s="9"/>
      <c r="S281" s="2"/>
      <c r="T281" s="9"/>
      <c r="U281" s="2"/>
      <c r="V281" s="2"/>
      <c r="W281" s="2"/>
      <c r="X281" s="2"/>
      <c r="Y281" s="2"/>
      <c r="Z281" s="9"/>
      <c r="AA281" s="2"/>
      <c r="AB281" s="2"/>
      <c r="AC281" s="2"/>
      <c r="AD281" s="2"/>
    </row>
    <row r="282" spans="1:30" ht="13.2" x14ac:dyDescent="0.25">
      <c r="A282" s="9"/>
      <c r="B282" s="1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9"/>
      <c r="N282" s="2"/>
      <c r="O282" s="9"/>
      <c r="P282" s="9"/>
      <c r="Q282" s="2"/>
      <c r="R282" s="9"/>
      <c r="S282" s="2"/>
      <c r="T282" s="9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.2" x14ac:dyDescent="0.25">
      <c r="A283" s="9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9"/>
      <c r="N283" s="2"/>
      <c r="O283" s="9"/>
      <c r="P283" s="9"/>
      <c r="Q283" s="2"/>
      <c r="R283" s="9"/>
      <c r="S283" s="2"/>
      <c r="T283" s="9"/>
      <c r="U283" s="2"/>
      <c r="V283" s="2"/>
      <c r="W283" s="2"/>
      <c r="X283" s="2"/>
      <c r="Y283" s="2"/>
      <c r="Z283" s="9"/>
      <c r="AA283" s="2"/>
      <c r="AB283" s="2"/>
      <c r="AC283" s="2"/>
      <c r="AD283" s="2"/>
    </row>
    <row r="284" spans="1:30" ht="13.2" x14ac:dyDescent="0.25">
      <c r="A284" s="9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9"/>
      <c r="N284" s="2"/>
      <c r="O284" s="9"/>
      <c r="P284" s="9"/>
      <c r="Q284" s="2"/>
      <c r="R284" s="9"/>
      <c r="S284" s="2"/>
      <c r="T284" s="9"/>
      <c r="U284" s="2"/>
      <c r="V284" s="2"/>
      <c r="W284" s="2"/>
      <c r="X284" s="2"/>
      <c r="Y284" s="2"/>
      <c r="Z284" s="9"/>
      <c r="AA284" s="2"/>
      <c r="AB284" s="2"/>
      <c r="AC284" s="2"/>
      <c r="AD284" s="2"/>
    </row>
    <row r="285" spans="1:30" ht="13.2" x14ac:dyDescent="0.25">
      <c r="A285" s="9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9"/>
      <c r="N285" s="2"/>
      <c r="O285" s="9"/>
      <c r="P285" s="9"/>
      <c r="Q285" s="2"/>
      <c r="R285" s="9"/>
      <c r="S285" s="2"/>
      <c r="T285" s="9"/>
      <c r="U285" s="2"/>
      <c r="V285" s="2"/>
      <c r="W285" s="2"/>
      <c r="X285" s="2"/>
      <c r="Y285" s="2"/>
      <c r="Z285" s="9"/>
      <c r="AA285" s="2"/>
      <c r="AB285" s="2"/>
      <c r="AC285" s="2"/>
      <c r="AD285" s="2"/>
    </row>
    <row r="286" spans="1:30" ht="13.2" x14ac:dyDescent="0.25">
      <c r="A286" s="9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9"/>
      <c r="N286" s="2"/>
      <c r="O286" s="9"/>
      <c r="P286" s="9"/>
      <c r="Q286" s="2"/>
      <c r="R286" s="9"/>
      <c r="S286" s="2"/>
      <c r="T286" s="9"/>
      <c r="U286" s="2"/>
      <c r="V286" s="2"/>
      <c r="W286" s="2"/>
      <c r="X286" s="2"/>
      <c r="Y286" s="2"/>
      <c r="Z286" s="9"/>
      <c r="AA286" s="2"/>
      <c r="AB286" s="2"/>
      <c r="AC286" s="2"/>
      <c r="AD286" s="2"/>
    </row>
    <row r="287" spans="1:30" ht="13.2" x14ac:dyDescent="0.25">
      <c r="A287" s="9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9"/>
      <c r="N287" s="2"/>
      <c r="O287" s="9"/>
      <c r="P287" s="9"/>
      <c r="Q287" s="2"/>
      <c r="R287" s="9"/>
      <c r="S287" s="2"/>
      <c r="T287" s="9"/>
      <c r="U287" s="2"/>
      <c r="V287" s="9"/>
      <c r="W287" s="9"/>
      <c r="X287" s="2"/>
      <c r="Y287" s="2"/>
      <c r="Z287" s="2"/>
      <c r="AA287" s="2"/>
      <c r="AB287" s="2"/>
      <c r="AC287" s="2"/>
      <c r="AD287" s="2"/>
    </row>
    <row r="288" spans="1:30" ht="13.2" x14ac:dyDescent="0.25">
      <c r="A288" s="9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9"/>
      <c r="N288" s="2"/>
      <c r="O288" s="9"/>
      <c r="P288" s="9"/>
      <c r="Q288" s="2"/>
      <c r="R288" s="9"/>
      <c r="S288" s="2"/>
      <c r="T288" s="9"/>
      <c r="U288" s="2"/>
      <c r="V288" s="9"/>
      <c r="W288" s="9"/>
      <c r="X288" s="2"/>
      <c r="Y288" s="2"/>
      <c r="Z288" s="2"/>
      <c r="AA288" s="2"/>
      <c r="AB288" s="2"/>
      <c r="AC288" s="2"/>
      <c r="AD288" s="2"/>
    </row>
    <row r="289" spans="1:30" ht="13.2" x14ac:dyDescent="0.25">
      <c r="A289" s="9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9"/>
      <c r="N289" s="2"/>
      <c r="O289" s="9"/>
      <c r="P289" s="9"/>
      <c r="Q289" s="2"/>
      <c r="R289" s="9"/>
      <c r="S289" s="2"/>
      <c r="T289" s="9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3.2" x14ac:dyDescent="0.25">
      <c r="A290" s="9"/>
      <c r="B290" s="9"/>
      <c r="C290" s="2"/>
      <c r="D290" s="2"/>
      <c r="E290" s="2"/>
      <c r="F290" s="2"/>
      <c r="G290" s="12"/>
      <c r="H290" s="2"/>
      <c r="I290" s="2"/>
      <c r="J290" s="2"/>
      <c r="K290" s="2"/>
      <c r="L290" s="2"/>
      <c r="M290" s="9"/>
      <c r="N290" s="2"/>
      <c r="O290" s="9"/>
      <c r="P290" s="9"/>
      <c r="Q290" s="2"/>
      <c r="R290" s="9"/>
      <c r="S290" s="2"/>
      <c r="T290" s="9"/>
      <c r="U290" s="2"/>
      <c r="V290" s="9"/>
      <c r="W290" s="9"/>
      <c r="X290" s="2"/>
      <c r="Y290" s="2"/>
      <c r="Z290" s="2"/>
      <c r="AA290" s="2"/>
      <c r="AB290" s="2"/>
      <c r="AC290" s="2"/>
      <c r="AD290" s="2"/>
    </row>
    <row r="291" spans="1:30" ht="13.2" x14ac:dyDescent="0.25">
      <c r="A291" s="9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9"/>
      <c r="N291" s="2"/>
      <c r="O291" s="9"/>
      <c r="P291" s="9"/>
      <c r="Q291" s="2"/>
      <c r="R291" s="9"/>
      <c r="S291" s="2"/>
      <c r="T291" s="9"/>
      <c r="U291" s="2"/>
      <c r="V291" s="2"/>
      <c r="W291" s="2"/>
      <c r="X291" s="2"/>
      <c r="Y291" s="2"/>
      <c r="Z291" s="9"/>
      <c r="AA291" s="2"/>
      <c r="AB291" s="2"/>
      <c r="AC291" s="2"/>
      <c r="AD291" s="2"/>
    </row>
    <row r="292" spans="1:30" ht="13.2" x14ac:dyDescent="0.25">
      <c r="A292" s="9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9"/>
      <c r="N292" s="2"/>
      <c r="O292" s="9"/>
      <c r="P292" s="9"/>
      <c r="Q292" s="2"/>
      <c r="R292" s="9"/>
      <c r="S292" s="2"/>
      <c r="T292" s="9"/>
      <c r="U292" s="2"/>
      <c r="V292" s="2"/>
      <c r="W292" s="2"/>
      <c r="X292" s="2"/>
      <c r="Y292" s="2"/>
      <c r="Z292" s="9"/>
      <c r="AA292" s="2"/>
      <c r="AB292" s="2"/>
      <c r="AC292" s="2"/>
      <c r="AD292" s="2"/>
    </row>
    <row r="293" spans="1:30" ht="13.2" x14ac:dyDescent="0.25">
      <c r="A293" s="9"/>
      <c r="B293" s="9"/>
      <c r="C293" s="2"/>
      <c r="D293" s="2"/>
      <c r="E293" s="2"/>
      <c r="F293" s="11"/>
      <c r="G293" s="2"/>
      <c r="H293" s="2"/>
      <c r="I293" s="2"/>
      <c r="J293" s="2"/>
      <c r="K293" s="2"/>
      <c r="L293" s="2"/>
      <c r="M293" s="9"/>
      <c r="N293" s="2"/>
      <c r="O293" s="9"/>
      <c r="P293" s="9"/>
      <c r="Q293" s="2"/>
      <c r="R293" s="9"/>
      <c r="S293" s="2"/>
      <c r="T293" s="9"/>
      <c r="U293" s="2"/>
      <c r="V293" s="2"/>
      <c r="W293" s="2"/>
      <c r="X293" s="2"/>
      <c r="Y293" s="2"/>
      <c r="Z293" s="9"/>
      <c r="AA293" s="2"/>
      <c r="AB293" s="2"/>
      <c r="AC293" s="2"/>
      <c r="AD293" s="2"/>
    </row>
    <row r="294" spans="1:30" ht="13.2" x14ac:dyDescent="0.25">
      <c r="A294" s="9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9"/>
      <c r="N294" s="2"/>
      <c r="O294" s="9"/>
      <c r="P294" s="9"/>
      <c r="Q294" s="2"/>
      <c r="R294" s="9"/>
      <c r="S294" s="2"/>
      <c r="T294" s="9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3.2" x14ac:dyDescent="0.25">
      <c r="A295" s="9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9"/>
      <c r="N295" s="2"/>
      <c r="O295" s="9"/>
      <c r="P295" s="9"/>
      <c r="Q295" s="2"/>
      <c r="R295" s="9"/>
      <c r="S295" s="2"/>
      <c r="T295" s="9"/>
      <c r="U295" s="2"/>
      <c r="V295" s="2"/>
      <c r="W295" s="2"/>
      <c r="X295" s="2"/>
      <c r="Y295" s="2"/>
      <c r="Z295" s="9"/>
      <c r="AA295" s="2"/>
      <c r="AB295" s="2"/>
      <c r="AC295" s="2"/>
      <c r="AD295" s="2"/>
    </row>
    <row r="296" spans="1:30" ht="13.2" x14ac:dyDescent="0.25">
      <c r="A296" s="9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9"/>
      <c r="N296" s="2"/>
      <c r="O296" s="9"/>
      <c r="P296" s="9"/>
      <c r="Q296" s="2"/>
      <c r="R296" s="9"/>
      <c r="S296" s="2"/>
      <c r="T296" s="9"/>
      <c r="U296" s="2"/>
      <c r="V296" s="2"/>
      <c r="W296" s="2"/>
      <c r="X296" s="2"/>
      <c r="Y296" s="2"/>
      <c r="Z296" s="9"/>
      <c r="AA296" s="2"/>
      <c r="AB296" s="2"/>
      <c r="AC296" s="2"/>
      <c r="AD296" s="2"/>
    </row>
    <row r="297" spans="1:30" ht="13.2" x14ac:dyDescent="0.25">
      <c r="A297" s="9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9"/>
      <c r="N297" s="2"/>
      <c r="O297" s="9"/>
      <c r="P297" s="9"/>
      <c r="Q297" s="2"/>
      <c r="R297" s="9"/>
      <c r="S297" s="2"/>
      <c r="T297" s="9"/>
      <c r="U297" s="2"/>
      <c r="V297" s="2"/>
      <c r="W297" s="2"/>
      <c r="X297" s="2"/>
      <c r="Y297" s="2"/>
      <c r="Z297" s="9"/>
      <c r="AA297" s="2"/>
      <c r="AB297" s="2"/>
      <c r="AC297" s="2"/>
      <c r="AD297" s="2"/>
    </row>
    <row r="298" spans="1:30" ht="13.2" x14ac:dyDescent="0.25">
      <c r="A298" s="9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9"/>
      <c r="N298" s="2"/>
      <c r="O298" s="9"/>
      <c r="P298" s="9"/>
      <c r="Q298" s="2"/>
      <c r="R298" s="9"/>
      <c r="S298" s="2"/>
      <c r="T298" s="9"/>
      <c r="U298" s="2"/>
      <c r="V298" s="2"/>
      <c r="W298" s="2"/>
      <c r="X298" s="2"/>
      <c r="Y298" s="2"/>
      <c r="Z298" s="9"/>
      <c r="AA298" s="2"/>
      <c r="AB298" s="2"/>
      <c r="AC298" s="2"/>
      <c r="AD298" s="2"/>
    </row>
    <row r="299" spans="1:30" ht="13.2" x14ac:dyDescent="0.25">
      <c r="A299" s="9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9"/>
      <c r="N299" s="2"/>
      <c r="O299" s="9"/>
      <c r="P299" s="9"/>
      <c r="Q299" s="2"/>
      <c r="R299" s="9"/>
      <c r="S299" s="2"/>
      <c r="T299" s="9"/>
      <c r="U299" s="2"/>
      <c r="V299" s="9"/>
      <c r="W299" s="9"/>
      <c r="X299" s="2"/>
      <c r="Y299" s="2"/>
      <c r="Z299" s="2"/>
      <c r="AA299" s="2"/>
      <c r="AB299" s="2"/>
      <c r="AC299" s="2"/>
      <c r="AD299" s="2"/>
    </row>
    <row r="300" spans="1:30" ht="13.2" x14ac:dyDescent="0.25">
      <c r="A300" s="9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9"/>
      <c r="N300" s="2"/>
      <c r="O300" s="9"/>
      <c r="P300" s="9"/>
      <c r="Q300" s="2"/>
      <c r="R300" s="9"/>
      <c r="S300" s="2"/>
      <c r="T300" s="9"/>
      <c r="U300" s="2"/>
      <c r="V300" s="2"/>
      <c r="W300" s="2"/>
      <c r="X300" s="2"/>
      <c r="Y300" s="2"/>
      <c r="Z300" s="9"/>
      <c r="AA300" s="2"/>
      <c r="AB300" s="2"/>
      <c r="AC300" s="2"/>
      <c r="AD300" s="2"/>
    </row>
    <row r="301" spans="1:30" ht="13.2" x14ac:dyDescent="0.25">
      <c r="A301" s="9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9"/>
      <c r="N301" s="2"/>
      <c r="O301" s="9"/>
      <c r="P301" s="9"/>
      <c r="Q301" s="2"/>
      <c r="R301" s="9"/>
      <c r="S301" s="2"/>
      <c r="T301" s="9"/>
      <c r="U301" s="2"/>
      <c r="V301" s="2"/>
      <c r="W301" s="2"/>
      <c r="X301" s="2"/>
      <c r="Y301" s="2"/>
      <c r="Z301" s="9"/>
      <c r="AA301" s="2"/>
      <c r="AB301" s="2"/>
      <c r="AC301" s="2"/>
      <c r="AD301" s="2"/>
    </row>
    <row r="302" spans="1:30" ht="13.2" x14ac:dyDescent="0.25">
      <c r="A302" s="9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9"/>
      <c r="N302" s="2"/>
      <c r="O302" s="9"/>
      <c r="P302" s="9"/>
      <c r="Q302" s="2"/>
      <c r="R302" s="9"/>
      <c r="S302" s="2"/>
      <c r="T302" s="9"/>
      <c r="U302" s="2"/>
      <c r="V302" s="2"/>
      <c r="W302" s="2"/>
      <c r="X302" s="2"/>
      <c r="Y302" s="2"/>
      <c r="Z302" s="9"/>
      <c r="AA302" s="2"/>
      <c r="AB302" s="2"/>
      <c r="AC302" s="2"/>
      <c r="AD302" s="2"/>
    </row>
    <row r="303" spans="1:30" ht="13.2" x14ac:dyDescent="0.25">
      <c r="A303" s="9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9"/>
      <c r="N303" s="2"/>
      <c r="O303" s="9"/>
      <c r="P303" s="9"/>
      <c r="Q303" s="2"/>
      <c r="R303" s="9"/>
      <c r="S303" s="2"/>
      <c r="T303" s="9"/>
      <c r="U303" s="2"/>
      <c r="V303" s="2"/>
      <c r="W303" s="2"/>
      <c r="X303" s="2"/>
      <c r="Y303" s="2"/>
      <c r="Z303" s="9"/>
      <c r="AA303" s="2"/>
      <c r="AB303" s="2"/>
      <c r="AC303" s="2"/>
      <c r="AD303" s="2"/>
    </row>
    <row r="304" spans="1:30" ht="13.2" x14ac:dyDescent="0.25">
      <c r="A304" s="9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9"/>
      <c r="N304" s="2"/>
      <c r="O304" s="9"/>
      <c r="P304" s="9"/>
      <c r="Q304" s="2"/>
      <c r="R304" s="9"/>
      <c r="S304" s="2"/>
      <c r="T304" s="9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3.2" x14ac:dyDescent="0.25">
      <c r="A305" s="9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9"/>
      <c r="N305" s="2"/>
      <c r="O305" s="9"/>
      <c r="P305" s="9"/>
      <c r="Q305" s="2"/>
      <c r="R305" s="9"/>
      <c r="S305" s="2"/>
      <c r="T305" s="9"/>
      <c r="U305" s="2"/>
      <c r="V305" s="2"/>
      <c r="W305" s="2"/>
      <c r="X305" s="2"/>
      <c r="Y305" s="2"/>
      <c r="Z305" s="9"/>
      <c r="AA305" s="2"/>
      <c r="AB305" s="2"/>
      <c r="AC305" s="2"/>
      <c r="AD305" s="2"/>
    </row>
    <row r="306" spans="1:30" ht="13.2" x14ac:dyDescent="0.25">
      <c r="A306" s="9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9"/>
      <c r="N306" s="2"/>
      <c r="O306" s="9"/>
      <c r="P306" s="9"/>
      <c r="Q306" s="2"/>
      <c r="R306" s="9"/>
      <c r="S306" s="2"/>
      <c r="T306" s="9"/>
      <c r="U306" s="2"/>
      <c r="V306" s="2"/>
      <c r="W306" s="2"/>
      <c r="X306" s="2"/>
      <c r="Y306" s="2"/>
      <c r="Z306" s="9"/>
      <c r="AA306" s="2"/>
      <c r="AB306" s="2"/>
      <c r="AC306" s="2"/>
      <c r="AD306" s="2"/>
    </row>
    <row r="307" spans="1:30" ht="13.2" x14ac:dyDescent="0.25">
      <c r="A307" s="9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9"/>
      <c r="N307" s="2"/>
      <c r="O307" s="9"/>
      <c r="P307" s="9"/>
      <c r="Q307" s="2"/>
      <c r="R307" s="9"/>
      <c r="S307" s="2"/>
      <c r="T307" s="9"/>
      <c r="U307" s="2"/>
      <c r="V307" s="2"/>
      <c r="W307" s="2"/>
      <c r="X307" s="2"/>
      <c r="Y307" s="2"/>
      <c r="Z307" s="9"/>
      <c r="AA307" s="2"/>
      <c r="AB307" s="2"/>
      <c r="AC307" s="2"/>
      <c r="AD307" s="2"/>
    </row>
    <row r="308" spans="1:30" ht="13.2" x14ac:dyDescent="0.25">
      <c r="A308" s="9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9"/>
      <c r="N308" s="2"/>
      <c r="O308" s="9"/>
      <c r="P308" s="9"/>
      <c r="Q308" s="2"/>
      <c r="R308" s="9"/>
      <c r="S308" s="2"/>
      <c r="T308" s="9"/>
      <c r="U308" s="2"/>
      <c r="V308" s="9"/>
      <c r="W308" s="9"/>
      <c r="X308" s="2"/>
      <c r="Y308" s="2"/>
      <c r="Z308" s="2"/>
      <c r="AA308" s="2"/>
      <c r="AB308" s="2"/>
      <c r="AC308" s="2"/>
      <c r="AD308" s="2"/>
    </row>
    <row r="309" spans="1:30" ht="13.2" x14ac:dyDescent="0.25">
      <c r="A309" s="9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9"/>
      <c r="N309" s="2"/>
      <c r="O309" s="9"/>
      <c r="P309" s="9"/>
      <c r="Q309" s="2"/>
      <c r="R309" s="9"/>
      <c r="S309" s="2"/>
      <c r="T309" s="9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3.2" x14ac:dyDescent="0.25">
      <c r="A310" s="9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9"/>
      <c r="N310" s="2"/>
      <c r="O310" s="9"/>
      <c r="P310" s="9"/>
      <c r="Q310" s="2"/>
      <c r="R310" s="9"/>
      <c r="S310" s="2"/>
      <c r="T310" s="9"/>
      <c r="U310" s="2"/>
      <c r="V310" s="2"/>
      <c r="W310" s="2"/>
      <c r="X310" s="2"/>
      <c r="Y310" s="2"/>
      <c r="Z310" s="9"/>
      <c r="AA310" s="2"/>
      <c r="AB310" s="2"/>
      <c r="AC310" s="2"/>
      <c r="AD310" s="2"/>
    </row>
    <row r="311" spans="1:30" ht="13.2" x14ac:dyDescent="0.25">
      <c r="A311" s="9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9"/>
      <c r="N311" s="2"/>
      <c r="O311" s="9"/>
      <c r="P311" s="9"/>
      <c r="Q311" s="2"/>
      <c r="R311" s="9"/>
      <c r="S311" s="2"/>
      <c r="T311" s="9"/>
      <c r="U311" s="2"/>
      <c r="V311" s="2"/>
      <c r="W311" s="2"/>
      <c r="X311" s="2"/>
      <c r="Y311" s="2"/>
      <c r="Z311" s="9"/>
      <c r="AA311" s="2"/>
      <c r="AB311" s="2"/>
      <c r="AC311" s="2"/>
      <c r="AD311" s="2"/>
    </row>
    <row r="312" spans="1:30" ht="13.2" x14ac:dyDescent="0.25">
      <c r="A312" s="9"/>
      <c r="B312" s="9"/>
      <c r="C312" s="2"/>
      <c r="D312" s="2"/>
      <c r="E312" s="2"/>
      <c r="F312" s="2"/>
      <c r="G312" s="13"/>
      <c r="H312" s="2"/>
      <c r="I312" s="2"/>
      <c r="J312" s="2"/>
      <c r="K312" s="2"/>
      <c r="L312" s="2"/>
      <c r="M312" s="9"/>
      <c r="N312" s="2"/>
      <c r="O312" s="9"/>
      <c r="P312" s="9"/>
      <c r="Q312" s="2"/>
      <c r="R312" s="9"/>
      <c r="S312" s="2"/>
      <c r="T312" s="9"/>
      <c r="U312" s="2"/>
      <c r="V312" s="9"/>
      <c r="W312" s="9"/>
      <c r="X312" s="2"/>
      <c r="Y312" s="2"/>
      <c r="Z312" s="2"/>
      <c r="AA312" s="2"/>
      <c r="AB312" s="2"/>
      <c r="AC312" s="2"/>
      <c r="AD312" s="2"/>
    </row>
    <row r="313" spans="1:30" ht="13.2" x14ac:dyDescent="0.25">
      <c r="A313" s="9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9"/>
      <c r="N313" s="2"/>
      <c r="O313" s="9"/>
      <c r="P313" s="9"/>
      <c r="Q313" s="2"/>
      <c r="R313" s="9"/>
      <c r="S313" s="2"/>
      <c r="T313" s="9"/>
      <c r="U313" s="2"/>
      <c r="V313" s="9"/>
      <c r="W313" s="9"/>
      <c r="X313" s="2"/>
      <c r="Y313" s="2"/>
      <c r="Z313" s="2"/>
      <c r="AA313" s="2"/>
      <c r="AB313" s="2"/>
      <c r="AC313" s="2"/>
      <c r="AD313" s="2"/>
    </row>
    <row r="314" spans="1:30" ht="13.2" x14ac:dyDescent="0.25">
      <c r="A314" s="9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9"/>
      <c r="N314" s="2"/>
      <c r="O314" s="9"/>
      <c r="P314" s="9"/>
      <c r="Q314" s="2"/>
      <c r="R314" s="9"/>
      <c r="S314" s="2"/>
      <c r="T314" s="9"/>
      <c r="U314" s="2"/>
      <c r="V314" s="2"/>
      <c r="W314" s="2"/>
      <c r="X314" s="2"/>
      <c r="Y314" s="2"/>
      <c r="Z314" s="9"/>
      <c r="AA314" s="2"/>
      <c r="AB314" s="2"/>
      <c r="AC314" s="2"/>
      <c r="AD314" s="2"/>
    </row>
    <row r="315" spans="1:30" ht="13.2" x14ac:dyDescent="0.25">
      <c r="A315" s="9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9"/>
      <c r="N315" s="2"/>
      <c r="O315" s="9"/>
      <c r="P315" s="9"/>
      <c r="Q315" s="2"/>
      <c r="R315" s="9"/>
      <c r="S315" s="2"/>
      <c r="T315" s="9"/>
      <c r="U315" s="2"/>
      <c r="V315" s="9"/>
      <c r="W315" s="9"/>
      <c r="X315" s="2"/>
      <c r="Y315" s="2"/>
      <c r="Z315" s="2"/>
      <c r="AA315" s="2"/>
      <c r="AB315" s="2"/>
      <c r="AC315" s="2"/>
      <c r="AD315" s="2"/>
    </row>
    <row r="316" spans="1:30" ht="13.2" x14ac:dyDescent="0.25">
      <c r="A316" s="9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9"/>
      <c r="N316" s="2"/>
      <c r="O316" s="9"/>
      <c r="P316" s="9"/>
      <c r="Q316" s="2"/>
      <c r="R316" s="9"/>
      <c r="S316" s="2"/>
      <c r="T316" s="9"/>
      <c r="U316" s="2"/>
      <c r="V316" s="2"/>
      <c r="W316" s="2"/>
      <c r="X316" s="2"/>
      <c r="Y316" s="2"/>
      <c r="Z316" s="9"/>
      <c r="AA316" s="2"/>
      <c r="AB316" s="2"/>
      <c r="AC316" s="2"/>
      <c r="AD316" s="2"/>
    </row>
    <row r="317" spans="1:30" ht="13.2" x14ac:dyDescent="0.25">
      <c r="A317" s="9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9"/>
      <c r="N317" s="2"/>
      <c r="O317" s="9"/>
      <c r="P317" s="9"/>
      <c r="Q317" s="2"/>
      <c r="R317" s="9"/>
      <c r="S317" s="2"/>
      <c r="T317" s="9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3.2" x14ac:dyDescent="0.25">
      <c r="A318" s="9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9"/>
      <c r="N318" s="2"/>
      <c r="O318" s="9"/>
      <c r="P318" s="9"/>
      <c r="Q318" s="2"/>
      <c r="R318" s="9"/>
      <c r="S318" s="2"/>
      <c r="T318" s="9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3.2" x14ac:dyDescent="0.25">
      <c r="A319" s="9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9"/>
      <c r="N319" s="2"/>
      <c r="O319" s="9"/>
      <c r="P319" s="9"/>
      <c r="Q319" s="2"/>
      <c r="R319" s="9"/>
      <c r="S319" s="2"/>
      <c r="T319" s="9"/>
      <c r="U319" s="2"/>
      <c r="V319" s="2"/>
      <c r="W319" s="2"/>
      <c r="X319" s="2"/>
      <c r="Y319" s="2"/>
      <c r="Z319" s="9"/>
      <c r="AA319" s="2"/>
      <c r="AB319" s="2"/>
      <c r="AC319" s="2"/>
      <c r="AD319" s="2"/>
    </row>
    <row r="320" spans="1:30" ht="13.2" x14ac:dyDescent="0.25">
      <c r="A320" s="9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9"/>
      <c r="N320" s="2"/>
      <c r="O320" s="9"/>
      <c r="P320" s="9"/>
      <c r="Q320" s="2"/>
      <c r="R320" s="9"/>
      <c r="S320" s="2"/>
      <c r="T320" s="9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3.2" x14ac:dyDescent="0.25">
      <c r="A321" s="9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9"/>
      <c r="N321" s="2"/>
      <c r="O321" s="9"/>
      <c r="P321" s="9"/>
      <c r="Q321" s="2"/>
      <c r="R321" s="9"/>
      <c r="S321" s="2"/>
      <c r="T321" s="9"/>
      <c r="U321" s="2"/>
      <c r="V321" s="2"/>
      <c r="W321" s="2"/>
      <c r="X321" s="2"/>
      <c r="Y321" s="2"/>
      <c r="Z321" s="9"/>
      <c r="AA321" s="2"/>
      <c r="AB321" s="2"/>
      <c r="AC321" s="2"/>
      <c r="AD321" s="2"/>
    </row>
    <row r="322" spans="1:30" ht="13.2" x14ac:dyDescent="0.25">
      <c r="A322" s="9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9"/>
      <c r="N322" s="2"/>
      <c r="O322" s="9"/>
      <c r="P322" s="9"/>
      <c r="Q322" s="2"/>
      <c r="R322" s="9"/>
      <c r="S322" s="2"/>
      <c r="T322" s="9"/>
      <c r="U322" s="2"/>
      <c r="V322" s="2"/>
      <c r="W322" s="2"/>
      <c r="X322" s="2"/>
      <c r="Y322" s="2"/>
      <c r="Z322" s="9"/>
      <c r="AA322" s="2"/>
      <c r="AB322" s="2"/>
      <c r="AC322" s="2"/>
      <c r="AD322" s="2"/>
    </row>
    <row r="323" spans="1:30" ht="13.2" x14ac:dyDescent="0.25">
      <c r="A323" s="9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9"/>
      <c r="N323" s="2"/>
      <c r="O323" s="9"/>
      <c r="P323" s="9"/>
      <c r="Q323" s="2"/>
      <c r="R323" s="9"/>
      <c r="S323" s="2"/>
      <c r="T323" s="9"/>
      <c r="U323" s="2"/>
      <c r="V323" s="2"/>
      <c r="W323" s="2"/>
      <c r="X323" s="2"/>
      <c r="Y323" s="2"/>
      <c r="Z323" s="9"/>
      <c r="AA323" s="2"/>
      <c r="AB323" s="2"/>
      <c r="AC323" s="2"/>
      <c r="AD323" s="2"/>
    </row>
    <row r="324" spans="1:30" ht="13.2" x14ac:dyDescent="0.25">
      <c r="A324" s="9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9"/>
      <c r="N324" s="2"/>
      <c r="O324" s="9"/>
      <c r="P324" s="9"/>
      <c r="Q324" s="2"/>
      <c r="R324" s="9"/>
      <c r="S324" s="2"/>
      <c r="T324" s="9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3.2" x14ac:dyDescent="0.25">
      <c r="A325" s="9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9"/>
      <c r="N325" s="2"/>
      <c r="O325" s="9"/>
      <c r="P325" s="9"/>
      <c r="Q325" s="2"/>
      <c r="R325" s="9"/>
      <c r="S325" s="2"/>
      <c r="T325" s="9"/>
      <c r="U325" s="2"/>
      <c r="V325" s="9"/>
      <c r="W325" s="9"/>
      <c r="X325" s="2"/>
      <c r="Y325" s="2"/>
      <c r="Z325" s="2"/>
      <c r="AA325" s="2"/>
      <c r="AB325" s="2"/>
      <c r="AC325" s="2"/>
      <c r="AD325" s="2"/>
    </row>
    <row r="326" spans="1:30" ht="13.2" x14ac:dyDescent="0.25">
      <c r="A326" s="9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9"/>
      <c r="N326" s="2"/>
      <c r="O326" s="9"/>
      <c r="P326" s="9"/>
      <c r="Q326" s="2"/>
      <c r="R326" s="9"/>
      <c r="S326" s="2"/>
      <c r="T326" s="9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3.2" x14ac:dyDescent="0.25">
      <c r="A327" s="9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9"/>
      <c r="N327" s="2"/>
      <c r="O327" s="9"/>
      <c r="P327" s="9"/>
      <c r="Q327" s="2"/>
      <c r="R327" s="9"/>
      <c r="S327" s="2"/>
      <c r="T327" s="9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3.2" x14ac:dyDescent="0.25">
      <c r="A328" s="9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9"/>
      <c r="N328" s="2"/>
      <c r="O328" s="9"/>
      <c r="P328" s="9"/>
      <c r="Q328" s="2"/>
      <c r="R328" s="9"/>
      <c r="S328" s="2"/>
      <c r="T328" s="9"/>
      <c r="U328" s="2"/>
      <c r="V328" s="9"/>
      <c r="W328" s="9"/>
      <c r="X328" s="2"/>
      <c r="Y328" s="2"/>
      <c r="Z328" s="2"/>
      <c r="AA328" s="2"/>
      <c r="AB328" s="2"/>
      <c r="AC328" s="2"/>
      <c r="AD328" s="2"/>
    </row>
    <row r="329" spans="1:30" ht="13.2" x14ac:dyDescent="0.25">
      <c r="A329" s="9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9"/>
      <c r="N329" s="2"/>
      <c r="O329" s="9"/>
      <c r="P329" s="9"/>
      <c r="Q329" s="2"/>
      <c r="R329" s="9"/>
      <c r="S329" s="2"/>
      <c r="T329" s="9"/>
      <c r="U329" s="2"/>
      <c r="V329" s="2"/>
      <c r="W329" s="2"/>
      <c r="X329" s="2"/>
      <c r="Y329" s="2"/>
      <c r="Z329" s="9"/>
      <c r="AA329" s="2"/>
      <c r="AB329" s="2"/>
      <c r="AC329" s="2"/>
      <c r="AD329" s="2"/>
    </row>
    <row r="330" spans="1:30" ht="13.2" x14ac:dyDescent="0.25">
      <c r="A330" s="9"/>
      <c r="B330" s="9"/>
      <c r="C330" s="2"/>
      <c r="D330" s="2"/>
      <c r="E330" s="2"/>
      <c r="F330" s="11"/>
      <c r="G330" s="2"/>
      <c r="H330" s="2"/>
      <c r="I330" s="2"/>
      <c r="J330" s="2"/>
      <c r="K330" s="2"/>
      <c r="L330" s="2"/>
      <c r="M330" s="9"/>
      <c r="N330" s="2"/>
      <c r="O330" s="9"/>
      <c r="P330" s="9"/>
      <c r="Q330" s="2"/>
      <c r="R330" s="9"/>
      <c r="S330" s="2"/>
      <c r="T330" s="9"/>
      <c r="U330" s="2"/>
      <c r="V330" s="2"/>
      <c r="W330" s="2"/>
      <c r="X330" s="2"/>
      <c r="Y330" s="2"/>
      <c r="Z330" s="9"/>
      <c r="AA330" s="2"/>
      <c r="AB330" s="2"/>
      <c r="AC330" s="2"/>
      <c r="AD330" s="2"/>
    </row>
    <row r="331" spans="1:30" ht="13.2" x14ac:dyDescent="0.25">
      <c r="A331" s="9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9"/>
      <c r="N331" s="2"/>
      <c r="O331" s="9"/>
      <c r="P331" s="9"/>
      <c r="Q331" s="2"/>
      <c r="R331" s="9"/>
      <c r="S331" s="2"/>
      <c r="T331" s="9"/>
      <c r="U331" s="2"/>
      <c r="V331" s="9"/>
      <c r="W331" s="9"/>
      <c r="X331" s="2"/>
      <c r="Y331" s="2"/>
      <c r="Z331" s="2"/>
      <c r="AA331" s="2"/>
      <c r="AB331" s="2"/>
      <c r="AC331" s="2"/>
      <c r="AD331" s="2"/>
    </row>
    <row r="332" spans="1:30" ht="13.2" x14ac:dyDescent="0.25">
      <c r="A332" s="9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9"/>
      <c r="N332" s="2"/>
      <c r="O332" s="9"/>
      <c r="P332" s="9"/>
      <c r="Q332" s="2"/>
      <c r="R332" s="9"/>
      <c r="S332" s="2"/>
      <c r="T332" s="9"/>
      <c r="U332" s="2"/>
      <c r="V332" s="2"/>
      <c r="W332" s="2"/>
      <c r="X332" s="2"/>
      <c r="Y332" s="2"/>
      <c r="Z332" s="9"/>
      <c r="AA332" s="2"/>
      <c r="AB332" s="2"/>
      <c r="AC332" s="2"/>
      <c r="AD332" s="2"/>
    </row>
    <row r="333" spans="1:30" ht="13.2" x14ac:dyDescent="0.25">
      <c r="A333" s="9"/>
      <c r="B333" s="9"/>
      <c r="C333" s="2"/>
      <c r="D333" s="2"/>
      <c r="E333" s="2"/>
      <c r="F333" s="11"/>
      <c r="G333" s="2"/>
      <c r="H333" s="2"/>
      <c r="I333" s="2"/>
      <c r="J333" s="2"/>
      <c r="K333" s="2"/>
      <c r="L333" s="2"/>
      <c r="M333" s="9"/>
      <c r="N333" s="2"/>
      <c r="O333" s="9"/>
      <c r="P333" s="9"/>
      <c r="Q333" s="2"/>
      <c r="R333" s="9"/>
      <c r="S333" s="2"/>
      <c r="T333" s="9"/>
      <c r="U333" s="2"/>
      <c r="V333" s="2"/>
      <c r="W333" s="2"/>
      <c r="X333" s="2"/>
      <c r="Y333" s="2"/>
      <c r="Z333" s="9"/>
      <c r="AA333" s="2"/>
      <c r="AB333" s="2"/>
      <c r="AC333" s="2"/>
      <c r="AD333" s="2"/>
    </row>
    <row r="334" spans="1:30" ht="13.2" x14ac:dyDescent="0.25">
      <c r="A334" s="9"/>
      <c r="B334" s="9"/>
      <c r="C334" s="2"/>
      <c r="D334" s="2"/>
      <c r="E334" s="2"/>
      <c r="F334" s="11"/>
      <c r="G334" s="2"/>
      <c r="H334" s="2"/>
      <c r="I334" s="2"/>
      <c r="J334" s="2"/>
      <c r="K334" s="2"/>
      <c r="L334" s="2"/>
      <c r="M334" s="9"/>
      <c r="N334" s="2"/>
      <c r="O334" s="9"/>
      <c r="P334" s="9"/>
      <c r="Q334" s="2"/>
      <c r="R334" s="9"/>
      <c r="S334" s="2"/>
      <c r="T334" s="9"/>
      <c r="U334" s="2"/>
      <c r="V334" s="2"/>
      <c r="W334" s="2"/>
      <c r="X334" s="2"/>
      <c r="Y334" s="2"/>
      <c r="Z334" s="9"/>
      <c r="AA334" s="2"/>
      <c r="AB334" s="2"/>
      <c r="AC334" s="2"/>
      <c r="AD334" s="2"/>
    </row>
    <row r="335" spans="1:30" ht="13.2" x14ac:dyDescent="0.25">
      <c r="A335" s="9"/>
      <c r="B335" s="9"/>
      <c r="C335" s="2"/>
      <c r="D335" s="2"/>
      <c r="E335" s="2"/>
      <c r="F335" s="2"/>
      <c r="G335" s="9"/>
      <c r="H335" s="2"/>
      <c r="I335" s="2"/>
      <c r="J335" s="2"/>
      <c r="K335" s="2"/>
      <c r="L335" s="2"/>
      <c r="M335" s="9"/>
      <c r="N335" s="2"/>
      <c r="O335" s="9"/>
      <c r="P335" s="9"/>
      <c r="Q335" s="2"/>
      <c r="R335" s="9"/>
      <c r="S335" s="2"/>
      <c r="T335" s="9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3.2" x14ac:dyDescent="0.25">
      <c r="A336" s="9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9"/>
      <c r="N336" s="2"/>
      <c r="O336" s="9"/>
      <c r="P336" s="9"/>
      <c r="Q336" s="2"/>
      <c r="R336" s="9"/>
      <c r="S336" s="2"/>
      <c r="T336" s="9"/>
      <c r="U336" s="2"/>
      <c r="V336" s="9"/>
      <c r="W336" s="9"/>
      <c r="X336" s="2"/>
      <c r="Y336" s="2"/>
      <c r="Z336" s="2"/>
      <c r="AA336" s="2"/>
      <c r="AB336" s="2"/>
      <c r="AC336" s="2"/>
      <c r="AD336" s="2"/>
    </row>
    <row r="337" spans="1:30" ht="13.2" x14ac:dyDescent="0.25">
      <c r="A337" s="9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9"/>
      <c r="N337" s="2"/>
      <c r="O337" s="9"/>
      <c r="P337" s="9"/>
      <c r="Q337" s="2"/>
      <c r="R337" s="9"/>
      <c r="S337" s="2"/>
      <c r="T337" s="9"/>
      <c r="U337" s="2"/>
      <c r="V337" s="9"/>
      <c r="W337" s="9"/>
      <c r="X337" s="2"/>
      <c r="Y337" s="2"/>
      <c r="Z337" s="2"/>
      <c r="AA337" s="2"/>
      <c r="AB337" s="2"/>
      <c r="AC337" s="2"/>
      <c r="AD337" s="2"/>
    </row>
    <row r="338" spans="1:30" ht="13.2" x14ac:dyDescent="0.25">
      <c r="A338" s="9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9"/>
      <c r="N338" s="2"/>
      <c r="O338" s="9"/>
      <c r="P338" s="9"/>
      <c r="Q338" s="2"/>
      <c r="R338" s="9"/>
      <c r="S338" s="2"/>
      <c r="T338" s="9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3.2" x14ac:dyDescent="0.25">
      <c r="A339" s="9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9"/>
      <c r="N339" s="2"/>
      <c r="O339" s="9"/>
      <c r="P339" s="9"/>
      <c r="Q339" s="2"/>
      <c r="R339" s="9"/>
      <c r="S339" s="2"/>
      <c r="T339" s="9"/>
      <c r="U339" s="2"/>
      <c r="V339" s="9"/>
      <c r="W339" s="9"/>
      <c r="X339" s="2"/>
      <c r="Y339" s="2"/>
      <c r="Z339" s="2"/>
      <c r="AA339" s="2"/>
      <c r="AB339" s="2"/>
      <c r="AC339" s="2"/>
      <c r="AD339" s="2"/>
    </row>
    <row r="340" spans="1:30" ht="13.2" x14ac:dyDescent="0.25">
      <c r="A340" s="9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9"/>
      <c r="N340" s="2"/>
      <c r="O340" s="9"/>
      <c r="P340" s="9"/>
      <c r="Q340" s="2"/>
      <c r="R340" s="9"/>
      <c r="S340" s="2"/>
      <c r="T340" s="9"/>
      <c r="U340" s="2"/>
      <c r="V340" s="2"/>
      <c r="W340" s="2"/>
      <c r="X340" s="2"/>
      <c r="Y340" s="2"/>
      <c r="Z340" s="9"/>
      <c r="AA340" s="2"/>
      <c r="AB340" s="2"/>
      <c r="AC340" s="2"/>
      <c r="AD340" s="2"/>
    </row>
    <row r="341" spans="1:30" ht="13.2" x14ac:dyDescent="0.25">
      <c r="A341" s="9"/>
      <c r="B341" s="9"/>
      <c r="C341" s="2"/>
      <c r="D341" s="2"/>
      <c r="E341" s="2"/>
      <c r="F341" s="2"/>
      <c r="G341" s="14"/>
      <c r="H341" s="2"/>
      <c r="I341" s="2"/>
      <c r="J341" s="2"/>
      <c r="K341" s="2"/>
      <c r="L341" s="2"/>
      <c r="M341" s="9"/>
      <c r="N341" s="2"/>
      <c r="O341" s="9"/>
      <c r="P341" s="9"/>
      <c r="Q341" s="2"/>
      <c r="R341" s="9"/>
      <c r="S341" s="2"/>
      <c r="T341" s="9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3.2" x14ac:dyDescent="0.25">
      <c r="A342" s="9"/>
      <c r="B342" s="9"/>
      <c r="C342" s="2"/>
      <c r="D342" s="2"/>
      <c r="E342" s="2"/>
      <c r="F342" s="2"/>
      <c r="G342" s="9"/>
      <c r="H342" s="2"/>
      <c r="I342" s="2"/>
      <c r="J342" s="2"/>
      <c r="K342" s="2"/>
      <c r="L342" s="2"/>
      <c r="M342" s="9"/>
      <c r="N342" s="2"/>
      <c r="O342" s="9"/>
      <c r="P342" s="9"/>
      <c r="Q342" s="2"/>
      <c r="R342" s="9"/>
      <c r="S342" s="2"/>
      <c r="T342" s="9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3.2" x14ac:dyDescent="0.25">
      <c r="A343" s="9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9"/>
      <c r="N343" s="2"/>
      <c r="O343" s="9"/>
      <c r="P343" s="9"/>
      <c r="Q343" s="2"/>
      <c r="R343" s="9"/>
      <c r="S343" s="2"/>
      <c r="T343" s="9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3.2" x14ac:dyDescent="0.25">
      <c r="A344" s="9"/>
      <c r="B344" s="9"/>
      <c r="C344" s="2"/>
      <c r="D344" s="2"/>
      <c r="E344" s="2"/>
      <c r="F344" s="2"/>
      <c r="G344" s="12"/>
      <c r="H344" s="2"/>
      <c r="I344" s="2"/>
      <c r="J344" s="2"/>
      <c r="K344" s="2"/>
      <c r="L344" s="2"/>
      <c r="M344" s="9"/>
      <c r="N344" s="2"/>
      <c r="O344" s="9"/>
      <c r="P344" s="9"/>
      <c r="Q344" s="2"/>
      <c r="R344" s="9"/>
      <c r="S344" s="2"/>
      <c r="T344" s="9"/>
      <c r="U344" s="2"/>
      <c r="V344" s="9"/>
      <c r="W344" s="9"/>
      <c r="X344" s="2"/>
      <c r="Y344" s="2"/>
      <c r="Z344" s="2"/>
      <c r="AA344" s="2"/>
      <c r="AB344" s="2"/>
      <c r="AC344" s="2"/>
      <c r="AD344" s="2"/>
    </row>
    <row r="345" spans="1:30" ht="13.2" x14ac:dyDescent="0.25">
      <c r="A345" s="9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9"/>
      <c r="N345" s="2"/>
      <c r="O345" s="9"/>
      <c r="P345" s="9"/>
      <c r="Q345" s="2"/>
      <c r="R345" s="9"/>
      <c r="S345" s="2"/>
      <c r="T345" s="9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3.2" x14ac:dyDescent="0.25">
      <c r="A346" s="9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9"/>
      <c r="N346" s="2"/>
      <c r="O346" s="9"/>
      <c r="P346" s="9"/>
      <c r="Q346" s="2"/>
      <c r="R346" s="9"/>
      <c r="S346" s="2"/>
      <c r="T346" s="9"/>
      <c r="U346" s="2"/>
      <c r="V346" s="2"/>
      <c r="W346" s="2"/>
      <c r="X346" s="2"/>
      <c r="Y346" s="2"/>
      <c r="Z346" s="9"/>
      <c r="AA346" s="2"/>
      <c r="AB346" s="2"/>
      <c r="AC346" s="2"/>
      <c r="AD346" s="2"/>
    </row>
    <row r="347" spans="1:30" ht="13.2" x14ac:dyDescent="0.25">
      <c r="A347" s="9"/>
      <c r="B347" s="9"/>
      <c r="C347" s="2"/>
      <c r="D347" s="2"/>
      <c r="E347" s="2"/>
      <c r="F347" s="11"/>
      <c r="G347" s="2"/>
      <c r="H347" s="2"/>
      <c r="I347" s="2"/>
      <c r="J347" s="2"/>
      <c r="K347" s="2"/>
      <c r="L347" s="2"/>
      <c r="M347" s="9"/>
      <c r="N347" s="2"/>
      <c r="O347" s="9"/>
      <c r="P347" s="9"/>
      <c r="Q347" s="2"/>
      <c r="R347" s="9"/>
      <c r="S347" s="2"/>
      <c r="T347" s="9"/>
      <c r="U347" s="2"/>
      <c r="V347" s="2"/>
      <c r="W347" s="2"/>
      <c r="X347" s="2"/>
      <c r="Y347" s="2"/>
      <c r="Z347" s="9"/>
      <c r="AA347" s="2"/>
      <c r="AB347" s="2"/>
      <c r="AC347" s="2"/>
      <c r="AD347" s="2"/>
    </row>
    <row r="348" spans="1:30" ht="13.2" x14ac:dyDescent="0.25">
      <c r="A348" s="9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9"/>
      <c r="N348" s="2"/>
      <c r="O348" s="9"/>
      <c r="P348" s="9"/>
      <c r="Q348" s="2"/>
      <c r="R348" s="9"/>
      <c r="S348" s="2"/>
      <c r="T348" s="9"/>
      <c r="U348" s="2"/>
      <c r="V348" s="2"/>
      <c r="W348" s="2"/>
      <c r="X348" s="2"/>
      <c r="Y348" s="2"/>
      <c r="Z348" s="9"/>
      <c r="AA348" s="2"/>
      <c r="AB348" s="2"/>
      <c r="AC348" s="2"/>
      <c r="AD348" s="2"/>
    </row>
    <row r="349" spans="1:30" ht="13.2" x14ac:dyDescent="0.25">
      <c r="A349" s="9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9"/>
      <c r="N349" s="2"/>
      <c r="O349" s="9"/>
      <c r="P349" s="9"/>
      <c r="Q349" s="2"/>
      <c r="R349" s="9"/>
      <c r="S349" s="2"/>
      <c r="T349" s="9"/>
      <c r="U349" s="2"/>
      <c r="V349" s="2"/>
      <c r="W349" s="2"/>
      <c r="X349" s="2"/>
      <c r="Y349" s="2"/>
      <c r="Z349" s="9"/>
      <c r="AA349" s="2"/>
      <c r="AB349" s="2"/>
      <c r="AC349" s="2"/>
      <c r="AD349" s="2"/>
    </row>
    <row r="350" spans="1:30" ht="13.2" x14ac:dyDescent="0.25">
      <c r="A350" s="9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9"/>
      <c r="N350" s="2"/>
      <c r="O350" s="9"/>
      <c r="P350" s="9"/>
      <c r="Q350" s="2"/>
      <c r="R350" s="9"/>
      <c r="S350" s="2"/>
      <c r="T350" s="9"/>
      <c r="U350" s="2"/>
      <c r="V350" s="2"/>
      <c r="W350" s="2"/>
      <c r="X350" s="2"/>
      <c r="Y350" s="2"/>
      <c r="Z350" s="9"/>
      <c r="AA350" s="2"/>
      <c r="AB350" s="2"/>
      <c r="AC350" s="2"/>
      <c r="AD350" s="2"/>
    </row>
    <row r="351" spans="1:30" ht="13.2" x14ac:dyDescent="0.25">
      <c r="A351" s="9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9"/>
      <c r="N351" s="2"/>
      <c r="O351" s="9"/>
      <c r="P351" s="9"/>
      <c r="Q351" s="9"/>
      <c r="R351" s="9"/>
      <c r="S351" s="2"/>
      <c r="T351" s="9"/>
      <c r="U351" s="2"/>
      <c r="V351" s="2"/>
      <c r="W351" s="2"/>
      <c r="X351" s="2"/>
      <c r="Y351" s="2"/>
      <c r="Z351" s="9"/>
      <c r="AA351" s="2"/>
      <c r="AB351" s="2"/>
      <c r="AC351" s="2"/>
      <c r="AD351" s="2"/>
    </row>
    <row r="352" spans="1:30" ht="13.2" x14ac:dyDescent="0.25">
      <c r="A352" s="9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9"/>
      <c r="N352" s="2"/>
      <c r="O352" s="9"/>
      <c r="P352" s="9"/>
      <c r="Q352" s="2"/>
      <c r="R352" s="9"/>
      <c r="S352" s="2"/>
      <c r="T352" s="9"/>
      <c r="U352" s="2"/>
      <c r="V352" s="9"/>
      <c r="W352" s="9"/>
      <c r="X352" s="2"/>
      <c r="Y352" s="2"/>
      <c r="Z352" s="2"/>
      <c r="AA352" s="2"/>
      <c r="AB352" s="2"/>
      <c r="AC352" s="2"/>
      <c r="AD352" s="2"/>
    </row>
    <row r="353" spans="1:30" ht="13.2" x14ac:dyDescent="0.25">
      <c r="A353" s="9"/>
      <c r="B353" s="9"/>
      <c r="C353" s="2"/>
      <c r="D353" s="2"/>
      <c r="E353" s="2"/>
      <c r="F353" s="11"/>
      <c r="G353" s="2"/>
      <c r="H353" s="2"/>
      <c r="I353" s="2"/>
      <c r="J353" s="2"/>
      <c r="K353" s="2"/>
      <c r="L353" s="2"/>
      <c r="M353" s="9"/>
      <c r="N353" s="2"/>
      <c r="O353" s="9"/>
      <c r="P353" s="9"/>
      <c r="Q353" s="2"/>
      <c r="R353" s="9"/>
      <c r="S353" s="2"/>
      <c r="T353" s="9"/>
      <c r="U353" s="2"/>
      <c r="V353" s="2"/>
      <c r="W353" s="2"/>
      <c r="X353" s="2"/>
      <c r="Y353" s="2"/>
      <c r="Z353" s="9"/>
      <c r="AA353" s="2"/>
      <c r="AB353" s="2"/>
      <c r="AC353" s="2"/>
      <c r="AD353" s="2"/>
    </row>
    <row r="354" spans="1:30" ht="13.2" x14ac:dyDescent="0.25">
      <c r="A354" s="9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9"/>
      <c r="N354" s="2"/>
      <c r="O354" s="9"/>
      <c r="P354" s="9"/>
      <c r="Q354" s="2"/>
      <c r="R354" s="9"/>
      <c r="S354" s="2"/>
      <c r="T354" s="9"/>
      <c r="U354" s="2"/>
      <c r="V354" s="9"/>
      <c r="W354" s="9"/>
      <c r="X354" s="2"/>
      <c r="Y354" s="2"/>
      <c r="Z354" s="2"/>
      <c r="AA354" s="2"/>
      <c r="AB354" s="2"/>
      <c r="AC354" s="2"/>
      <c r="AD354" s="2"/>
    </row>
    <row r="355" spans="1:30" ht="13.2" x14ac:dyDescent="0.25">
      <c r="A355" s="9"/>
      <c r="B355" s="9"/>
      <c r="C355" s="2"/>
      <c r="D355" s="2"/>
      <c r="E355" s="2"/>
      <c r="F355" s="2"/>
      <c r="G355" s="15"/>
      <c r="H355" s="2"/>
      <c r="I355" s="2"/>
      <c r="J355" s="2"/>
      <c r="K355" s="2"/>
      <c r="L355" s="2"/>
      <c r="M355" s="9"/>
      <c r="N355" s="2"/>
      <c r="O355" s="9"/>
      <c r="P355" s="9"/>
      <c r="Q355" s="2"/>
      <c r="R355" s="9"/>
      <c r="S355" s="2"/>
      <c r="T355" s="9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3.2" x14ac:dyDescent="0.25">
      <c r="A356" s="9"/>
      <c r="B356" s="9"/>
      <c r="C356" s="2"/>
      <c r="D356" s="2"/>
      <c r="E356" s="2"/>
      <c r="F356" s="2"/>
      <c r="G356" s="9"/>
      <c r="H356" s="2"/>
      <c r="I356" s="2"/>
      <c r="J356" s="2"/>
      <c r="K356" s="2"/>
      <c r="L356" s="2"/>
      <c r="M356" s="9"/>
      <c r="N356" s="2"/>
      <c r="O356" s="9"/>
      <c r="P356" s="9"/>
      <c r="Q356" s="2"/>
      <c r="R356" s="9"/>
      <c r="S356" s="2"/>
      <c r="T356" s="9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3.2" x14ac:dyDescent="0.25">
      <c r="A357" s="9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9"/>
      <c r="N357" s="2"/>
      <c r="O357" s="9"/>
      <c r="P357" s="9"/>
      <c r="Q357" s="2"/>
      <c r="R357" s="9"/>
      <c r="S357" s="2"/>
      <c r="T357" s="9"/>
      <c r="U357" s="2"/>
      <c r="V357" s="2"/>
      <c r="W357" s="2"/>
      <c r="X357" s="2"/>
      <c r="Y357" s="2"/>
      <c r="Z357" s="9"/>
      <c r="AA357" s="2"/>
      <c r="AB357" s="2"/>
      <c r="AC357" s="2"/>
      <c r="AD357" s="2"/>
    </row>
    <row r="358" spans="1:30" ht="13.2" x14ac:dyDescent="0.25">
      <c r="A358" s="9"/>
      <c r="B358" s="9"/>
      <c r="C358" s="2"/>
      <c r="D358" s="2"/>
      <c r="E358" s="2"/>
      <c r="F358" s="2"/>
      <c r="G358" s="14"/>
      <c r="H358" s="2"/>
      <c r="I358" s="2"/>
      <c r="J358" s="2"/>
      <c r="K358" s="2"/>
      <c r="L358" s="2"/>
      <c r="M358" s="9"/>
      <c r="N358" s="2"/>
      <c r="O358" s="9"/>
      <c r="P358" s="9"/>
      <c r="Q358" s="2"/>
      <c r="R358" s="9"/>
      <c r="S358" s="2"/>
      <c r="T358" s="9"/>
      <c r="U358" s="2"/>
      <c r="V358" s="2"/>
      <c r="W358" s="2"/>
      <c r="X358" s="2"/>
      <c r="Y358" s="2"/>
      <c r="Z358" s="9"/>
      <c r="AA358" s="2"/>
      <c r="AB358" s="2"/>
      <c r="AC358" s="2"/>
      <c r="AD358" s="2"/>
    </row>
    <row r="359" spans="1:30" ht="13.2" x14ac:dyDescent="0.25">
      <c r="A359" s="9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9"/>
      <c r="N359" s="2"/>
      <c r="O359" s="9"/>
      <c r="P359" s="9"/>
      <c r="Q359" s="2"/>
      <c r="R359" s="9"/>
      <c r="S359" s="2"/>
      <c r="T359" s="9"/>
      <c r="U359" s="2"/>
      <c r="V359" s="2"/>
      <c r="W359" s="2"/>
      <c r="X359" s="2"/>
      <c r="Y359" s="2"/>
      <c r="Z359" s="9"/>
      <c r="AA359" s="2"/>
      <c r="AB359" s="2"/>
      <c r="AC359" s="2"/>
      <c r="AD359" s="2"/>
    </row>
    <row r="360" spans="1:30" ht="13.2" x14ac:dyDescent="0.25">
      <c r="A360" s="9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9"/>
      <c r="N360" s="2"/>
      <c r="O360" s="9"/>
      <c r="P360" s="9"/>
      <c r="Q360" s="2"/>
      <c r="R360" s="9"/>
      <c r="S360" s="2"/>
      <c r="T360" s="9"/>
      <c r="U360" s="2"/>
      <c r="V360" s="9"/>
      <c r="W360" s="9"/>
      <c r="X360" s="2"/>
      <c r="Y360" s="2"/>
      <c r="Z360" s="2"/>
      <c r="AA360" s="2"/>
      <c r="AB360" s="2"/>
      <c r="AC360" s="2"/>
      <c r="AD360" s="2"/>
    </row>
    <row r="361" spans="1:30" ht="13.2" x14ac:dyDescent="0.25">
      <c r="A361" s="9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9"/>
      <c r="N361" s="2"/>
      <c r="O361" s="9"/>
      <c r="P361" s="9"/>
      <c r="Q361" s="2"/>
      <c r="R361" s="9"/>
      <c r="S361" s="2"/>
      <c r="T361" s="9"/>
      <c r="U361" s="2"/>
      <c r="V361" s="2"/>
      <c r="W361" s="2"/>
      <c r="X361" s="2"/>
      <c r="Y361" s="2"/>
      <c r="Z361" s="9"/>
      <c r="AA361" s="2"/>
      <c r="AB361" s="2"/>
      <c r="AC361" s="2"/>
      <c r="AD361" s="2"/>
    </row>
    <row r="362" spans="1:30" ht="13.2" x14ac:dyDescent="0.25">
      <c r="A362" s="9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9"/>
      <c r="N362" s="2"/>
      <c r="O362" s="9"/>
      <c r="P362" s="9"/>
      <c r="Q362" s="2"/>
      <c r="R362" s="9"/>
      <c r="S362" s="2"/>
      <c r="T362" s="9"/>
      <c r="U362" s="2"/>
      <c r="V362" s="2"/>
      <c r="W362" s="2"/>
      <c r="X362" s="2"/>
      <c r="Y362" s="2"/>
      <c r="Z362" s="9"/>
      <c r="AA362" s="2"/>
      <c r="AB362" s="2"/>
      <c r="AC362" s="2"/>
      <c r="AD362" s="2"/>
    </row>
    <row r="363" spans="1:30" ht="13.2" x14ac:dyDescent="0.25">
      <c r="A363" s="9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9"/>
      <c r="N363" s="2"/>
      <c r="O363" s="9"/>
      <c r="P363" s="9"/>
      <c r="Q363" s="2"/>
      <c r="R363" s="9"/>
      <c r="S363" s="2"/>
      <c r="T363" s="9"/>
      <c r="U363" s="2"/>
      <c r="V363" s="2"/>
      <c r="W363" s="2"/>
      <c r="X363" s="2"/>
      <c r="Y363" s="2"/>
      <c r="Z363" s="9"/>
      <c r="AA363" s="2"/>
      <c r="AB363" s="2"/>
      <c r="AC363" s="2"/>
      <c r="AD363" s="2"/>
    </row>
    <row r="364" spans="1:30" ht="13.2" x14ac:dyDescent="0.25">
      <c r="A364" s="9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9"/>
      <c r="N364" s="2"/>
      <c r="O364" s="9"/>
      <c r="P364" s="9"/>
      <c r="Q364" s="2"/>
      <c r="R364" s="9"/>
      <c r="S364" s="2"/>
      <c r="T364" s="9"/>
      <c r="U364" s="2"/>
      <c r="V364" s="2"/>
      <c r="W364" s="2"/>
      <c r="X364" s="2"/>
      <c r="Y364" s="2"/>
      <c r="Z364" s="9"/>
      <c r="AA364" s="2"/>
      <c r="AB364" s="2"/>
      <c r="AC364" s="2"/>
      <c r="AD364" s="2"/>
    </row>
    <row r="365" spans="1:30" ht="13.2" x14ac:dyDescent="0.25">
      <c r="A365" s="9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9"/>
      <c r="N365" s="2"/>
      <c r="O365" s="9"/>
      <c r="P365" s="9"/>
      <c r="Q365" s="2"/>
      <c r="R365" s="9"/>
      <c r="S365" s="2"/>
      <c r="T365" s="9"/>
      <c r="U365" s="2"/>
      <c r="V365" s="9"/>
      <c r="W365" s="9"/>
      <c r="X365" s="2"/>
      <c r="Y365" s="2"/>
      <c r="Z365" s="2"/>
      <c r="AA365" s="2"/>
      <c r="AB365" s="2"/>
      <c r="AC365" s="2"/>
      <c r="AD365" s="2"/>
    </row>
    <row r="366" spans="1:30" ht="13.2" x14ac:dyDescent="0.25">
      <c r="A366" s="9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9"/>
      <c r="N366" s="2"/>
      <c r="O366" s="9"/>
      <c r="P366" s="9"/>
      <c r="Q366" s="2"/>
      <c r="R366" s="9"/>
      <c r="S366" s="2"/>
      <c r="T366" s="9"/>
      <c r="U366" s="2"/>
      <c r="V366" s="2"/>
      <c r="W366" s="2"/>
      <c r="X366" s="2"/>
      <c r="Y366" s="2"/>
      <c r="Z366" s="9"/>
      <c r="AA366" s="2"/>
      <c r="AB366" s="2"/>
      <c r="AC366" s="2"/>
      <c r="AD366" s="2"/>
    </row>
    <row r="367" spans="1:30" ht="13.2" x14ac:dyDescent="0.25">
      <c r="A367" s="9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9"/>
      <c r="N367" s="2"/>
      <c r="O367" s="9"/>
      <c r="P367" s="9"/>
      <c r="Q367" s="2"/>
      <c r="R367" s="9"/>
      <c r="S367" s="2"/>
      <c r="T367" s="9"/>
      <c r="U367" s="2"/>
      <c r="V367" s="2"/>
      <c r="W367" s="2"/>
      <c r="X367" s="2"/>
      <c r="Y367" s="2"/>
      <c r="Z367" s="9"/>
      <c r="AA367" s="2"/>
      <c r="AB367" s="2"/>
      <c r="AC367" s="2"/>
      <c r="AD367" s="2"/>
    </row>
    <row r="368" spans="1:30" ht="13.2" x14ac:dyDescent="0.25">
      <c r="A368" s="9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9"/>
      <c r="N368" s="2"/>
      <c r="O368" s="9"/>
      <c r="P368" s="9"/>
      <c r="Q368" s="2"/>
      <c r="R368" s="9"/>
      <c r="S368" s="2"/>
      <c r="T368" s="9"/>
      <c r="U368" s="2"/>
      <c r="V368" s="2"/>
      <c r="W368" s="2"/>
      <c r="X368" s="2"/>
      <c r="Y368" s="2"/>
      <c r="Z368" s="9"/>
      <c r="AA368" s="2"/>
      <c r="AB368" s="2"/>
      <c r="AC368" s="2"/>
      <c r="AD368" s="2"/>
    </row>
    <row r="369" spans="1:30" ht="13.2" x14ac:dyDescent="0.25">
      <c r="A369" s="9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9"/>
      <c r="N369" s="2"/>
      <c r="O369" s="9"/>
      <c r="P369" s="9"/>
      <c r="Q369" s="2"/>
      <c r="R369" s="9"/>
      <c r="S369" s="2"/>
      <c r="T369" s="9"/>
      <c r="U369" s="2"/>
      <c r="V369" s="2"/>
      <c r="W369" s="2"/>
      <c r="X369" s="2"/>
      <c r="Y369" s="2"/>
      <c r="Z369" s="9"/>
      <c r="AA369" s="2"/>
      <c r="AB369" s="2"/>
      <c r="AC369" s="2"/>
      <c r="AD369" s="2"/>
    </row>
    <row r="370" spans="1:30" ht="13.2" x14ac:dyDescent="0.25">
      <c r="A370" s="9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9"/>
      <c r="N370" s="2"/>
      <c r="O370" s="9"/>
      <c r="P370" s="9"/>
      <c r="Q370" s="2"/>
      <c r="R370" s="9"/>
      <c r="S370" s="2"/>
      <c r="T370" s="9"/>
      <c r="U370" s="2"/>
      <c r="V370" s="2"/>
      <c r="W370" s="2"/>
      <c r="X370" s="2"/>
      <c r="Y370" s="2"/>
      <c r="Z370" s="9"/>
      <c r="AA370" s="2"/>
      <c r="AB370" s="2"/>
      <c r="AC370" s="2"/>
      <c r="AD370" s="2"/>
    </row>
    <row r="371" spans="1:30" ht="13.2" x14ac:dyDescent="0.25">
      <c r="A371" s="9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9"/>
      <c r="N371" s="2"/>
      <c r="O371" s="9"/>
      <c r="P371" s="9"/>
      <c r="Q371" s="2"/>
      <c r="R371" s="9"/>
      <c r="S371" s="2"/>
      <c r="T371" s="9"/>
      <c r="U371" s="2"/>
      <c r="V371" s="2"/>
      <c r="W371" s="2"/>
      <c r="X371" s="2"/>
      <c r="Y371" s="2"/>
      <c r="Z371" s="9"/>
      <c r="AA371" s="2"/>
      <c r="AB371" s="2"/>
      <c r="AC371" s="2"/>
      <c r="AD371" s="2"/>
    </row>
    <row r="372" spans="1:30" ht="13.2" x14ac:dyDescent="0.25">
      <c r="A372" s="9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9"/>
      <c r="N372" s="2"/>
      <c r="O372" s="9"/>
      <c r="P372" s="9"/>
      <c r="Q372" s="2"/>
      <c r="R372" s="9"/>
      <c r="S372" s="2"/>
      <c r="T372" s="9"/>
      <c r="U372" s="2"/>
      <c r="V372" s="2"/>
      <c r="W372" s="2"/>
      <c r="X372" s="2"/>
      <c r="Y372" s="2"/>
      <c r="Z372" s="9"/>
      <c r="AA372" s="2"/>
      <c r="AB372" s="2"/>
      <c r="AC372" s="2"/>
      <c r="AD372" s="2"/>
    </row>
    <row r="373" spans="1:30" ht="13.2" x14ac:dyDescent="0.25">
      <c r="A373" s="9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9"/>
      <c r="N373" s="2"/>
      <c r="O373" s="9"/>
      <c r="P373" s="9"/>
      <c r="Q373" s="2"/>
      <c r="R373" s="9"/>
      <c r="S373" s="2"/>
      <c r="T373" s="9"/>
      <c r="U373" s="2"/>
      <c r="V373" s="2"/>
      <c r="W373" s="2"/>
      <c r="X373" s="2"/>
      <c r="Y373" s="2"/>
      <c r="Z373" s="9"/>
      <c r="AA373" s="2"/>
      <c r="AB373" s="2"/>
      <c r="AC373" s="2"/>
      <c r="AD373" s="2"/>
    </row>
    <row r="374" spans="1:30" ht="13.2" x14ac:dyDescent="0.25">
      <c r="A374" s="9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9"/>
      <c r="N374" s="2"/>
      <c r="O374" s="9"/>
      <c r="P374" s="9"/>
      <c r="Q374" s="2"/>
      <c r="R374" s="9"/>
      <c r="S374" s="2"/>
      <c r="T374" s="9"/>
      <c r="U374" s="2"/>
      <c r="V374" s="2"/>
      <c r="W374" s="2"/>
      <c r="X374" s="2"/>
      <c r="Y374" s="2"/>
      <c r="Z374" s="9"/>
      <c r="AA374" s="2"/>
      <c r="AB374" s="2"/>
      <c r="AC374" s="2"/>
      <c r="AD374" s="2"/>
    </row>
    <row r="375" spans="1:30" ht="13.2" x14ac:dyDescent="0.25">
      <c r="A375" s="9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9"/>
      <c r="N375" s="2"/>
      <c r="O375" s="9"/>
      <c r="P375" s="9"/>
      <c r="Q375" s="2"/>
      <c r="R375" s="9"/>
      <c r="S375" s="2"/>
      <c r="T375" s="9"/>
      <c r="U375" s="2"/>
      <c r="V375" s="2"/>
      <c r="W375" s="2"/>
      <c r="X375" s="2"/>
      <c r="Y375" s="2"/>
      <c r="Z375" s="9"/>
      <c r="AA375" s="2"/>
      <c r="AB375" s="2"/>
      <c r="AC375" s="2"/>
      <c r="AD375" s="2"/>
    </row>
    <row r="376" spans="1:30" ht="13.2" x14ac:dyDescent="0.25">
      <c r="A376" s="9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9"/>
      <c r="N376" s="2"/>
      <c r="O376" s="9"/>
      <c r="P376" s="9"/>
      <c r="Q376" s="2"/>
      <c r="R376" s="9"/>
      <c r="S376" s="2"/>
      <c r="T376" s="9"/>
      <c r="U376" s="2"/>
      <c r="V376" s="2"/>
      <c r="W376" s="2"/>
      <c r="X376" s="2"/>
      <c r="Y376" s="2"/>
      <c r="Z376" s="9"/>
      <c r="AA376" s="2"/>
      <c r="AB376" s="2"/>
      <c r="AC376" s="2"/>
      <c r="AD376" s="2"/>
    </row>
    <row r="377" spans="1:30" ht="13.2" x14ac:dyDescent="0.25">
      <c r="A377" s="9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9"/>
      <c r="N377" s="2"/>
      <c r="O377" s="9"/>
      <c r="P377" s="9"/>
      <c r="Q377" s="2"/>
      <c r="R377" s="9"/>
      <c r="S377" s="2"/>
      <c r="T377" s="9"/>
      <c r="U377" s="2"/>
      <c r="V377" s="2"/>
      <c r="W377" s="2"/>
      <c r="X377" s="2"/>
      <c r="Y377" s="2"/>
      <c r="Z377" s="9"/>
      <c r="AA377" s="2"/>
      <c r="AB377" s="2"/>
      <c r="AC377" s="2"/>
      <c r="AD377" s="2"/>
    </row>
    <row r="378" spans="1:30" ht="13.2" x14ac:dyDescent="0.25">
      <c r="A378" s="9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9"/>
      <c r="N378" s="2"/>
      <c r="O378" s="9"/>
      <c r="P378" s="9"/>
      <c r="Q378" s="2"/>
      <c r="R378" s="9"/>
      <c r="S378" s="2"/>
      <c r="T378" s="9"/>
      <c r="U378" s="2"/>
      <c r="V378" s="2"/>
      <c r="W378" s="2"/>
      <c r="X378" s="2"/>
      <c r="Y378" s="2"/>
      <c r="Z378" s="9"/>
      <c r="AA378" s="2"/>
      <c r="AB378" s="2"/>
      <c r="AC378" s="2"/>
      <c r="AD378" s="2"/>
    </row>
    <row r="379" spans="1:30" ht="13.2" x14ac:dyDescent="0.25">
      <c r="A379" s="9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9"/>
      <c r="N379" s="2"/>
      <c r="O379" s="9"/>
      <c r="P379" s="9"/>
      <c r="Q379" s="2"/>
      <c r="R379" s="9"/>
      <c r="S379" s="2"/>
      <c r="T379" s="9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3.2" x14ac:dyDescent="0.25">
      <c r="A380" s="9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9"/>
      <c r="N380" s="2"/>
      <c r="O380" s="9"/>
      <c r="P380" s="9"/>
      <c r="Q380" s="2"/>
      <c r="R380" s="9"/>
      <c r="S380" s="2"/>
      <c r="T380" s="9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3.2" x14ac:dyDescent="0.25">
      <c r="A381" s="9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9"/>
      <c r="N381" s="2"/>
      <c r="O381" s="9"/>
      <c r="P381" s="9"/>
      <c r="Q381" s="2"/>
      <c r="R381" s="9"/>
      <c r="S381" s="2"/>
      <c r="T381" s="9"/>
      <c r="U381" s="2"/>
      <c r="V381" s="2"/>
      <c r="W381" s="2"/>
      <c r="X381" s="2"/>
      <c r="Y381" s="2"/>
      <c r="Z381" s="9"/>
      <c r="AA381" s="2"/>
      <c r="AB381" s="2"/>
      <c r="AC381" s="2"/>
      <c r="AD381" s="2"/>
    </row>
    <row r="382" spans="1:30" ht="13.2" x14ac:dyDescent="0.25">
      <c r="A382" s="9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9"/>
      <c r="N382" s="2"/>
      <c r="O382" s="9"/>
      <c r="P382" s="9"/>
      <c r="Q382" s="2"/>
      <c r="R382" s="9"/>
      <c r="S382" s="2"/>
      <c r="T382" s="9"/>
      <c r="U382" s="2"/>
      <c r="V382" s="2"/>
      <c r="W382" s="2"/>
      <c r="X382" s="2"/>
      <c r="Y382" s="2"/>
      <c r="Z382" s="9"/>
      <c r="AA382" s="2"/>
      <c r="AB382" s="2"/>
      <c r="AC382" s="2"/>
      <c r="AD382" s="2"/>
    </row>
    <row r="383" spans="1:30" ht="13.2" x14ac:dyDescent="0.25">
      <c r="A383" s="9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9"/>
      <c r="N383" s="2"/>
      <c r="O383" s="9"/>
      <c r="P383" s="9"/>
      <c r="Q383" s="2"/>
      <c r="R383" s="9"/>
      <c r="S383" s="2"/>
      <c r="T383" s="9"/>
      <c r="U383" s="2"/>
      <c r="V383" s="2"/>
      <c r="W383" s="2"/>
      <c r="X383" s="2"/>
      <c r="Y383" s="2"/>
      <c r="Z383" s="9"/>
      <c r="AA383" s="2"/>
      <c r="AB383" s="2"/>
      <c r="AC383" s="2"/>
      <c r="AD383" s="2"/>
    </row>
    <row r="384" spans="1:30" ht="13.2" x14ac:dyDescent="0.25">
      <c r="A384" s="10"/>
      <c r="B384" s="1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9"/>
      <c r="N384" s="2"/>
      <c r="O384" s="9"/>
      <c r="P384" s="9"/>
      <c r="Q384" s="2"/>
      <c r="R384" s="9"/>
      <c r="S384" s="2"/>
      <c r="T384" s="9"/>
      <c r="U384" s="2"/>
      <c r="V384" s="9"/>
      <c r="W384" s="9"/>
      <c r="X384" s="2"/>
      <c r="Y384" s="2"/>
      <c r="Z384" s="2"/>
      <c r="AA384" s="2"/>
      <c r="AB384" s="2"/>
      <c r="AC384" s="2"/>
      <c r="AD384" s="2"/>
    </row>
    <row r="385" spans="1:30" ht="13.2" x14ac:dyDescent="0.25">
      <c r="A385" s="10"/>
      <c r="B385" s="10"/>
      <c r="C385" s="2"/>
      <c r="D385" s="2"/>
      <c r="E385" s="2"/>
      <c r="F385" s="16"/>
      <c r="G385" s="12"/>
      <c r="H385" s="2"/>
      <c r="I385" s="2"/>
      <c r="J385" s="2"/>
      <c r="K385" s="2"/>
      <c r="L385" s="2"/>
      <c r="M385" s="9"/>
      <c r="N385" s="2"/>
      <c r="O385" s="9"/>
      <c r="P385" s="9"/>
      <c r="Q385" s="2"/>
      <c r="R385" s="9"/>
      <c r="S385" s="2"/>
      <c r="T385" s="9"/>
      <c r="U385" s="2"/>
      <c r="V385" s="2"/>
      <c r="W385" s="2"/>
      <c r="X385" s="2"/>
      <c r="Y385" s="2"/>
      <c r="Z385" s="9"/>
      <c r="AA385" s="2"/>
      <c r="AB385" s="2"/>
      <c r="AC385" s="2"/>
      <c r="AD385" s="2"/>
    </row>
    <row r="386" spans="1:30" ht="13.2" x14ac:dyDescent="0.25">
      <c r="A386" s="10"/>
      <c r="B386" s="1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9"/>
      <c r="N386" s="2"/>
      <c r="O386" s="9"/>
      <c r="P386" s="9"/>
      <c r="Q386" s="2"/>
      <c r="R386" s="9"/>
      <c r="S386" s="2"/>
      <c r="T386" s="9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3.2" x14ac:dyDescent="0.25">
      <c r="A387" s="10"/>
      <c r="B387" s="1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9"/>
      <c r="N387" s="2"/>
      <c r="O387" s="9"/>
      <c r="P387" s="9"/>
      <c r="Q387" s="2"/>
      <c r="R387" s="9"/>
      <c r="S387" s="2"/>
      <c r="T387" s="9"/>
      <c r="U387" s="2"/>
      <c r="V387" s="2"/>
      <c r="W387" s="2"/>
      <c r="X387" s="2"/>
      <c r="Y387" s="2"/>
      <c r="Z387" s="9"/>
      <c r="AA387" s="2"/>
      <c r="AB387" s="2"/>
      <c r="AC387" s="2"/>
      <c r="AD387" s="2"/>
    </row>
    <row r="388" spans="1:30" ht="13.2" x14ac:dyDescent="0.25">
      <c r="A388" s="10"/>
      <c r="B388" s="1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9"/>
      <c r="N388" s="2"/>
      <c r="O388" s="9"/>
      <c r="P388" s="9"/>
      <c r="Q388" s="2"/>
      <c r="R388" s="9"/>
      <c r="S388" s="2"/>
      <c r="T388" s="9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3.2" x14ac:dyDescent="0.25">
      <c r="A389" s="10"/>
      <c r="B389" s="1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9"/>
      <c r="N389" s="2"/>
      <c r="O389" s="9"/>
      <c r="P389" s="9"/>
      <c r="Q389" s="2"/>
      <c r="R389" s="9"/>
      <c r="S389" s="2"/>
      <c r="T389" s="9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3.2" x14ac:dyDescent="0.25">
      <c r="A390" s="10"/>
      <c r="B390" s="1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9"/>
      <c r="N390" s="2"/>
      <c r="O390" s="9"/>
      <c r="P390" s="9"/>
      <c r="Q390" s="2"/>
      <c r="R390" s="9"/>
      <c r="S390" s="2"/>
      <c r="T390" s="9"/>
      <c r="U390" s="2"/>
      <c r="V390" s="2"/>
      <c r="W390" s="2"/>
      <c r="X390" s="2"/>
      <c r="Y390" s="2"/>
      <c r="Z390" s="9"/>
      <c r="AA390" s="2"/>
      <c r="AB390" s="2"/>
      <c r="AC390" s="2"/>
      <c r="AD390" s="2"/>
    </row>
    <row r="391" spans="1:30" ht="13.2" x14ac:dyDescent="0.25">
      <c r="A391" s="10"/>
      <c r="B391" s="1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9"/>
      <c r="N391" s="2"/>
      <c r="O391" s="9"/>
      <c r="P391" s="9"/>
      <c r="Q391" s="2"/>
      <c r="R391" s="9"/>
      <c r="S391" s="2"/>
      <c r="T391" s="9"/>
      <c r="U391" s="2"/>
      <c r="V391" s="2"/>
      <c r="W391" s="2"/>
      <c r="X391" s="2"/>
      <c r="Y391" s="2"/>
      <c r="Z391" s="9"/>
      <c r="AA391" s="2"/>
      <c r="AB391" s="2"/>
      <c r="AC391" s="2"/>
      <c r="AD391" s="2"/>
    </row>
    <row r="392" spans="1:30" ht="13.2" x14ac:dyDescent="0.25">
      <c r="A392" s="10"/>
      <c r="B392" s="1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9"/>
      <c r="N392" s="2"/>
      <c r="O392" s="9"/>
      <c r="P392" s="9"/>
      <c r="Q392" s="2"/>
      <c r="R392" s="9"/>
      <c r="S392" s="2"/>
      <c r="T392" s="9"/>
      <c r="U392" s="2"/>
      <c r="V392" s="2"/>
      <c r="W392" s="2"/>
      <c r="X392" s="2"/>
      <c r="Y392" s="2"/>
      <c r="Z392" s="9"/>
      <c r="AA392" s="2"/>
      <c r="AB392" s="2"/>
      <c r="AC392" s="2"/>
      <c r="AD392" s="2"/>
    </row>
    <row r="393" spans="1:30" ht="13.2" x14ac:dyDescent="0.25">
      <c r="A393" s="10"/>
      <c r="B393" s="1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9"/>
      <c r="N393" s="2"/>
      <c r="O393" s="9"/>
      <c r="P393" s="9"/>
      <c r="Q393" s="2"/>
      <c r="R393" s="9"/>
      <c r="S393" s="2"/>
      <c r="T393" s="9"/>
      <c r="U393" s="2"/>
      <c r="V393" s="2"/>
      <c r="W393" s="2"/>
      <c r="X393" s="2"/>
      <c r="Y393" s="2"/>
      <c r="Z393" s="9"/>
      <c r="AA393" s="2"/>
      <c r="AB393" s="2"/>
      <c r="AC393" s="2"/>
      <c r="AD393" s="2"/>
    </row>
    <row r="394" spans="1:30" ht="13.2" x14ac:dyDescent="0.25">
      <c r="A394" s="10"/>
      <c r="B394" s="1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9"/>
      <c r="N394" s="2"/>
      <c r="O394" s="9"/>
      <c r="P394" s="9"/>
      <c r="Q394" s="2"/>
      <c r="R394" s="9"/>
      <c r="S394" s="2"/>
      <c r="T394" s="9"/>
      <c r="U394" s="2"/>
      <c r="V394" s="2"/>
      <c r="W394" s="2"/>
      <c r="X394" s="2"/>
      <c r="Y394" s="2"/>
      <c r="Z394" s="9"/>
      <c r="AA394" s="2"/>
      <c r="AB394" s="2"/>
      <c r="AC394" s="2"/>
      <c r="AD394" s="2"/>
    </row>
    <row r="395" spans="1:30" ht="13.2" x14ac:dyDescent="0.25">
      <c r="A395" s="10"/>
      <c r="B395" s="10"/>
      <c r="C395" s="2"/>
      <c r="D395" s="2"/>
      <c r="E395" s="2"/>
      <c r="F395" s="16"/>
      <c r="G395" s="2"/>
      <c r="H395" s="2"/>
      <c r="I395" s="2"/>
      <c r="J395" s="2"/>
      <c r="K395" s="2"/>
      <c r="L395" s="2"/>
      <c r="M395" s="9"/>
      <c r="N395" s="2"/>
      <c r="O395" s="9"/>
      <c r="P395" s="9"/>
      <c r="Q395" s="2"/>
      <c r="R395" s="9"/>
      <c r="S395" s="2"/>
      <c r="T395" s="9"/>
      <c r="U395" s="2"/>
      <c r="V395" s="2"/>
      <c r="W395" s="2"/>
      <c r="X395" s="2"/>
      <c r="Y395" s="2"/>
      <c r="Z395" s="9"/>
      <c r="AA395" s="2"/>
      <c r="AB395" s="2"/>
      <c r="AC395" s="2"/>
      <c r="AD395" s="2"/>
    </row>
    <row r="396" spans="1:30" ht="13.2" x14ac:dyDescent="0.25">
      <c r="A396" s="10"/>
      <c r="B396" s="1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9"/>
      <c r="N396" s="2"/>
      <c r="O396" s="9"/>
      <c r="P396" s="9"/>
      <c r="Q396" s="2"/>
      <c r="R396" s="9"/>
      <c r="S396" s="2"/>
      <c r="T396" s="9"/>
      <c r="U396" s="2"/>
      <c r="V396" s="2"/>
      <c r="W396" s="2"/>
      <c r="X396" s="2"/>
      <c r="Y396" s="2"/>
      <c r="Z396" s="9"/>
      <c r="AA396" s="2"/>
      <c r="AB396" s="2"/>
      <c r="AC396" s="2"/>
      <c r="AD396" s="2"/>
    </row>
    <row r="397" spans="1:30" ht="13.2" x14ac:dyDescent="0.25">
      <c r="A397" s="10"/>
      <c r="B397" s="1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9"/>
      <c r="N397" s="2"/>
      <c r="O397" s="9"/>
      <c r="P397" s="9"/>
      <c r="Q397" s="2"/>
      <c r="R397" s="9"/>
      <c r="S397" s="2"/>
      <c r="T397" s="9"/>
      <c r="U397" s="2"/>
      <c r="V397" s="2"/>
      <c r="W397" s="2"/>
      <c r="X397" s="2"/>
      <c r="Y397" s="2"/>
      <c r="Z397" s="9"/>
      <c r="AA397" s="2"/>
      <c r="AB397" s="2"/>
      <c r="AC397" s="2"/>
      <c r="AD397" s="2"/>
    </row>
    <row r="398" spans="1:30" ht="13.2" x14ac:dyDescent="0.25">
      <c r="A398" s="10"/>
      <c r="B398" s="1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9"/>
      <c r="N398" s="2"/>
      <c r="O398" s="9"/>
      <c r="P398" s="9"/>
      <c r="Q398" s="2"/>
      <c r="R398" s="9"/>
      <c r="S398" s="2"/>
      <c r="T398" s="9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3.2" x14ac:dyDescent="0.25">
      <c r="A399" s="10"/>
      <c r="B399" s="1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9"/>
      <c r="N399" s="2"/>
      <c r="O399" s="9"/>
      <c r="P399" s="9"/>
      <c r="Q399" s="2"/>
      <c r="R399" s="9"/>
      <c r="S399" s="2"/>
      <c r="T399" s="9"/>
      <c r="U399" s="2"/>
      <c r="V399" s="9"/>
      <c r="W399" s="9"/>
      <c r="X399" s="2"/>
      <c r="Y399" s="2"/>
      <c r="Z399" s="2"/>
      <c r="AA399" s="2"/>
      <c r="AB399" s="2"/>
      <c r="AC399" s="2"/>
      <c r="AD399" s="2"/>
    </row>
    <row r="400" spans="1:30" ht="13.2" x14ac:dyDescent="0.25">
      <c r="A400" s="10"/>
      <c r="B400" s="10"/>
      <c r="C400" s="2"/>
      <c r="D400" s="2"/>
      <c r="E400" s="2"/>
      <c r="F400" s="2"/>
      <c r="G400" s="17"/>
      <c r="H400" s="2"/>
      <c r="I400" s="2"/>
      <c r="J400" s="2"/>
      <c r="K400" s="2"/>
      <c r="L400" s="2"/>
      <c r="M400" s="9"/>
      <c r="N400" s="2"/>
      <c r="O400" s="9"/>
      <c r="P400" s="9"/>
      <c r="Q400" s="2"/>
      <c r="R400" s="9"/>
      <c r="S400" s="2"/>
      <c r="T400" s="9"/>
      <c r="U400" s="2"/>
      <c r="V400" s="9"/>
      <c r="W400" s="9"/>
      <c r="X400" s="2"/>
      <c r="Y400" s="2"/>
      <c r="Z400" s="2"/>
      <c r="AA400" s="2"/>
      <c r="AB400" s="2"/>
      <c r="AC400" s="2"/>
      <c r="AD400" s="2"/>
    </row>
    <row r="401" spans="1:30" ht="13.2" x14ac:dyDescent="0.25">
      <c r="A401" s="10"/>
      <c r="B401" s="1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9"/>
      <c r="N401" s="2"/>
      <c r="O401" s="9"/>
      <c r="P401" s="9"/>
      <c r="Q401" s="2"/>
      <c r="R401" s="9"/>
      <c r="S401" s="2"/>
      <c r="T401" s="9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3.2" x14ac:dyDescent="0.25">
      <c r="A402" s="10"/>
      <c r="B402" s="10"/>
      <c r="C402" s="2"/>
      <c r="D402" s="2"/>
      <c r="E402" s="2"/>
      <c r="F402" s="2"/>
      <c r="G402" s="9"/>
      <c r="H402" s="2"/>
      <c r="I402" s="2"/>
      <c r="J402" s="2"/>
      <c r="K402" s="2"/>
      <c r="L402" s="2"/>
      <c r="M402" s="9"/>
      <c r="N402" s="2"/>
      <c r="O402" s="9"/>
      <c r="P402" s="9"/>
      <c r="Q402" s="2"/>
      <c r="R402" s="9"/>
      <c r="S402" s="2"/>
      <c r="T402" s="9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3.2" x14ac:dyDescent="0.25">
      <c r="A403" s="10"/>
      <c r="B403" s="10"/>
      <c r="C403" s="2"/>
      <c r="D403" s="2"/>
      <c r="E403" s="2"/>
      <c r="F403" s="2"/>
      <c r="G403" s="9"/>
      <c r="H403" s="2"/>
      <c r="I403" s="2"/>
      <c r="J403" s="2"/>
      <c r="K403" s="2"/>
      <c r="L403" s="2"/>
      <c r="M403" s="9"/>
      <c r="N403" s="2"/>
      <c r="O403" s="9"/>
      <c r="P403" s="9"/>
      <c r="Q403" s="2"/>
      <c r="R403" s="9"/>
      <c r="S403" s="2"/>
      <c r="T403" s="9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3.2" x14ac:dyDescent="0.25">
      <c r="A404" s="10"/>
      <c r="B404" s="10"/>
      <c r="C404" s="2"/>
      <c r="D404" s="2"/>
      <c r="E404" s="2"/>
      <c r="F404" s="2"/>
      <c r="G404" s="9"/>
      <c r="H404" s="2"/>
      <c r="I404" s="2"/>
      <c r="J404" s="2"/>
      <c r="K404" s="2"/>
      <c r="L404" s="2"/>
      <c r="M404" s="9"/>
      <c r="N404" s="2"/>
      <c r="O404" s="9"/>
      <c r="P404" s="9"/>
      <c r="Q404" s="2"/>
      <c r="R404" s="9"/>
      <c r="S404" s="2"/>
      <c r="T404" s="9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3.2" x14ac:dyDescent="0.25">
      <c r="A405" s="10"/>
      <c r="B405" s="10"/>
      <c r="C405" s="2"/>
      <c r="D405" s="2"/>
      <c r="E405" s="2"/>
      <c r="F405" s="2"/>
      <c r="G405" s="9"/>
      <c r="H405" s="2"/>
      <c r="I405" s="2"/>
      <c r="J405" s="2"/>
      <c r="K405" s="2"/>
      <c r="L405" s="2"/>
      <c r="M405" s="9"/>
      <c r="N405" s="2"/>
      <c r="O405" s="9"/>
      <c r="P405" s="9"/>
      <c r="Q405" s="2"/>
      <c r="R405" s="9"/>
      <c r="S405" s="2"/>
      <c r="T405" s="9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3.2" x14ac:dyDescent="0.25">
      <c r="A406" s="10"/>
      <c r="B406" s="10"/>
      <c r="C406" s="2"/>
      <c r="D406" s="2"/>
      <c r="E406" s="2"/>
      <c r="F406" s="2"/>
      <c r="G406" s="9"/>
      <c r="H406" s="2"/>
      <c r="I406" s="2"/>
      <c r="J406" s="2"/>
      <c r="K406" s="2"/>
      <c r="L406" s="2"/>
      <c r="M406" s="9"/>
      <c r="N406" s="2"/>
      <c r="O406" s="9"/>
      <c r="P406" s="9"/>
      <c r="Q406" s="2"/>
      <c r="R406" s="9"/>
      <c r="S406" s="2"/>
      <c r="T406" s="9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3.2" x14ac:dyDescent="0.25">
      <c r="A407" s="10"/>
      <c r="B407" s="10"/>
      <c r="C407" s="2"/>
      <c r="D407" s="2"/>
      <c r="E407" s="2"/>
      <c r="F407" s="16"/>
      <c r="G407" s="2"/>
      <c r="H407" s="2"/>
      <c r="I407" s="2"/>
      <c r="J407" s="2"/>
      <c r="K407" s="2"/>
      <c r="L407" s="2"/>
      <c r="M407" s="9"/>
      <c r="N407" s="2"/>
      <c r="O407" s="9"/>
      <c r="P407" s="9"/>
      <c r="Q407" s="2"/>
      <c r="R407" s="9"/>
      <c r="S407" s="2"/>
      <c r="T407" s="9"/>
      <c r="U407" s="2"/>
      <c r="V407" s="2"/>
      <c r="W407" s="2"/>
      <c r="X407" s="2"/>
      <c r="Y407" s="2"/>
      <c r="Z407" s="9"/>
      <c r="AA407" s="2"/>
      <c r="AB407" s="2"/>
      <c r="AC407" s="2"/>
      <c r="AD407" s="2"/>
    </row>
    <row r="408" spans="1:30" ht="13.2" x14ac:dyDescent="0.25">
      <c r="A408" s="10"/>
      <c r="B408" s="1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9"/>
      <c r="N408" s="2"/>
      <c r="O408" s="9"/>
      <c r="P408" s="9"/>
      <c r="Q408" s="2"/>
      <c r="R408" s="9"/>
      <c r="S408" s="2"/>
      <c r="T408" s="9"/>
      <c r="U408" s="2"/>
      <c r="V408" s="2"/>
      <c r="W408" s="2"/>
      <c r="X408" s="2"/>
      <c r="Y408" s="2"/>
      <c r="Z408" s="9"/>
      <c r="AA408" s="2"/>
      <c r="AB408" s="2"/>
      <c r="AC408" s="2"/>
      <c r="AD408" s="2"/>
    </row>
    <row r="409" spans="1:30" ht="13.2" x14ac:dyDescent="0.25">
      <c r="A409" s="10"/>
      <c r="B409" s="1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9"/>
      <c r="N409" s="2"/>
      <c r="O409" s="9"/>
      <c r="P409" s="9"/>
      <c r="Q409" s="2"/>
      <c r="R409" s="9"/>
      <c r="S409" s="2"/>
      <c r="T409" s="9"/>
      <c r="U409" s="2"/>
      <c r="V409" s="2"/>
      <c r="W409" s="2"/>
      <c r="X409" s="2"/>
      <c r="Y409" s="2"/>
      <c r="Z409" s="9"/>
      <c r="AA409" s="2"/>
      <c r="AB409" s="2"/>
      <c r="AC409" s="2"/>
      <c r="AD409" s="2"/>
    </row>
    <row r="410" spans="1:30" ht="13.2" x14ac:dyDescent="0.25">
      <c r="A410" s="10"/>
      <c r="B410" s="1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9"/>
      <c r="N410" s="2"/>
      <c r="O410" s="9"/>
      <c r="P410" s="9"/>
      <c r="Q410" s="2"/>
      <c r="R410" s="9"/>
      <c r="S410" s="2"/>
      <c r="T410" s="9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3.2" x14ac:dyDescent="0.25">
      <c r="A411" s="10"/>
      <c r="B411" s="1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9"/>
      <c r="N411" s="2"/>
      <c r="O411" s="9"/>
      <c r="P411" s="9"/>
      <c r="Q411" s="2"/>
      <c r="R411" s="9"/>
      <c r="S411" s="2"/>
      <c r="T411" s="9"/>
      <c r="U411" s="2"/>
      <c r="V411" s="2"/>
      <c r="W411" s="2"/>
      <c r="X411" s="2"/>
      <c r="Y411" s="2"/>
      <c r="Z411" s="9"/>
      <c r="AA411" s="2"/>
      <c r="AB411" s="2"/>
      <c r="AC411" s="2"/>
      <c r="AD411" s="2"/>
    </row>
    <row r="412" spans="1:30" ht="13.2" x14ac:dyDescent="0.25">
      <c r="A412" s="10"/>
      <c r="B412" s="1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9"/>
      <c r="N412" s="2"/>
      <c r="O412" s="9"/>
      <c r="P412" s="9"/>
      <c r="Q412" s="2"/>
      <c r="R412" s="9"/>
      <c r="S412" s="2"/>
      <c r="T412" s="9"/>
      <c r="U412" s="2"/>
      <c r="V412" s="2"/>
      <c r="W412" s="2"/>
      <c r="X412" s="2"/>
      <c r="Y412" s="2"/>
      <c r="Z412" s="9"/>
      <c r="AA412" s="2"/>
      <c r="AB412" s="2"/>
      <c r="AC412" s="2"/>
      <c r="AD412" s="2"/>
    </row>
    <row r="413" spans="1:30" ht="13.2" x14ac:dyDescent="0.25">
      <c r="A413" s="10"/>
      <c r="B413" s="1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9"/>
      <c r="N413" s="2"/>
      <c r="O413" s="9"/>
      <c r="P413" s="9"/>
      <c r="Q413" s="2"/>
      <c r="R413" s="9"/>
      <c r="S413" s="2"/>
      <c r="T413" s="9"/>
      <c r="U413" s="2"/>
      <c r="V413" s="2"/>
      <c r="W413" s="2"/>
      <c r="X413" s="2"/>
      <c r="Y413" s="2"/>
      <c r="Z413" s="9"/>
      <c r="AA413" s="2"/>
      <c r="AB413" s="2"/>
      <c r="AC413" s="2"/>
      <c r="AD413" s="2"/>
    </row>
    <row r="414" spans="1:30" ht="13.2" x14ac:dyDescent="0.25">
      <c r="A414" s="10"/>
      <c r="B414" s="1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9"/>
      <c r="N414" s="2"/>
      <c r="O414" s="9"/>
      <c r="P414" s="9"/>
      <c r="Q414" s="2"/>
      <c r="R414" s="9"/>
      <c r="S414" s="2"/>
      <c r="T414" s="9"/>
      <c r="U414" s="2"/>
      <c r="V414" s="9"/>
      <c r="W414" s="9"/>
      <c r="X414" s="2"/>
      <c r="Y414" s="2"/>
      <c r="Z414" s="2"/>
      <c r="AA414" s="2"/>
      <c r="AB414" s="2"/>
      <c r="AC414" s="2"/>
      <c r="AD414" s="2"/>
    </row>
    <row r="415" spans="1:30" ht="13.2" x14ac:dyDescent="0.25">
      <c r="A415" s="10"/>
      <c r="B415" s="1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9"/>
      <c r="N415" s="2"/>
      <c r="O415" s="9"/>
      <c r="P415" s="9"/>
      <c r="Q415" s="2"/>
      <c r="R415" s="9"/>
      <c r="S415" s="2"/>
      <c r="T415" s="9"/>
      <c r="U415" s="2"/>
      <c r="V415" s="2"/>
      <c r="W415" s="2"/>
      <c r="X415" s="2"/>
      <c r="Y415" s="2"/>
      <c r="Z415" s="9"/>
      <c r="AA415" s="2"/>
      <c r="AB415" s="2"/>
      <c r="AC415" s="2"/>
      <c r="AD415" s="2"/>
    </row>
    <row r="416" spans="1:30" ht="13.2" x14ac:dyDescent="0.25">
      <c r="A416" s="10"/>
      <c r="B416" s="1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9"/>
      <c r="N416" s="2"/>
      <c r="O416" s="9"/>
      <c r="P416" s="9"/>
      <c r="Q416" s="2"/>
      <c r="R416" s="9"/>
      <c r="S416" s="2"/>
      <c r="T416" s="9"/>
      <c r="U416" s="2"/>
      <c r="V416" s="9"/>
      <c r="W416" s="9"/>
      <c r="X416" s="2"/>
      <c r="Y416" s="2"/>
      <c r="Z416" s="2"/>
      <c r="AA416" s="2"/>
      <c r="AB416" s="2"/>
      <c r="AC416" s="2"/>
      <c r="AD416" s="2"/>
    </row>
    <row r="417" spans="1:30" ht="13.2" x14ac:dyDescent="0.25">
      <c r="A417" s="10"/>
      <c r="B417" s="10"/>
      <c r="C417" s="2"/>
      <c r="D417" s="2"/>
      <c r="E417" s="2"/>
      <c r="F417" s="2"/>
      <c r="G417" s="13"/>
      <c r="H417" s="2"/>
      <c r="I417" s="2"/>
      <c r="J417" s="2"/>
      <c r="K417" s="2"/>
      <c r="L417" s="2"/>
      <c r="M417" s="9"/>
      <c r="N417" s="2"/>
      <c r="O417" s="9"/>
      <c r="P417" s="9"/>
      <c r="Q417" s="2"/>
      <c r="R417" s="9"/>
      <c r="S417" s="2"/>
      <c r="T417" s="9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3.2" x14ac:dyDescent="0.25">
      <c r="A418" s="10"/>
      <c r="B418" s="1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9"/>
      <c r="N418" s="2"/>
      <c r="O418" s="9"/>
      <c r="P418" s="9"/>
      <c r="Q418" s="2"/>
      <c r="R418" s="9"/>
      <c r="S418" s="2"/>
      <c r="T418" s="9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3.2" x14ac:dyDescent="0.25">
      <c r="A419" s="10"/>
      <c r="B419" s="1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9"/>
      <c r="N419" s="2"/>
      <c r="O419" s="9"/>
      <c r="P419" s="9"/>
      <c r="Q419" s="2"/>
      <c r="R419" s="9"/>
      <c r="S419" s="2"/>
      <c r="T419" s="9"/>
      <c r="U419" s="2"/>
      <c r="V419" s="2"/>
      <c r="W419" s="2"/>
      <c r="X419" s="2"/>
      <c r="Y419" s="2"/>
      <c r="Z419" s="9"/>
      <c r="AA419" s="2"/>
      <c r="AB419" s="2"/>
      <c r="AC419" s="2"/>
      <c r="AD419" s="2"/>
    </row>
    <row r="420" spans="1:30" ht="13.2" x14ac:dyDescent="0.25">
      <c r="A420" s="10"/>
      <c r="B420" s="1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9"/>
      <c r="N420" s="2"/>
      <c r="O420" s="9"/>
      <c r="P420" s="9"/>
      <c r="Q420" s="2"/>
      <c r="R420" s="9"/>
      <c r="S420" s="2"/>
      <c r="T420" s="9"/>
      <c r="U420" s="2"/>
      <c r="V420" s="2"/>
      <c r="W420" s="2"/>
      <c r="X420" s="2"/>
      <c r="Y420" s="2"/>
      <c r="Z420" s="9"/>
      <c r="AA420" s="2"/>
      <c r="AB420" s="2"/>
      <c r="AC420" s="2"/>
      <c r="AD420" s="2"/>
    </row>
    <row r="421" spans="1:30" ht="13.2" x14ac:dyDescent="0.25">
      <c r="A421" s="10"/>
      <c r="B421" s="1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9"/>
      <c r="N421" s="2"/>
      <c r="O421" s="9"/>
      <c r="P421" s="9"/>
      <c r="Q421" s="2"/>
      <c r="R421" s="9"/>
      <c r="S421" s="2"/>
      <c r="T421" s="9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3.2" x14ac:dyDescent="0.25">
      <c r="A422" s="10"/>
      <c r="B422" s="10"/>
      <c r="C422" s="2"/>
      <c r="D422" s="2"/>
      <c r="E422" s="2"/>
      <c r="F422" s="16"/>
      <c r="G422" s="2"/>
      <c r="H422" s="2"/>
      <c r="I422" s="2"/>
      <c r="J422" s="2"/>
      <c r="K422" s="2"/>
      <c r="L422" s="2"/>
      <c r="M422" s="9"/>
      <c r="N422" s="2"/>
      <c r="O422" s="9"/>
      <c r="P422" s="9"/>
      <c r="Q422" s="2"/>
      <c r="R422" s="9"/>
      <c r="S422" s="2"/>
      <c r="T422" s="9"/>
      <c r="U422" s="2"/>
      <c r="V422" s="2"/>
      <c r="W422" s="2"/>
      <c r="X422" s="2"/>
      <c r="Y422" s="2"/>
      <c r="Z422" s="9"/>
      <c r="AA422" s="2"/>
      <c r="AB422" s="2"/>
      <c r="AC422" s="2"/>
      <c r="AD422" s="2"/>
    </row>
    <row r="423" spans="1:30" ht="13.2" x14ac:dyDescent="0.25">
      <c r="A423" s="10"/>
      <c r="B423" s="10"/>
      <c r="C423" s="2"/>
      <c r="D423" s="2"/>
      <c r="E423" s="2"/>
      <c r="F423" s="2"/>
      <c r="G423" s="18"/>
      <c r="H423" s="2"/>
      <c r="I423" s="2"/>
      <c r="J423" s="2"/>
      <c r="K423" s="2"/>
      <c r="L423" s="2"/>
      <c r="M423" s="9"/>
      <c r="N423" s="2"/>
      <c r="O423" s="9"/>
      <c r="P423" s="9"/>
      <c r="Q423" s="2"/>
      <c r="R423" s="9"/>
      <c r="S423" s="2"/>
      <c r="T423" s="9"/>
      <c r="U423" s="2"/>
      <c r="V423" s="9"/>
      <c r="W423" s="9"/>
      <c r="X423" s="2"/>
      <c r="Y423" s="2"/>
      <c r="Z423" s="2"/>
      <c r="AA423" s="2"/>
      <c r="AB423" s="2"/>
      <c r="AC423" s="2"/>
      <c r="AD423" s="2"/>
    </row>
    <row r="424" spans="1:30" ht="13.2" x14ac:dyDescent="0.25">
      <c r="A424" s="10"/>
      <c r="B424" s="10"/>
      <c r="C424" s="2"/>
      <c r="D424" s="2"/>
      <c r="E424" s="2"/>
      <c r="F424" s="2"/>
      <c r="G424" s="18"/>
      <c r="H424" s="2"/>
      <c r="I424" s="2"/>
      <c r="J424" s="2"/>
      <c r="K424" s="2"/>
      <c r="L424" s="2"/>
      <c r="M424" s="9"/>
      <c r="N424" s="2"/>
      <c r="O424" s="9"/>
      <c r="P424" s="9"/>
      <c r="Q424" s="2"/>
      <c r="R424" s="9"/>
      <c r="S424" s="2"/>
      <c r="T424" s="9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3.2" x14ac:dyDescent="0.25">
      <c r="A425" s="10"/>
      <c r="B425" s="1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9"/>
      <c r="N425" s="2"/>
      <c r="O425" s="9"/>
      <c r="P425" s="9"/>
      <c r="Q425" s="2"/>
      <c r="R425" s="9"/>
      <c r="S425" s="2"/>
      <c r="T425" s="9"/>
      <c r="U425" s="2"/>
      <c r="V425" s="9"/>
      <c r="W425" s="9"/>
      <c r="X425" s="2"/>
      <c r="Y425" s="2"/>
      <c r="Z425" s="2"/>
      <c r="AA425" s="2"/>
      <c r="AB425" s="2"/>
      <c r="AC425" s="2"/>
      <c r="AD425" s="2"/>
    </row>
    <row r="426" spans="1:30" ht="13.2" x14ac:dyDescent="0.25">
      <c r="A426" s="10"/>
      <c r="B426" s="1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9"/>
      <c r="N426" s="2"/>
      <c r="O426" s="9"/>
      <c r="P426" s="9"/>
      <c r="Q426" s="2"/>
      <c r="R426" s="9"/>
      <c r="S426" s="2"/>
      <c r="T426" s="9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3.2" x14ac:dyDescent="0.25">
      <c r="A427" s="10"/>
      <c r="B427" s="1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9"/>
      <c r="N427" s="2"/>
      <c r="O427" s="9"/>
      <c r="P427" s="9"/>
      <c r="Q427" s="2"/>
      <c r="R427" s="9"/>
      <c r="S427" s="2"/>
      <c r="T427" s="9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3.2" x14ac:dyDescent="0.25">
      <c r="A428" s="10"/>
      <c r="B428" s="1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9"/>
      <c r="N428" s="2"/>
      <c r="O428" s="9"/>
      <c r="P428" s="9"/>
      <c r="Q428" s="2"/>
      <c r="R428" s="9"/>
      <c r="S428" s="2"/>
      <c r="T428" s="9"/>
      <c r="U428" s="2"/>
      <c r="V428" s="2"/>
      <c r="W428" s="2"/>
      <c r="X428" s="2"/>
      <c r="Y428" s="2"/>
      <c r="Z428" s="9"/>
      <c r="AA428" s="2"/>
      <c r="AB428" s="2"/>
      <c r="AC428" s="2"/>
      <c r="AD428" s="2"/>
    </row>
    <row r="429" spans="1:30" ht="13.2" x14ac:dyDescent="0.25">
      <c r="A429" s="10"/>
      <c r="B429" s="1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9"/>
      <c r="N429" s="2"/>
      <c r="O429" s="9"/>
      <c r="P429" s="9"/>
      <c r="Q429" s="2"/>
      <c r="R429" s="9"/>
      <c r="S429" s="2"/>
      <c r="T429" s="9"/>
      <c r="U429" s="2"/>
      <c r="V429" s="2"/>
      <c r="W429" s="2"/>
      <c r="X429" s="2"/>
      <c r="Y429" s="2"/>
      <c r="Z429" s="9"/>
      <c r="AA429" s="2"/>
      <c r="AB429" s="2"/>
      <c r="AC429" s="2"/>
      <c r="AD429" s="2"/>
    </row>
    <row r="430" spans="1:30" ht="13.2" x14ac:dyDescent="0.25">
      <c r="A430" s="10"/>
      <c r="B430" s="1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9"/>
      <c r="N430" s="2"/>
      <c r="O430" s="9"/>
      <c r="P430" s="9"/>
      <c r="Q430" s="2"/>
      <c r="R430" s="9"/>
      <c r="S430" s="2"/>
      <c r="T430" s="9"/>
      <c r="U430" s="2"/>
      <c r="V430" s="2"/>
      <c r="W430" s="2"/>
      <c r="X430" s="2"/>
      <c r="Y430" s="2"/>
      <c r="Z430" s="9"/>
      <c r="AA430" s="2"/>
      <c r="AB430" s="2"/>
      <c r="AC430" s="2"/>
      <c r="AD430" s="2"/>
    </row>
    <row r="431" spans="1:30" ht="13.2" x14ac:dyDescent="0.25">
      <c r="A431" s="10"/>
      <c r="B431" s="1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9"/>
      <c r="N431" s="2"/>
      <c r="O431" s="9"/>
      <c r="P431" s="9"/>
      <c r="Q431" s="2"/>
      <c r="R431" s="9"/>
      <c r="S431" s="2"/>
      <c r="T431" s="9"/>
      <c r="U431" s="2"/>
      <c r="V431" s="2"/>
      <c r="W431" s="2"/>
      <c r="X431" s="2"/>
      <c r="Y431" s="2"/>
      <c r="Z431" s="9"/>
      <c r="AA431" s="2"/>
      <c r="AB431" s="2"/>
      <c r="AC431" s="2"/>
      <c r="AD431" s="2"/>
    </row>
    <row r="432" spans="1:30" ht="13.2" x14ac:dyDescent="0.25">
      <c r="A432" s="10"/>
      <c r="B432" s="1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9"/>
      <c r="N432" s="2"/>
      <c r="O432" s="9"/>
      <c r="P432" s="9"/>
      <c r="Q432" s="2"/>
      <c r="R432" s="9"/>
      <c r="S432" s="2"/>
      <c r="T432" s="9"/>
      <c r="U432" s="2"/>
      <c r="V432" s="2"/>
      <c r="W432" s="2"/>
      <c r="X432" s="2"/>
      <c r="Y432" s="2"/>
      <c r="Z432" s="9"/>
      <c r="AA432" s="2"/>
      <c r="AB432" s="2"/>
      <c r="AC432" s="2"/>
      <c r="AD432" s="2"/>
    </row>
    <row r="433" spans="1:30" ht="13.2" x14ac:dyDescent="0.25">
      <c r="A433" s="10"/>
      <c r="B433" s="1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9"/>
      <c r="N433" s="2"/>
      <c r="O433" s="9"/>
      <c r="P433" s="9"/>
      <c r="Q433" s="2"/>
      <c r="R433" s="9"/>
      <c r="S433" s="2"/>
      <c r="T433" s="9"/>
      <c r="U433" s="2"/>
      <c r="V433" s="2"/>
      <c r="W433" s="2"/>
      <c r="X433" s="2"/>
      <c r="Y433" s="2"/>
      <c r="Z433" s="9"/>
      <c r="AA433" s="2"/>
      <c r="AB433" s="2"/>
      <c r="AC433" s="2"/>
      <c r="AD433" s="2"/>
    </row>
    <row r="434" spans="1:30" ht="13.2" x14ac:dyDescent="0.25">
      <c r="A434" s="10"/>
      <c r="B434" s="1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9"/>
      <c r="N434" s="2"/>
      <c r="O434" s="9"/>
      <c r="P434" s="9"/>
      <c r="Q434" s="2"/>
      <c r="R434" s="9"/>
      <c r="S434" s="2"/>
      <c r="T434" s="9"/>
      <c r="U434" s="2"/>
      <c r="V434" s="2"/>
      <c r="W434" s="2"/>
      <c r="X434" s="2"/>
      <c r="Y434" s="2"/>
      <c r="Z434" s="9"/>
      <c r="AA434" s="2"/>
      <c r="AB434" s="2"/>
      <c r="AC434" s="2"/>
      <c r="AD434" s="2"/>
    </row>
    <row r="435" spans="1:30" ht="13.2" x14ac:dyDescent="0.25">
      <c r="A435" s="10"/>
      <c r="B435" s="1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9"/>
      <c r="N435" s="2"/>
      <c r="O435" s="9"/>
      <c r="P435" s="9"/>
      <c r="Q435" s="2"/>
      <c r="R435" s="9"/>
      <c r="S435" s="2"/>
      <c r="T435" s="9"/>
      <c r="U435" s="2"/>
      <c r="V435" s="2"/>
      <c r="W435" s="2"/>
      <c r="X435" s="2"/>
      <c r="Y435" s="2"/>
      <c r="Z435" s="9"/>
      <c r="AA435" s="2"/>
      <c r="AB435" s="2"/>
      <c r="AC435" s="2"/>
      <c r="AD435" s="2"/>
    </row>
    <row r="436" spans="1:30" ht="13.2" x14ac:dyDescent="0.25">
      <c r="A436" s="10"/>
      <c r="B436" s="1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9"/>
      <c r="N436" s="2"/>
      <c r="O436" s="9"/>
      <c r="P436" s="9"/>
      <c r="Q436" s="2"/>
      <c r="R436" s="9"/>
      <c r="S436" s="2"/>
      <c r="T436" s="9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3.2" x14ac:dyDescent="0.25">
      <c r="A437" s="10"/>
      <c r="B437" s="1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9"/>
      <c r="N437" s="2"/>
      <c r="O437" s="9"/>
      <c r="P437" s="9"/>
      <c r="Q437" s="2"/>
      <c r="R437" s="9"/>
      <c r="S437" s="2"/>
      <c r="T437" s="9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3.2" x14ac:dyDescent="0.25">
      <c r="A438" s="10"/>
      <c r="B438" s="1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9"/>
      <c r="N438" s="2"/>
      <c r="O438" s="9"/>
      <c r="P438" s="9"/>
      <c r="Q438" s="2"/>
      <c r="R438" s="9"/>
      <c r="S438" s="2"/>
      <c r="T438" s="9"/>
      <c r="U438" s="2"/>
      <c r="V438" s="2"/>
      <c r="W438" s="2"/>
      <c r="X438" s="2"/>
      <c r="Y438" s="2"/>
      <c r="Z438" s="9"/>
      <c r="AA438" s="2"/>
      <c r="AB438" s="2"/>
      <c r="AC438" s="2"/>
      <c r="AD438" s="2"/>
    </row>
    <row r="439" spans="1:30" ht="13.2" x14ac:dyDescent="0.25">
      <c r="A439" s="10"/>
      <c r="B439" s="1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9"/>
      <c r="N439" s="2"/>
      <c r="O439" s="9"/>
      <c r="P439" s="9"/>
      <c r="Q439" s="2"/>
      <c r="R439" s="9"/>
      <c r="S439" s="2"/>
      <c r="T439" s="9"/>
      <c r="U439" s="2"/>
      <c r="V439" s="2"/>
      <c r="W439" s="2"/>
      <c r="X439" s="2"/>
      <c r="Y439" s="2"/>
      <c r="Z439" s="9"/>
      <c r="AA439" s="2"/>
      <c r="AB439" s="2"/>
      <c r="AC439" s="2"/>
      <c r="AD439" s="2"/>
    </row>
    <row r="440" spans="1:30" ht="13.2" x14ac:dyDescent="0.25">
      <c r="A440" s="10"/>
      <c r="B440" s="1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9"/>
      <c r="N440" s="2"/>
      <c r="O440" s="9"/>
      <c r="P440" s="9"/>
      <c r="Q440" s="2"/>
      <c r="R440" s="9"/>
      <c r="S440" s="2"/>
      <c r="T440" s="9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3.2" x14ac:dyDescent="0.25">
      <c r="A441" s="10"/>
      <c r="B441" s="1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9"/>
      <c r="N441" s="2"/>
      <c r="O441" s="9"/>
      <c r="P441" s="9"/>
      <c r="Q441" s="2"/>
      <c r="R441" s="9"/>
      <c r="S441" s="2"/>
      <c r="T441" s="9"/>
      <c r="U441" s="2"/>
      <c r="V441" s="9"/>
      <c r="W441" s="9"/>
      <c r="X441" s="2"/>
      <c r="Y441" s="2"/>
      <c r="Z441" s="2"/>
      <c r="AA441" s="2"/>
      <c r="AB441" s="2"/>
      <c r="AC441" s="2"/>
      <c r="AD441" s="2"/>
    </row>
    <row r="442" spans="1:30" ht="13.2" x14ac:dyDescent="0.25">
      <c r="A442" s="10"/>
      <c r="B442" s="1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9"/>
      <c r="N442" s="2"/>
      <c r="O442" s="9"/>
      <c r="P442" s="9"/>
      <c r="Q442" s="2"/>
      <c r="R442" s="9"/>
      <c r="S442" s="2"/>
      <c r="T442" s="9"/>
      <c r="U442" s="2"/>
      <c r="V442" s="9"/>
      <c r="W442" s="9"/>
      <c r="X442" s="2"/>
      <c r="Y442" s="2"/>
      <c r="Z442" s="2"/>
      <c r="AA442" s="2"/>
      <c r="AB442" s="2"/>
      <c r="AC442" s="2"/>
      <c r="AD442" s="2"/>
    </row>
    <row r="443" spans="1:30" ht="13.2" x14ac:dyDescent="0.25">
      <c r="A443" s="10"/>
      <c r="B443" s="1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9"/>
      <c r="N443" s="2"/>
      <c r="O443" s="9"/>
      <c r="P443" s="9"/>
      <c r="Q443" s="2"/>
      <c r="R443" s="9"/>
      <c r="S443" s="2"/>
      <c r="T443" s="9"/>
      <c r="U443" s="2"/>
      <c r="V443" s="2"/>
      <c r="W443" s="2"/>
      <c r="X443" s="2"/>
      <c r="Y443" s="2"/>
      <c r="Z443" s="9"/>
      <c r="AA443" s="2"/>
      <c r="AB443" s="2"/>
      <c r="AC443" s="2"/>
      <c r="AD443" s="2"/>
    </row>
    <row r="444" spans="1:30" ht="13.2" x14ac:dyDescent="0.25">
      <c r="A444" s="10"/>
      <c r="B444" s="1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9"/>
      <c r="N444" s="2"/>
      <c r="O444" s="9"/>
      <c r="P444" s="9"/>
      <c r="Q444" s="2"/>
      <c r="R444" s="9"/>
      <c r="S444" s="2"/>
      <c r="T444" s="9"/>
      <c r="U444" s="2"/>
      <c r="V444" s="2"/>
      <c r="W444" s="2"/>
      <c r="X444" s="2"/>
      <c r="Y444" s="2"/>
      <c r="Z444" s="9"/>
      <c r="AA444" s="2"/>
      <c r="AB444" s="2"/>
      <c r="AC444" s="2"/>
      <c r="AD444" s="2"/>
    </row>
    <row r="445" spans="1:30" ht="13.2" x14ac:dyDescent="0.25">
      <c r="A445" s="10"/>
      <c r="B445" s="1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9"/>
      <c r="N445" s="2"/>
      <c r="O445" s="9"/>
      <c r="P445" s="9"/>
      <c r="Q445" s="2"/>
      <c r="R445" s="9"/>
      <c r="S445" s="2"/>
      <c r="T445" s="9"/>
      <c r="U445" s="2"/>
      <c r="V445" s="2"/>
      <c r="W445" s="2"/>
      <c r="X445" s="2"/>
      <c r="Y445" s="2"/>
      <c r="Z445" s="9"/>
      <c r="AA445" s="2"/>
      <c r="AB445" s="2"/>
      <c r="AC445" s="2"/>
      <c r="AD445" s="2"/>
    </row>
    <row r="446" spans="1:30" ht="13.2" x14ac:dyDescent="0.25">
      <c r="A446" s="10"/>
      <c r="B446" s="1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9"/>
      <c r="N446" s="2"/>
      <c r="O446" s="9"/>
      <c r="P446" s="9"/>
      <c r="Q446" s="2"/>
      <c r="R446" s="9"/>
      <c r="S446" s="2"/>
      <c r="T446" s="9"/>
      <c r="U446" s="2"/>
      <c r="V446" s="2"/>
      <c r="W446" s="2"/>
      <c r="X446" s="2"/>
      <c r="Y446" s="2"/>
      <c r="Z446" s="9"/>
      <c r="AA446" s="2"/>
      <c r="AB446" s="2"/>
      <c r="AC446" s="2"/>
      <c r="AD446" s="2"/>
    </row>
    <row r="447" spans="1:30" ht="13.2" x14ac:dyDescent="0.25">
      <c r="A447" s="10"/>
      <c r="B447" s="1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9"/>
      <c r="N447" s="2"/>
      <c r="O447" s="9"/>
      <c r="P447" s="9"/>
      <c r="Q447" s="2"/>
      <c r="R447" s="9"/>
      <c r="S447" s="2"/>
      <c r="T447" s="9"/>
      <c r="U447" s="2"/>
      <c r="V447" s="2"/>
      <c r="W447" s="2"/>
      <c r="X447" s="2"/>
      <c r="Y447" s="2"/>
      <c r="Z447" s="9"/>
      <c r="AA447" s="2"/>
      <c r="AB447" s="2"/>
      <c r="AC447" s="2"/>
      <c r="AD447" s="2"/>
    </row>
    <row r="448" spans="1:30" ht="13.2" x14ac:dyDescent="0.25">
      <c r="A448" s="10"/>
      <c r="B448" s="1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9"/>
      <c r="N448" s="2"/>
      <c r="O448" s="9"/>
      <c r="P448" s="9"/>
      <c r="Q448" s="2"/>
      <c r="R448" s="9"/>
      <c r="S448" s="2"/>
      <c r="T448" s="9"/>
      <c r="U448" s="2"/>
      <c r="V448" s="2"/>
      <c r="W448" s="2"/>
      <c r="X448" s="2"/>
      <c r="Y448" s="2"/>
      <c r="Z448" s="9"/>
      <c r="AA448" s="2"/>
      <c r="AB448" s="2"/>
      <c r="AC448" s="2"/>
      <c r="AD448" s="2"/>
    </row>
    <row r="449" spans="1:30" ht="13.2" x14ac:dyDescent="0.25">
      <c r="A449" s="10"/>
      <c r="B449" s="10"/>
      <c r="C449" s="2"/>
      <c r="D449" s="2"/>
      <c r="E449" s="2"/>
      <c r="F449" s="16"/>
      <c r="G449" s="2"/>
      <c r="H449" s="2"/>
      <c r="I449" s="2"/>
      <c r="J449" s="2"/>
      <c r="K449" s="2"/>
      <c r="L449" s="2"/>
      <c r="M449" s="9"/>
      <c r="N449" s="2"/>
      <c r="O449" s="9"/>
      <c r="P449" s="9"/>
      <c r="Q449" s="2"/>
      <c r="R449" s="9"/>
      <c r="S449" s="2"/>
      <c r="T449" s="9"/>
      <c r="U449" s="2"/>
      <c r="V449" s="2"/>
      <c r="W449" s="2"/>
      <c r="X449" s="2"/>
      <c r="Y449" s="2"/>
      <c r="Z449" s="9"/>
      <c r="AA449" s="2"/>
      <c r="AB449" s="2"/>
      <c r="AC449" s="2"/>
      <c r="AD449" s="2"/>
    </row>
    <row r="450" spans="1:30" ht="13.2" x14ac:dyDescent="0.25">
      <c r="A450" s="10"/>
      <c r="B450" s="1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9"/>
      <c r="N450" s="2"/>
      <c r="O450" s="9"/>
      <c r="P450" s="9"/>
      <c r="Q450" s="2"/>
      <c r="R450" s="9"/>
      <c r="S450" s="2"/>
      <c r="T450" s="9"/>
      <c r="U450" s="2"/>
      <c r="V450" s="2"/>
      <c r="W450" s="2"/>
      <c r="X450" s="2"/>
      <c r="Y450" s="2"/>
      <c r="Z450" s="9"/>
      <c r="AA450" s="2"/>
      <c r="AB450" s="2"/>
      <c r="AC450" s="2"/>
      <c r="AD450" s="2"/>
    </row>
    <row r="451" spans="1:30" ht="13.2" x14ac:dyDescent="0.25">
      <c r="A451" s="10"/>
      <c r="B451" s="1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9"/>
      <c r="N451" s="2"/>
      <c r="O451" s="9"/>
      <c r="P451" s="9"/>
      <c r="Q451" s="2"/>
      <c r="R451" s="9"/>
      <c r="S451" s="2"/>
      <c r="T451" s="9"/>
      <c r="U451" s="2"/>
      <c r="V451" s="2"/>
      <c r="W451" s="2"/>
      <c r="X451" s="2"/>
      <c r="Y451" s="2"/>
      <c r="Z451" s="9"/>
      <c r="AA451" s="2"/>
      <c r="AB451" s="2"/>
      <c r="AC451" s="2"/>
      <c r="AD451" s="2"/>
    </row>
    <row r="452" spans="1:30" ht="13.2" x14ac:dyDescent="0.25">
      <c r="A452" s="10"/>
      <c r="B452" s="1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9"/>
      <c r="N452" s="2"/>
      <c r="O452" s="9"/>
      <c r="P452" s="9"/>
      <c r="Q452" s="2"/>
      <c r="R452" s="9"/>
      <c r="S452" s="2"/>
      <c r="T452" s="9"/>
      <c r="U452" s="2"/>
      <c r="V452" s="2"/>
      <c r="W452" s="2"/>
      <c r="X452" s="2"/>
      <c r="Y452" s="2"/>
      <c r="Z452" s="9"/>
      <c r="AA452" s="2"/>
      <c r="AB452" s="2"/>
      <c r="AC452" s="2"/>
      <c r="AD452" s="2"/>
    </row>
    <row r="453" spans="1:30" ht="13.2" x14ac:dyDescent="0.25">
      <c r="A453" s="10"/>
      <c r="B453" s="1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9"/>
      <c r="N453" s="2"/>
      <c r="O453" s="9"/>
      <c r="P453" s="9"/>
      <c r="Q453" s="2"/>
      <c r="R453" s="9"/>
      <c r="S453" s="2"/>
      <c r="T453" s="9"/>
      <c r="U453" s="2"/>
      <c r="V453" s="9"/>
      <c r="W453" s="9"/>
      <c r="X453" s="2"/>
      <c r="Y453" s="2"/>
      <c r="Z453" s="2"/>
      <c r="AA453" s="2"/>
      <c r="AB453" s="2"/>
      <c r="AC453" s="2"/>
      <c r="AD453" s="2"/>
    </row>
    <row r="454" spans="1:30" ht="13.2" x14ac:dyDescent="0.25">
      <c r="A454" s="10"/>
      <c r="B454" s="1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9"/>
      <c r="N454" s="2"/>
      <c r="O454" s="9"/>
      <c r="P454" s="9"/>
      <c r="Q454" s="2"/>
      <c r="R454" s="9"/>
      <c r="S454" s="2"/>
      <c r="T454" s="9"/>
      <c r="U454" s="2"/>
      <c r="V454" s="2"/>
      <c r="W454" s="2"/>
      <c r="X454" s="2"/>
      <c r="Y454" s="2"/>
      <c r="Z454" s="9"/>
      <c r="AA454" s="2"/>
      <c r="AB454" s="2"/>
      <c r="AC454" s="2"/>
      <c r="AD454" s="2"/>
    </row>
    <row r="455" spans="1:30" ht="13.2" x14ac:dyDescent="0.25">
      <c r="A455" s="10"/>
      <c r="B455" s="10"/>
      <c r="C455" s="2"/>
      <c r="D455" s="2"/>
      <c r="E455" s="2"/>
      <c r="F455" s="16"/>
      <c r="G455" s="2"/>
      <c r="H455" s="2"/>
      <c r="I455" s="2"/>
      <c r="J455" s="2"/>
      <c r="K455" s="2"/>
      <c r="L455" s="2"/>
      <c r="M455" s="9"/>
      <c r="N455" s="2"/>
      <c r="O455" s="9"/>
      <c r="P455" s="9"/>
      <c r="Q455" s="2"/>
      <c r="R455" s="9"/>
      <c r="S455" s="2"/>
      <c r="T455" s="9"/>
      <c r="U455" s="2"/>
      <c r="V455" s="2"/>
      <c r="W455" s="2"/>
      <c r="X455" s="2"/>
      <c r="Y455" s="2"/>
      <c r="Z455" s="9"/>
      <c r="AA455" s="2"/>
      <c r="AB455" s="2"/>
      <c r="AC455" s="2"/>
      <c r="AD455" s="2"/>
    </row>
    <row r="456" spans="1:30" ht="13.2" x14ac:dyDescent="0.25">
      <c r="A456" s="10"/>
      <c r="B456" s="1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9"/>
      <c r="N456" s="2"/>
      <c r="O456" s="9"/>
      <c r="P456" s="9"/>
      <c r="Q456" s="2"/>
      <c r="R456" s="9"/>
      <c r="S456" s="2"/>
      <c r="T456" s="9"/>
      <c r="U456" s="2"/>
      <c r="V456" s="2"/>
      <c r="W456" s="2"/>
      <c r="X456" s="2"/>
      <c r="Y456" s="2"/>
      <c r="Z456" s="9"/>
      <c r="AA456" s="2"/>
      <c r="AB456" s="2"/>
      <c r="AC456" s="2"/>
      <c r="AD456" s="2"/>
    </row>
    <row r="457" spans="1:30" ht="13.2" x14ac:dyDescent="0.25">
      <c r="A457" s="10"/>
      <c r="B457" s="1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9"/>
      <c r="N457" s="2"/>
      <c r="O457" s="9"/>
      <c r="P457" s="9"/>
      <c r="Q457" s="2"/>
      <c r="R457" s="9"/>
      <c r="S457" s="2"/>
      <c r="T457" s="9"/>
      <c r="U457" s="2"/>
      <c r="V457" s="9"/>
      <c r="W457" s="9"/>
      <c r="X457" s="2"/>
      <c r="Y457" s="2"/>
      <c r="Z457" s="2"/>
      <c r="AA457" s="2"/>
      <c r="AB457" s="2"/>
      <c r="AC457" s="2"/>
      <c r="AD457" s="2"/>
    </row>
    <row r="458" spans="1:30" ht="13.2" x14ac:dyDescent="0.25">
      <c r="A458" s="10"/>
      <c r="B458" s="1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9"/>
      <c r="N458" s="2"/>
      <c r="O458" s="9"/>
      <c r="P458" s="9"/>
      <c r="Q458" s="2"/>
      <c r="R458" s="9"/>
      <c r="S458" s="2"/>
      <c r="T458" s="9"/>
      <c r="U458" s="2"/>
      <c r="V458" s="9"/>
      <c r="W458" s="9"/>
      <c r="X458" s="2"/>
      <c r="Y458" s="2"/>
      <c r="Z458" s="2"/>
      <c r="AA458" s="2"/>
      <c r="AB458" s="2"/>
      <c r="AC458" s="2"/>
      <c r="AD458" s="2"/>
    </row>
    <row r="459" spans="1:30" ht="13.2" x14ac:dyDescent="0.25">
      <c r="A459" s="10"/>
      <c r="B459" s="1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9"/>
      <c r="N459" s="2"/>
      <c r="O459" s="9"/>
      <c r="P459" s="9"/>
      <c r="Q459" s="2"/>
      <c r="R459" s="9"/>
      <c r="S459" s="2"/>
      <c r="T459" s="9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3.2" x14ac:dyDescent="0.25">
      <c r="A460" s="10"/>
      <c r="B460" s="1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9"/>
      <c r="N460" s="2"/>
      <c r="O460" s="9"/>
      <c r="P460" s="9"/>
      <c r="Q460" s="2"/>
      <c r="R460" s="9"/>
      <c r="S460" s="2"/>
      <c r="T460" s="9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3.2" x14ac:dyDescent="0.25">
      <c r="A461" s="10"/>
      <c r="B461" s="10"/>
      <c r="C461" s="2"/>
      <c r="D461" s="2"/>
      <c r="E461" s="2"/>
      <c r="F461" s="2"/>
      <c r="G461" s="14"/>
      <c r="H461" s="2"/>
      <c r="I461" s="2"/>
      <c r="J461" s="2"/>
      <c r="K461" s="2"/>
      <c r="L461" s="2"/>
      <c r="M461" s="9"/>
      <c r="N461" s="2"/>
      <c r="O461" s="9"/>
      <c r="P461" s="9"/>
      <c r="Q461" s="2"/>
      <c r="R461" s="9"/>
      <c r="S461" s="2"/>
      <c r="T461" s="9"/>
      <c r="U461" s="2"/>
      <c r="V461" s="2"/>
      <c r="W461" s="2"/>
      <c r="X461" s="2"/>
      <c r="Y461" s="2"/>
      <c r="Z461" s="9"/>
      <c r="AA461" s="2"/>
      <c r="AB461" s="2"/>
      <c r="AC461" s="2"/>
      <c r="AD461" s="2"/>
    </row>
    <row r="462" spans="1:30" ht="13.2" x14ac:dyDescent="0.25">
      <c r="A462" s="10"/>
      <c r="B462" s="1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9"/>
      <c r="N462" s="2"/>
      <c r="O462" s="9"/>
      <c r="P462" s="9"/>
      <c r="Q462" s="2"/>
      <c r="R462" s="9"/>
      <c r="S462" s="2"/>
      <c r="T462" s="9"/>
      <c r="U462" s="2"/>
      <c r="V462" s="2"/>
      <c r="W462" s="2"/>
      <c r="X462" s="2"/>
      <c r="Y462" s="2"/>
      <c r="Z462" s="9"/>
      <c r="AA462" s="2"/>
      <c r="AB462" s="2"/>
      <c r="AC462" s="2"/>
      <c r="AD462" s="2"/>
    </row>
    <row r="463" spans="1:30" ht="13.2" x14ac:dyDescent="0.25">
      <c r="A463" s="10"/>
      <c r="B463" s="1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9"/>
      <c r="N463" s="2"/>
      <c r="O463" s="9"/>
      <c r="P463" s="9"/>
      <c r="Q463" s="2"/>
      <c r="R463" s="9"/>
      <c r="S463" s="2"/>
      <c r="T463" s="9"/>
      <c r="U463" s="2"/>
      <c r="V463" s="2"/>
      <c r="W463" s="2"/>
      <c r="X463" s="2"/>
      <c r="Y463" s="2"/>
      <c r="Z463" s="9"/>
      <c r="AA463" s="2"/>
      <c r="AB463" s="2"/>
      <c r="AC463" s="2"/>
      <c r="AD463" s="2"/>
    </row>
    <row r="464" spans="1:30" ht="13.2" x14ac:dyDescent="0.25">
      <c r="A464" s="10"/>
      <c r="B464" s="1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9"/>
      <c r="N464" s="2"/>
      <c r="O464" s="9"/>
      <c r="P464" s="9"/>
      <c r="Q464" s="2"/>
      <c r="R464" s="9"/>
      <c r="S464" s="2"/>
      <c r="T464" s="9"/>
      <c r="U464" s="2"/>
      <c r="V464" s="2"/>
      <c r="W464" s="2"/>
      <c r="X464" s="2"/>
      <c r="Y464" s="2"/>
      <c r="Z464" s="9"/>
      <c r="AA464" s="2"/>
      <c r="AB464" s="2"/>
      <c r="AC464" s="2"/>
      <c r="AD464" s="2"/>
    </row>
    <row r="465" spans="1:30" ht="13.2" x14ac:dyDescent="0.25">
      <c r="A465" s="10"/>
      <c r="B465" s="10"/>
      <c r="C465" s="2"/>
      <c r="D465" s="2"/>
      <c r="E465" s="2"/>
      <c r="F465" s="16"/>
      <c r="G465" s="2"/>
      <c r="H465" s="2"/>
      <c r="I465" s="2"/>
      <c r="J465" s="2"/>
      <c r="K465" s="2"/>
      <c r="L465" s="2"/>
      <c r="M465" s="9"/>
      <c r="N465" s="2"/>
      <c r="O465" s="9"/>
      <c r="P465" s="9"/>
      <c r="Q465" s="2"/>
      <c r="R465" s="9"/>
      <c r="S465" s="2"/>
      <c r="T465" s="9"/>
      <c r="U465" s="2"/>
      <c r="V465" s="2"/>
      <c r="W465" s="2"/>
      <c r="X465" s="2"/>
      <c r="Y465" s="2"/>
      <c r="Z465" s="9"/>
      <c r="AA465" s="2"/>
      <c r="AB465" s="2"/>
      <c r="AC465" s="2"/>
      <c r="AD465" s="2"/>
    </row>
    <row r="466" spans="1:30" ht="13.2" x14ac:dyDescent="0.25">
      <c r="A466" s="10"/>
      <c r="B466" s="1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9"/>
      <c r="N466" s="2"/>
      <c r="O466" s="9"/>
      <c r="P466" s="9"/>
      <c r="Q466" s="2"/>
      <c r="R466" s="9"/>
      <c r="S466" s="2"/>
      <c r="T466" s="9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3.2" x14ac:dyDescent="0.25">
      <c r="A467" s="10"/>
      <c r="B467" s="1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9"/>
      <c r="N467" s="2"/>
      <c r="O467" s="9"/>
      <c r="P467" s="9"/>
      <c r="Q467" s="2"/>
      <c r="R467" s="9"/>
      <c r="S467" s="2"/>
      <c r="T467" s="9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3.2" x14ac:dyDescent="0.25">
      <c r="A468" s="10"/>
      <c r="B468" s="1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9"/>
      <c r="N468" s="2"/>
      <c r="O468" s="9"/>
      <c r="P468" s="9"/>
      <c r="Q468" s="2"/>
      <c r="R468" s="9"/>
      <c r="S468" s="2"/>
      <c r="T468" s="9"/>
      <c r="U468" s="2"/>
      <c r="V468" s="9"/>
      <c r="W468" s="9"/>
      <c r="X468" s="2"/>
      <c r="Y468" s="2"/>
      <c r="Z468" s="2"/>
      <c r="AA468" s="2"/>
      <c r="AB468" s="2"/>
      <c r="AC468" s="2"/>
      <c r="AD468" s="2"/>
    </row>
    <row r="469" spans="1:30" ht="13.2" x14ac:dyDescent="0.25">
      <c r="A469" s="10"/>
      <c r="B469" s="1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9"/>
      <c r="N469" s="2"/>
      <c r="O469" s="9"/>
      <c r="P469" s="9"/>
      <c r="Q469" s="2"/>
      <c r="R469" s="9"/>
      <c r="S469" s="2"/>
      <c r="T469" s="9"/>
      <c r="U469" s="2"/>
      <c r="V469" s="2"/>
      <c r="W469" s="2"/>
      <c r="X469" s="2"/>
      <c r="Y469" s="2"/>
      <c r="Z469" s="9"/>
      <c r="AA469" s="2"/>
      <c r="AB469" s="2"/>
      <c r="AC469" s="2"/>
      <c r="AD469" s="2"/>
    </row>
    <row r="470" spans="1:30" ht="13.2" x14ac:dyDescent="0.25">
      <c r="A470" s="10"/>
      <c r="B470" s="1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9"/>
      <c r="N470" s="2"/>
      <c r="O470" s="9"/>
      <c r="P470" s="9"/>
      <c r="Q470" s="2"/>
      <c r="R470" s="9"/>
      <c r="S470" s="2"/>
      <c r="T470" s="9"/>
      <c r="U470" s="2"/>
      <c r="V470" s="2"/>
      <c r="W470" s="2"/>
      <c r="X470" s="2"/>
      <c r="Y470" s="2"/>
      <c r="Z470" s="9"/>
      <c r="AA470" s="2"/>
      <c r="AB470" s="2"/>
      <c r="AC470" s="2"/>
      <c r="AD470" s="2"/>
    </row>
    <row r="471" spans="1:30" ht="13.2" x14ac:dyDescent="0.25">
      <c r="A471" s="10"/>
      <c r="B471" s="1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9"/>
      <c r="N471" s="2"/>
      <c r="O471" s="9"/>
      <c r="P471" s="9"/>
      <c r="Q471" s="2"/>
      <c r="R471" s="9"/>
      <c r="S471" s="2"/>
      <c r="T471" s="9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3.2" x14ac:dyDescent="0.25">
      <c r="A472" s="10"/>
      <c r="B472" s="1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9"/>
      <c r="N472" s="2"/>
      <c r="O472" s="9"/>
      <c r="P472" s="9"/>
      <c r="Q472" s="2"/>
      <c r="R472" s="9"/>
      <c r="S472" s="2"/>
      <c r="T472" s="9"/>
      <c r="U472" s="2"/>
      <c r="V472" s="2"/>
      <c r="W472" s="2"/>
      <c r="X472" s="2"/>
      <c r="Y472" s="2"/>
      <c r="Z472" s="9"/>
      <c r="AA472" s="2"/>
      <c r="AB472" s="2"/>
      <c r="AC472" s="2"/>
      <c r="AD472" s="2"/>
    </row>
    <row r="473" spans="1:30" ht="13.2" x14ac:dyDescent="0.25">
      <c r="A473" s="10"/>
      <c r="B473" s="1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9"/>
      <c r="N473" s="2"/>
      <c r="O473" s="9"/>
      <c r="P473" s="9"/>
      <c r="Q473" s="2"/>
      <c r="R473" s="9"/>
      <c r="S473" s="2"/>
      <c r="T473" s="9"/>
      <c r="U473" s="2"/>
      <c r="V473" s="2"/>
      <c r="W473" s="2"/>
      <c r="X473" s="2"/>
      <c r="Y473" s="2"/>
      <c r="Z473" s="9"/>
      <c r="AA473" s="2"/>
      <c r="AB473" s="2"/>
      <c r="AC473" s="2"/>
      <c r="AD473" s="2"/>
    </row>
    <row r="474" spans="1:30" ht="13.2" x14ac:dyDescent="0.25">
      <c r="A474" s="10"/>
      <c r="B474" s="1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9"/>
      <c r="N474" s="2"/>
      <c r="O474" s="9"/>
      <c r="P474" s="9"/>
      <c r="Q474" s="2"/>
      <c r="R474" s="9"/>
      <c r="S474" s="2"/>
      <c r="T474" s="9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3.2" x14ac:dyDescent="0.25">
      <c r="A475" s="10"/>
      <c r="B475" s="1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9"/>
      <c r="N475" s="2"/>
      <c r="O475" s="9"/>
      <c r="P475" s="9"/>
      <c r="Q475" s="2"/>
      <c r="R475" s="9"/>
      <c r="S475" s="2"/>
      <c r="T475" s="9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3.2" x14ac:dyDescent="0.25">
      <c r="A476" s="10"/>
      <c r="B476" s="1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9"/>
      <c r="N476" s="2"/>
      <c r="O476" s="9"/>
      <c r="P476" s="9"/>
      <c r="Q476" s="2"/>
      <c r="R476" s="9"/>
      <c r="S476" s="2"/>
      <c r="T476" s="9"/>
      <c r="U476" s="2"/>
      <c r="V476" s="2"/>
      <c r="W476" s="2"/>
      <c r="X476" s="2"/>
      <c r="Y476" s="2"/>
      <c r="Z476" s="9"/>
      <c r="AA476" s="2"/>
      <c r="AB476" s="2"/>
      <c r="AC476" s="2"/>
      <c r="AD476" s="2"/>
    </row>
    <row r="477" spans="1:30" ht="13.2" x14ac:dyDescent="0.25">
      <c r="A477" s="10"/>
      <c r="B477" s="1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9"/>
      <c r="N477" s="2"/>
      <c r="O477" s="9"/>
      <c r="P477" s="9"/>
      <c r="Q477" s="2"/>
      <c r="R477" s="9"/>
      <c r="S477" s="2"/>
      <c r="T477" s="9"/>
      <c r="U477" s="2"/>
      <c r="V477" s="2"/>
      <c r="W477" s="2"/>
      <c r="X477" s="2"/>
      <c r="Y477" s="2"/>
      <c r="Z477" s="9"/>
      <c r="AA477" s="2"/>
      <c r="AB477" s="2"/>
      <c r="AC477" s="2"/>
      <c r="AD477" s="2"/>
    </row>
    <row r="478" spans="1:30" ht="13.2" x14ac:dyDescent="0.25">
      <c r="A478" s="10"/>
      <c r="B478" s="1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9"/>
      <c r="N478" s="2"/>
      <c r="O478" s="9"/>
      <c r="P478" s="9"/>
      <c r="Q478" s="2"/>
      <c r="R478" s="9"/>
      <c r="S478" s="2"/>
      <c r="T478" s="9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3.2" x14ac:dyDescent="0.25">
      <c r="A479" s="10"/>
      <c r="B479" s="10"/>
      <c r="C479" s="2"/>
      <c r="D479" s="2"/>
      <c r="E479" s="2"/>
      <c r="F479" s="16"/>
      <c r="G479" s="2"/>
      <c r="H479" s="2"/>
      <c r="I479" s="2"/>
      <c r="J479" s="2"/>
      <c r="K479" s="2"/>
      <c r="L479" s="2"/>
      <c r="M479" s="9"/>
      <c r="N479" s="2"/>
      <c r="O479" s="9"/>
      <c r="P479" s="9"/>
      <c r="Q479" s="2"/>
      <c r="R479" s="9"/>
      <c r="S479" s="2"/>
      <c r="T479" s="9"/>
      <c r="U479" s="2"/>
      <c r="V479" s="2"/>
      <c r="W479" s="2"/>
      <c r="X479" s="2"/>
      <c r="Y479" s="2"/>
      <c r="Z479" s="9"/>
      <c r="AA479" s="2"/>
      <c r="AB479" s="2"/>
      <c r="AC479" s="2"/>
      <c r="AD479" s="2"/>
    </row>
    <row r="480" spans="1:30" ht="13.2" x14ac:dyDescent="0.25">
      <c r="A480" s="10"/>
      <c r="B480" s="1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9"/>
      <c r="N480" s="2"/>
      <c r="O480" s="9"/>
      <c r="P480" s="9"/>
      <c r="Q480" s="2"/>
      <c r="R480" s="9"/>
      <c r="S480" s="2"/>
      <c r="T480" s="9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3.2" x14ac:dyDescent="0.25">
      <c r="A481" s="10"/>
      <c r="B481" s="1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9"/>
      <c r="N481" s="2"/>
      <c r="O481" s="9"/>
      <c r="P481" s="9"/>
      <c r="Q481" s="2"/>
      <c r="R481" s="9"/>
      <c r="S481" s="2"/>
      <c r="T481" s="9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3.2" x14ac:dyDescent="0.25">
      <c r="A482" s="10"/>
      <c r="B482" s="1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9"/>
      <c r="N482" s="2"/>
      <c r="O482" s="9"/>
      <c r="P482" s="9"/>
      <c r="Q482" s="2"/>
      <c r="R482" s="9"/>
      <c r="S482" s="2"/>
      <c r="T482" s="9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3.2" x14ac:dyDescent="0.25">
      <c r="A483" s="10"/>
      <c r="B483" s="1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9"/>
      <c r="N483" s="2"/>
      <c r="O483" s="9"/>
      <c r="P483" s="9"/>
      <c r="Q483" s="2"/>
      <c r="R483" s="9"/>
      <c r="S483" s="2"/>
      <c r="T483" s="9"/>
      <c r="U483" s="2"/>
      <c r="V483" s="2"/>
      <c r="W483" s="2"/>
      <c r="X483" s="2"/>
      <c r="Y483" s="2"/>
      <c r="Z483" s="9"/>
      <c r="AA483" s="2"/>
      <c r="AB483" s="2"/>
      <c r="AC483" s="2"/>
      <c r="AD483" s="2"/>
    </row>
    <row r="484" spans="1:30" ht="13.2" x14ac:dyDescent="0.25">
      <c r="A484" s="10"/>
      <c r="B484" s="1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9"/>
      <c r="N484" s="2"/>
      <c r="O484" s="9"/>
      <c r="P484" s="9"/>
      <c r="Q484" s="2"/>
      <c r="R484" s="9"/>
      <c r="S484" s="2"/>
      <c r="T484" s="9"/>
      <c r="U484" s="2"/>
      <c r="V484" s="2"/>
      <c r="W484" s="2"/>
      <c r="X484" s="2"/>
      <c r="Y484" s="2"/>
      <c r="Z484" s="9"/>
      <c r="AA484" s="2"/>
      <c r="AB484" s="2"/>
      <c r="AC484" s="2"/>
      <c r="AD484" s="2"/>
    </row>
    <row r="485" spans="1:30" ht="13.2" x14ac:dyDescent="0.25">
      <c r="A485" s="10"/>
      <c r="B485" s="1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9"/>
      <c r="N485" s="2"/>
      <c r="O485" s="9"/>
      <c r="P485" s="9"/>
      <c r="Q485" s="2"/>
      <c r="R485" s="9"/>
      <c r="S485" s="2"/>
      <c r="T485" s="9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3.2" x14ac:dyDescent="0.25">
      <c r="A486" s="10"/>
      <c r="B486" s="1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9"/>
      <c r="N486" s="2"/>
      <c r="O486" s="9"/>
      <c r="P486" s="9"/>
      <c r="Q486" s="2"/>
      <c r="R486" s="9"/>
      <c r="S486" s="2"/>
      <c r="T486" s="9"/>
      <c r="U486" s="2"/>
      <c r="V486" s="2"/>
      <c r="W486" s="2"/>
      <c r="X486" s="2"/>
      <c r="Y486" s="2"/>
      <c r="Z486" s="9"/>
      <c r="AA486" s="2"/>
      <c r="AB486" s="2"/>
      <c r="AC486" s="2"/>
      <c r="AD486" s="2"/>
    </row>
    <row r="487" spans="1:30" ht="13.2" x14ac:dyDescent="0.25">
      <c r="A487" s="10"/>
      <c r="B487" s="10"/>
      <c r="C487" s="2"/>
      <c r="D487" s="2"/>
      <c r="E487" s="2"/>
      <c r="F487" s="16"/>
      <c r="G487" s="2"/>
      <c r="H487" s="2"/>
      <c r="I487" s="2"/>
      <c r="J487" s="2"/>
      <c r="K487" s="2"/>
      <c r="L487" s="2"/>
      <c r="M487" s="9"/>
      <c r="N487" s="2"/>
      <c r="O487" s="9"/>
      <c r="P487" s="9"/>
      <c r="Q487" s="2"/>
      <c r="R487" s="9"/>
      <c r="S487" s="2"/>
      <c r="T487" s="9"/>
      <c r="U487" s="2"/>
      <c r="V487" s="2"/>
      <c r="W487" s="2"/>
      <c r="X487" s="2"/>
      <c r="Y487" s="2"/>
      <c r="Z487" s="9"/>
      <c r="AA487" s="2"/>
      <c r="AB487" s="2"/>
      <c r="AC487" s="2"/>
      <c r="AD487" s="2"/>
    </row>
    <row r="488" spans="1:30" ht="13.2" x14ac:dyDescent="0.25">
      <c r="A488" s="10"/>
      <c r="B488" s="1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9"/>
      <c r="N488" s="2"/>
      <c r="O488" s="9"/>
      <c r="P488" s="9"/>
      <c r="Q488" s="2"/>
      <c r="R488" s="9"/>
      <c r="S488" s="2"/>
      <c r="T488" s="9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3.2" x14ac:dyDescent="0.25">
      <c r="A489" s="10"/>
      <c r="B489" s="1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9"/>
      <c r="N489" s="2"/>
      <c r="O489" s="9"/>
      <c r="P489" s="9"/>
      <c r="Q489" s="2"/>
      <c r="R489" s="9"/>
      <c r="S489" s="2"/>
      <c r="T489" s="9"/>
      <c r="U489" s="2"/>
      <c r="V489" s="9"/>
      <c r="W489" s="9"/>
      <c r="X489" s="2"/>
      <c r="Y489" s="2"/>
      <c r="Z489" s="2"/>
      <c r="AA489" s="2"/>
      <c r="AB489" s="2"/>
      <c r="AC489" s="2"/>
      <c r="AD489" s="2"/>
    </row>
    <row r="490" spans="1:30" ht="13.2" x14ac:dyDescent="0.25">
      <c r="A490" s="10"/>
      <c r="B490" s="1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9"/>
      <c r="N490" s="2"/>
      <c r="O490" s="9"/>
      <c r="P490" s="9"/>
      <c r="Q490" s="2"/>
      <c r="R490" s="9"/>
      <c r="S490" s="2"/>
      <c r="T490" s="9"/>
      <c r="U490" s="2"/>
      <c r="V490" s="2"/>
      <c r="W490" s="2"/>
      <c r="X490" s="2"/>
      <c r="Y490" s="2"/>
      <c r="Z490" s="9"/>
      <c r="AA490" s="2"/>
      <c r="AB490" s="2"/>
      <c r="AC490" s="2"/>
      <c r="AD490" s="2"/>
    </row>
    <row r="491" spans="1:30" ht="13.2" x14ac:dyDescent="0.25">
      <c r="A491" s="10"/>
      <c r="B491" s="1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9"/>
      <c r="N491" s="2"/>
      <c r="O491" s="9"/>
      <c r="P491" s="9"/>
      <c r="Q491" s="2"/>
      <c r="R491" s="9"/>
      <c r="S491" s="2"/>
      <c r="T491" s="9"/>
      <c r="U491" s="2"/>
      <c r="V491" s="2"/>
      <c r="W491" s="2"/>
      <c r="X491" s="2"/>
      <c r="Y491" s="2"/>
      <c r="Z491" s="9"/>
      <c r="AA491" s="2"/>
      <c r="AB491" s="2"/>
      <c r="AC491" s="2"/>
      <c r="AD491" s="2"/>
    </row>
    <row r="492" spans="1:30" ht="13.2" x14ac:dyDescent="0.25">
      <c r="A492" s="10"/>
      <c r="B492" s="1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9"/>
      <c r="N492" s="2"/>
      <c r="O492" s="9"/>
      <c r="P492" s="9"/>
      <c r="Q492" s="2"/>
      <c r="R492" s="9"/>
      <c r="S492" s="2"/>
      <c r="T492" s="9"/>
      <c r="U492" s="2"/>
      <c r="V492" s="2"/>
      <c r="W492" s="2"/>
      <c r="X492" s="2"/>
      <c r="Y492" s="2"/>
      <c r="Z492" s="9"/>
      <c r="AA492" s="2"/>
      <c r="AB492" s="2"/>
      <c r="AC492" s="2"/>
      <c r="AD492" s="2"/>
    </row>
    <row r="493" spans="1:30" ht="13.2" x14ac:dyDescent="0.25">
      <c r="A493" s="10"/>
      <c r="B493" s="10"/>
      <c r="C493" s="2"/>
      <c r="D493" s="2"/>
      <c r="E493" s="2"/>
      <c r="F493" s="16"/>
      <c r="G493" s="2"/>
      <c r="H493" s="2"/>
      <c r="I493" s="2"/>
      <c r="J493" s="2"/>
      <c r="K493" s="2"/>
      <c r="L493" s="2"/>
      <c r="M493" s="9"/>
      <c r="N493" s="2"/>
      <c r="O493" s="9"/>
      <c r="P493" s="9"/>
      <c r="Q493" s="2"/>
      <c r="R493" s="9"/>
      <c r="S493" s="2"/>
      <c r="T493" s="9"/>
      <c r="U493" s="2"/>
      <c r="V493" s="2"/>
      <c r="W493" s="2"/>
      <c r="X493" s="2"/>
      <c r="Y493" s="2"/>
      <c r="Z493" s="9"/>
      <c r="AA493" s="2"/>
      <c r="AB493" s="2"/>
      <c r="AC493" s="2"/>
      <c r="AD493" s="2"/>
    </row>
    <row r="494" spans="1:30" ht="13.2" x14ac:dyDescent="0.25">
      <c r="A494" s="10"/>
      <c r="B494" s="1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9"/>
      <c r="N494" s="2"/>
      <c r="O494" s="9"/>
      <c r="P494" s="9"/>
      <c r="Q494" s="2"/>
      <c r="R494" s="9"/>
      <c r="S494" s="2"/>
      <c r="T494" s="9"/>
      <c r="U494" s="2"/>
      <c r="V494" s="2"/>
      <c r="W494" s="2"/>
      <c r="X494" s="2"/>
      <c r="Y494" s="2"/>
      <c r="Z494" s="9"/>
      <c r="AA494" s="2"/>
      <c r="AB494" s="2"/>
      <c r="AC494" s="2"/>
      <c r="AD494" s="2"/>
    </row>
    <row r="495" spans="1:30" ht="13.2" x14ac:dyDescent="0.25">
      <c r="A495" s="10"/>
      <c r="B495" s="1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9"/>
      <c r="N495" s="2"/>
      <c r="O495" s="9"/>
      <c r="P495" s="9"/>
      <c r="Q495" s="2"/>
      <c r="R495" s="9"/>
      <c r="S495" s="2"/>
      <c r="T495" s="9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3.2" x14ac:dyDescent="0.25">
      <c r="A496" s="10"/>
      <c r="B496" s="1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9"/>
      <c r="N496" s="2"/>
      <c r="O496" s="9"/>
      <c r="P496" s="9"/>
      <c r="Q496" s="2"/>
      <c r="R496" s="9"/>
      <c r="S496" s="2"/>
      <c r="T496" s="9"/>
      <c r="U496" s="2"/>
      <c r="V496" s="2"/>
      <c r="W496" s="2"/>
      <c r="X496" s="2"/>
      <c r="Y496" s="2"/>
      <c r="Z496" s="9"/>
      <c r="AA496" s="2"/>
      <c r="AB496" s="2"/>
      <c r="AC496" s="2"/>
      <c r="AD496" s="2"/>
    </row>
    <row r="497" spans="1:30" ht="13.2" x14ac:dyDescent="0.25">
      <c r="A497" s="10"/>
      <c r="B497" s="1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9"/>
      <c r="N497" s="2"/>
      <c r="O497" s="9"/>
      <c r="P497" s="9"/>
      <c r="Q497" s="2"/>
      <c r="R497" s="9"/>
      <c r="S497" s="2"/>
      <c r="T497" s="9"/>
      <c r="U497" s="2"/>
      <c r="V497" s="2"/>
      <c r="W497" s="2"/>
      <c r="X497" s="2"/>
      <c r="Y497" s="2"/>
      <c r="Z497" s="9"/>
      <c r="AA497" s="2"/>
      <c r="AB497" s="2"/>
      <c r="AC497" s="2"/>
      <c r="AD497" s="2"/>
    </row>
    <row r="498" spans="1:30" ht="13.2" x14ac:dyDescent="0.25">
      <c r="A498" s="10"/>
      <c r="B498" s="1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9"/>
      <c r="N498" s="2"/>
      <c r="O498" s="9"/>
      <c r="P498" s="9"/>
      <c r="Q498" s="2"/>
      <c r="R498" s="9"/>
      <c r="S498" s="2"/>
      <c r="T498" s="9"/>
      <c r="U498" s="2"/>
      <c r="V498" s="2"/>
      <c r="W498" s="2"/>
      <c r="X498" s="2"/>
      <c r="Y498" s="2"/>
      <c r="Z498" s="9"/>
      <c r="AA498" s="2"/>
      <c r="AB498" s="2"/>
      <c r="AC498" s="2"/>
      <c r="AD498" s="2"/>
    </row>
    <row r="499" spans="1:30" ht="13.2" x14ac:dyDescent="0.25">
      <c r="A499" s="10"/>
      <c r="B499" s="10"/>
      <c r="C499" s="2"/>
      <c r="D499" s="2"/>
      <c r="E499" s="2"/>
      <c r="F499" s="16"/>
      <c r="G499" s="2"/>
      <c r="H499" s="2"/>
      <c r="I499" s="2"/>
      <c r="J499" s="2"/>
      <c r="K499" s="2"/>
      <c r="L499" s="2"/>
      <c r="M499" s="9"/>
      <c r="N499" s="2"/>
      <c r="O499" s="9"/>
      <c r="P499" s="9"/>
      <c r="Q499" s="2"/>
      <c r="R499" s="9"/>
      <c r="S499" s="2"/>
      <c r="T499" s="9"/>
      <c r="U499" s="2"/>
      <c r="V499" s="2"/>
      <c r="W499" s="2"/>
      <c r="X499" s="2"/>
      <c r="Y499" s="2"/>
      <c r="Z499" s="9"/>
      <c r="AA499" s="2"/>
      <c r="AB499" s="2"/>
      <c r="AC499" s="2"/>
      <c r="AD499" s="2"/>
    </row>
    <row r="500" spans="1:30" ht="13.2" x14ac:dyDescent="0.25">
      <c r="A500" s="10"/>
      <c r="B500" s="1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9"/>
      <c r="N500" s="2"/>
      <c r="O500" s="9"/>
      <c r="P500" s="9"/>
      <c r="Q500" s="2"/>
      <c r="R500" s="9"/>
      <c r="S500" s="2"/>
      <c r="T500" s="9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3.2" x14ac:dyDescent="0.25">
      <c r="A501" s="10"/>
      <c r="B501" s="1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9"/>
      <c r="N501" s="2"/>
      <c r="O501" s="9"/>
      <c r="P501" s="9"/>
      <c r="Q501" s="2"/>
      <c r="R501" s="9"/>
      <c r="S501" s="2"/>
      <c r="T501" s="9"/>
      <c r="U501" s="2"/>
      <c r="V501" s="2"/>
      <c r="W501" s="2"/>
      <c r="X501" s="2"/>
      <c r="Y501" s="2"/>
      <c r="Z501" s="9"/>
      <c r="AA501" s="2"/>
      <c r="AB501" s="2"/>
      <c r="AC501" s="2"/>
      <c r="AD501" s="2"/>
    </row>
    <row r="502" spans="1:30" ht="13.2" x14ac:dyDescent="0.25">
      <c r="A502" s="10"/>
      <c r="B502" s="1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9"/>
      <c r="N502" s="2"/>
      <c r="O502" s="9"/>
      <c r="P502" s="9"/>
      <c r="Q502" s="2"/>
      <c r="R502" s="9"/>
      <c r="S502" s="2"/>
      <c r="T502" s="9"/>
      <c r="U502" s="2"/>
      <c r="V502" s="2"/>
      <c r="W502" s="2"/>
      <c r="X502" s="2"/>
      <c r="Y502" s="2"/>
      <c r="Z502" s="9"/>
      <c r="AA502" s="2"/>
      <c r="AB502" s="2"/>
      <c r="AC502" s="2"/>
      <c r="AD502" s="2"/>
    </row>
    <row r="503" spans="1:30" ht="13.2" x14ac:dyDescent="0.25">
      <c r="A503" s="10"/>
      <c r="B503" s="1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9"/>
      <c r="N503" s="2"/>
      <c r="O503" s="9"/>
      <c r="P503" s="9"/>
      <c r="Q503" s="2"/>
      <c r="R503" s="9"/>
      <c r="S503" s="2"/>
      <c r="T503" s="9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3.2" x14ac:dyDescent="0.25">
      <c r="A504" s="10"/>
      <c r="B504" s="10"/>
      <c r="C504" s="2"/>
      <c r="D504" s="2"/>
      <c r="E504" s="2"/>
      <c r="F504" s="2"/>
      <c r="G504" s="18"/>
      <c r="H504" s="2"/>
      <c r="I504" s="2"/>
      <c r="J504" s="2"/>
      <c r="K504" s="2"/>
      <c r="L504" s="2"/>
      <c r="M504" s="9"/>
      <c r="N504" s="2"/>
      <c r="O504" s="9"/>
      <c r="P504" s="9"/>
      <c r="Q504" s="2"/>
      <c r="R504" s="9"/>
      <c r="S504" s="2"/>
      <c r="T504" s="9"/>
      <c r="U504" s="2"/>
      <c r="V504" s="9"/>
      <c r="W504" s="9"/>
      <c r="X504" s="2"/>
      <c r="Y504" s="2"/>
      <c r="Z504" s="2"/>
      <c r="AA504" s="2"/>
      <c r="AB504" s="2"/>
      <c r="AC504" s="2"/>
      <c r="AD504" s="2"/>
    </row>
    <row r="505" spans="1:30" ht="13.2" x14ac:dyDescent="0.25">
      <c r="A505" s="10"/>
      <c r="B505" s="10"/>
      <c r="C505" s="2"/>
      <c r="D505" s="2"/>
      <c r="E505" s="2"/>
      <c r="F505" s="2"/>
      <c r="G505" s="18"/>
      <c r="H505" s="2"/>
      <c r="I505" s="2"/>
      <c r="J505" s="2"/>
      <c r="K505" s="2"/>
      <c r="L505" s="2"/>
      <c r="M505" s="9"/>
      <c r="N505" s="2"/>
      <c r="O505" s="9"/>
      <c r="P505" s="9"/>
      <c r="Q505" s="2"/>
      <c r="R505" s="9"/>
      <c r="S505" s="2"/>
      <c r="T505" s="9"/>
      <c r="U505" s="2"/>
      <c r="V505" s="9"/>
      <c r="W505" s="9"/>
      <c r="X505" s="2"/>
      <c r="Y505" s="2"/>
      <c r="Z505" s="2"/>
      <c r="AA505" s="2"/>
      <c r="AB505" s="2"/>
      <c r="AC505" s="2"/>
      <c r="AD505" s="2"/>
    </row>
    <row r="506" spans="1:30" ht="13.2" x14ac:dyDescent="0.25">
      <c r="A506" s="10"/>
      <c r="B506" s="1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9"/>
      <c r="N506" s="2"/>
      <c r="O506" s="9"/>
      <c r="P506" s="9"/>
      <c r="Q506" s="2"/>
      <c r="R506" s="9"/>
      <c r="S506" s="2"/>
      <c r="T506" s="9"/>
      <c r="U506" s="2"/>
      <c r="V506" s="9"/>
      <c r="W506" s="9"/>
      <c r="X506" s="2"/>
      <c r="Y506" s="2"/>
      <c r="Z506" s="2"/>
      <c r="AA506" s="2"/>
      <c r="AB506" s="2"/>
      <c r="AC506" s="2"/>
      <c r="AD506" s="2"/>
    </row>
    <row r="507" spans="1:30" ht="13.2" x14ac:dyDescent="0.25">
      <c r="A507" s="10"/>
      <c r="B507" s="1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9"/>
      <c r="N507" s="2"/>
      <c r="O507" s="9"/>
      <c r="P507" s="9"/>
      <c r="Q507" s="2"/>
      <c r="R507" s="9"/>
      <c r="S507" s="2"/>
      <c r="T507" s="9"/>
      <c r="U507" s="2"/>
      <c r="V507" s="9"/>
      <c r="W507" s="9"/>
      <c r="X507" s="2"/>
      <c r="Y507" s="2"/>
      <c r="Z507" s="2"/>
      <c r="AA507" s="2"/>
      <c r="AB507" s="2"/>
      <c r="AC507" s="2"/>
      <c r="AD507" s="2"/>
    </row>
    <row r="508" spans="1:30" ht="13.2" x14ac:dyDescent="0.25">
      <c r="A508" s="10"/>
      <c r="B508" s="1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9"/>
      <c r="N508" s="2"/>
      <c r="O508" s="9"/>
      <c r="P508" s="9"/>
      <c r="Q508" s="2"/>
      <c r="R508" s="9"/>
      <c r="S508" s="2"/>
      <c r="T508" s="9"/>
      <c r="U508" s="2"/>
      <c r="V508" s="9"/>
      <c r="W508" s="9"/>
      <c r="X508" s="2"/>
      <c r="Y508" s="2"/>
      <c r="Z508" s="2"/>
      <c r="AA508" s="2"/>
      <c r="AB508" s="2"/>
      <c r="AC508" s="2"/>
      <c r="AD508" s="2"/>
    </row>
    <row r="509" spans="1:30" ht="13.2" x14ac:dyDescent="0.25">
      <c r="A509" s="10"/>
      <c r="B509" s="1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9"/>
      <c r="N509" s="2"/>
      <c r="O509" s="9"/>
      <c r="P509" s="9"/>
      <c r="Q509" s="2"/>
      <c r="R509" s="9"/>
      <c r="S509" s="2"/>
      <c r="T509" s="9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3.2" x14ac:dyDescent="0.25">
      <c r="A510" s="10"/>
      <c r="B510" s="10"/>
      <c r="C510" s="2"/>
      <c r="D510" s="2"/>
      <c r="E510" s="2"/>
      <c r="F510" s="16"/>
      <c r="G510" s="2"/>
      <c r="H510" s="2"/>
      <c r="I510" s="2"/>
      <c r="J510" s="2"/>
      <c r="K510" s="2"/>
      <c r="L510" s="2"/>
      <c r="M510" s="9"/>
      <c r="N510" s="2"/>
      <c r="O510" s="9"/>
      <c r="P510" s="9"/>
      <c r="Q510" s="2"/>
      <c r="R510" s="9"/>
      <c r="S510" s="2"/>
      <c r="T510" s="9"/>
      <c r="U510" s="2"/>
      <c r="V510" s="2"/>
      <c r="W510" s="2"/>
      <c r="X510" s="2"/>
      <c r="Y510" s="2"/>
      <c r="Z510" s="9"/>
      <c r="AA510" s="2"/>
      <c r="AB510" s="2"/>
      <c r="AC510" s="2"/>
      <c r="AD510" s="2"/>
    </row>
    <row r="511" spans="1:30" ht="13.2" x14ac:dyDescent="0.25">
      <c r="A511" s="10"/>
      <c r="B511" s="1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9"/>
      <c r="N511" s="2"/>
      <c r="O511" s="9"/>
      <c r="P511" s="9"/>
      <c r="Q511" s="2"/>
      <c r="R511" s="9"/>
      <c r="S511" s="2"/>
      <c r="T511" s="9"/>
      <c r="U511" s="2"/>
      <c r="V511" s="2"/>
      <c r="W511" s="2"/>
      <c r="X511" s="2"/>
      <c r="Y511" s="2"/>
      <c r="Z511" s="9"/>
      <c r="AA511" s="2"/>
      <c r="AB511" s="2"/>
      <c r="AC511" s="2"/>
      <c r="AD511" s="2"/>
    </row>
    <row r="512" spans="1:30" ht="13.2" x14ac:dyDescent="0.25">
      <c r="A512" s="10"/>
      <c r="B512" s="10"/>
      <c r="C512" s="2"/>
      <c r="D512" s="2"/>
      <c r="E512" s="2"/>
      <c r="F512" s="2"/>
      <c r="G512" s="13"/>
      <c r="H512" s="2"/>
      <c r="I512" s="2"/>
      <c r="J512" s="2"/>
      <c r="K512" s="2"/>
      <c r="L512" s="2"/>
      <c r="M512" s="9"/>
      <c r="N512" s="2"/>
      <c r="O512" s="9"/>
      <c r="P512" s="9"/>
      <c r="Q512" s="2"/>
      <c r="R512" s="9"/>
      <c r="S512" s="2"/>
      <c r="T512" s="9"/>
      <c r="U512" s="2"/>
      <c r="V512" s="2"/>
      <c r="W512" s="2"/>
      <c r="X512" s="2"/>
      <c r="Y512" s="2"/>
      <c r="Z512" s="9"/>
      <c r="AA512" s="2"/>
      <c r="AB512" s="2"/>
      <c r="AC512" s="2"/>
      <c r="AD512" s="2"/>
    </row>
    <row r="513" spans="1:30" ht="13.2" x14ac:dyDescent="0.25">
      <c r="A513" s="10"/>
      <c r="B513" s="1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9"/>
      <c r="N513" s="2"/>
      <c r="O513" s="9"/>
      <c r="P513" s="9"/>
      <c r="Q513" s="2"/>
      <c r="R513" s="9"/>
      <c r="S513" s="2"/>
      <c r="T513" s="9"/>
      <c r="U513" s="2"/>
      <c r="V513" s="2"/>
      <c r="W513" s="2"/>
      <c r="X513" s="2"/>
      <c r="Y513" s="2"/>
      <c r="Z513" s="9"/>
      <c r="AA513" s="2"/>
      <c r="AB513" s="2"/>
      <c r="AC513" s="2"/>
      <c r="AD513" s="2"/>
    </row>
    <row r="514" spans="1:30" ht="13.2" x14ac:dyDescent="0.25">
      <c r="A514" s="10"/>
      <c r="B514" s="1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9"/>
      <c r="N514" s="2"/>
      <c r="O514" s="9"/>
      <c r="P514" s="9"/>
      <c r="Q514" s="2"/>
      <c r="R514" s="9"/>
      <c r="S514" s="2"/>
      <c r="T514" s="9"/>
      <c r="U514" s="2"/>
      <c r="V514" s="2"/>
      <c r="W514" s="2"/>
      <c r="X514" s="2"/>
      <c r="Y514" s="2"/>
      <c r="Z514" s="9"/>
      <c r="AA514" s="2"/>
      <c r="AB514" s="2"/>
      <c r="AC514" s="2"/>
      <c r="AD514" s="2"/>
    </row>
    <row r="515" spans="1:30" ht="13.2" x14ac:dyDescent="0.25">
      <c r="A515" s="10"/>
      <c r="B515" s="1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9"/>
      <c r="N515" s="2"/>
      <c r="O515" s="9"/>
      <c r="P515" s="9"/>
      <c r="Q515" s="2"/>
      <c r="R515" s="9"/>
      <c r="S515" s="2"/>
      <c r="T515" s="9"/>
      <c r="U515" s="2"/>
      <c r="V515" s="2"/>
      <c r="W515" s="2"/>
      <c r="X515" s="2"/>
      <c r="Y515" s="2"/>
      <c r="Z515" s="9"/>
      <c r="AA515" s="2"/>
      <c r="AB515" s="2"/>
      <c r="AC515" s="2"/>
      <c r="AD515" s="2"/>
    </row>
    <row r="516" spans="1:30" ht="13.2" x14ac:dyDescent="0.25">
      <c r="A516" s="10"/>
      <c r="B516" s="1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9"/>
      <c r="N516" s="2"/>
      <c r="O516" s="9"/>
      <c r="P516" s="9"/>
      <c r="Q516" s="2"/>
      <c r="R516" s="9"/>
      <c r="S516" s="2"/>
      <c r="T516" s="9"/>
      <c r="U516" s="2"/>
      <c r="V516" s="2"/>
      <c r="W516" s="2"/>
      <c r="X516" s="2"/>
      <c r="Y516" s="2"/>
      <c r="Z516" s="9"/>
      <c r="AA516" s="2"/>
      <c r="AB516" s="2"/>
      <c r="AC516" s="2"/>
      <c r="AD516" s="2"/>
    </row>
    <row r="517" spans="1:30" ht="13.2" x14ac:dyDescent="0.25">
      <c r="A517" s="10"/>
      <c r="B517" s="10"/>
      <c r="C517" s="2"/>
      <c r="D517" s="2"/>
      <c r="E517" s="2"/>
      <c r="F517" s="16"/>
      <c r="G517" s="2"/>
      <c r="H517" s="2"/>
      <c r="I517" s="2"/>
      <c r="J517" s="2"/>
      <c r="K517" s="2"/>
      <c r="L517" s="2"/>
      <c r="M517" s="9"/>
      <c r="N517" s="2"/>
      <c r="O517" s="9"/>
      <c r="P517" s="9"/>
      <c r="Q517" s="2"/>
      <c r="R517" s="9"/>
      <c r="S517" s="2"/>
      <c r="T517" s="9"/>
      <c r="U517" s="2"/>
      <c r="V517" s="2"/>
      <c r="W517" s="2"/>
      <c r="X517" s="2"/>
      <c r="Y517" s="2"/>
      <c r="Z517" s="9"/>
      <c r="AA517" s="2"/>
      <c r="AB517" s="2"/>
      <c r="AC517" s="2"/>
      <c r="AD517" s="2"/>
    </row>
    <row r="518" spans="1:30" ht="13.2" x14ac:dyDescent="0.25">
      <c r="A518" s="10"/>
      <c r="B518" s="1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9"/>
      <c r="N518" s="2"/>
      <c r="O518" s="9"/>
      <c r="P518" s="9"/>
      <c r="Q518" s="2"/>
      <c r="R518" s="9"/>
      <c r="S518" s="2"/>
      <c r="T518" s="9"/>
      <c r="U518" s="2"/>
      <c r="V518" s="9"/>
      <c r="W518" s="9"/>
      <c r="X518" s="2"/>
      <c r="Y518" s="2"/>
      <c r="Z518" s="2"/>
      <c r="AA518" s="2"/>
      <c r="AB518" s="2"/>
      <c r="AC518" s="2"/>
      <c r="AD518" s="2"/>
    </row>
    <row r="519" spans="1:30" ht="13.2" x14ac:dyDescent="0.25">
      <c r="A519" s="10"/>
      <c r="B519" s="10"/>
      <c r="C519" s="2"/>
      <c r="D519" s="2"/>
      <c r="E519" s="2"/>
      <c r="F519" s="16"/>
      <c r="G519" s="2"/>
      <c r="H519" s="2"/>
      <c r="I519" s="2"/>
      <c r="J519" s="2"/>
      <c r="K519" s="2"/>
      <c r="L519" s="2"/>
      <c r="M519" s="9"/>
      <c r="N519" s="2"/>
      <c r="O519" s="9"/>
      <c r="P519" s="9"/>
      <c r="Q519" s="2"/>
      <c r="R519" s="9"/>
      <c r="S519" s="2"/>
      <c r="T519" s="9"/>
      <c r="U519" s="2"/>
      <c r="V519" s="2"/>
      <c r="W519" s="2"/>
      <c r="X519" s="2"/>
      <c r="Y519" s="2"/>
      <c r="Z519" s="9"/>
      <c r="AA519" s="2"/>
      <c r="AB519" s="2"/>
      <c r="AC519" s="2"/>
      <c r="AD519" s="2"/>
    </row>
    <row r="520" spans="1:30" ht="13.2" x14ac:dyDescent="0.25">
      <c r="A520" s="10"/>
      <c r="B520" s="1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9"/>
      <c r="N520" s="2"/>
      <c r="O520" s="9"/>
      <c r="P520" s="9"/>
      <c r="Q520" s="2"/>
      <c r="R520" s="9"/>
      <c r="S520" s="2"/>
      <c r="T520" s="9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3.2" x14ac:dyDescent="0.25">
      <c r="A521" s="10"/>
      <c r="B521" s="1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9"/>
      <c r="N521" s="2"/>
      <c r="O521" s="9"/>
      <c r="P521" s="9"/>
      <c r="Q521" s="2"/>
      <c r="R521" s="9"/>
      <c r="S521" s="2"/>
      <c r="T521" s="9"/>
      <c r="U521" s="2"/>
      <c r="V521" s="2"/>
      <c r="W521" s="2"/>
      <c r="X521" s="2"/>
      <c r="Y521" s="2"/>
      <c r="Z521" s="9"/>
      <c r="AA521" s="2"/>
      <c r="AB521" s="2"/>
      <c r="AC521" s="2"/>
      <c r="AD521" s="2"/>
    </row>
    <row r="522" spans="1:30" ht="13.2" x14ac:dyDescent="0.25">
      <c r="A522" s="10"/>
      <c r="B522" s="1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9"/>
      <c r="N522" s="2"/>
      <c r="O522" s="9"/>
      <c r="P522" s="9"/>
      <c r="Q522" s="2"/>
      <c r="R522" s="9"/>
      <c r="S522" s="2"/>
      <c r="T522" s="9"/>
      <c r="U522" s="2"/>
      <c r="V522" s="2"/>
      <c r="W522" s="2"/>
      <c r="X522" s="2"/>
      <c r="Y522" s="2"/>
      <c r="Z522" s="9"/>
      <c r="AA522" s="2"/>
      <c r="AB522" s="2"/>
      <c r="AC522" s="2"/>
      <c r="AD522" s="2"/>
    </row>
    <row r="523" spans="1:30" ht="13.2" x14ac:dyDescent="0.25">
      <c r="A523" s="10"/>
      <c r="B523" s="10"/>
      <c r="C523" s="2"/>
      <c r="D523" s="2"/>
      <c r="E523" s="2"/>
      <c r="F523" s="16"/>
      <c r="G523" s="2"/>
      <c r="H523" s="2"/>
      <c r="I523" s="2"/>
      <c r="J523" s="2"/>
      <c r="K523" s="2"/>
      <c r="L523" s="2"/>
      <c r="M523" s="9"/>
      <c r="N523" s="2"/>
      <c r="O523" s="9"/>
      <c r="P523" s="9"/>
      <c r="Q523" s="2"/>
      <c r="R523" s="9"/>
      <c r="S523" s="2"/>
      <c r="T523" s="9"/>
      <c r="U523" s="2"/>
      <c r="V523" s="2"/>
      <c r="W523" s="2"/>
      <c r="X523" s="2"/>
      <c r="Y523" s="2"/>
      <c r="Z523" s="9"/>
      <c r="AA523" s="2"/>
      <c r="AB523" s="2"/>
      <c r="AC523" s="2"/>
      <c r="AD523" s="2"/>
    </row>
    <row r="524" spans="1:30" ht="13.2" x14ac:dyDescent="0.25">
      <c r="A524" s="10"/>
      <c r="B524" s="1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9"/>
      <c r="N524" s="2"/>
      <c r="O524" s="9"/>
      <c r="P524" s="9"/>
      <c r="Q524" s="2"/>
      <c r="R524" s="9"/>
      <c r="S524" s="2"/>
      <c r="T524" s="9"/>
      <c r="U524" s="2"/>
      <c r="V524" s="9"/>
      <c r="W524" s="9"/>
      <c r="X524" s="2"/>
      <c r="Y524" s="2"/>
      <c r="Z524" s="2"/>
      <c r="AA524" s="2"/>
      <c r="AB524" s="2"/>
      <c r="AC524" s="2"/>
      <c r="AD524" s="2"/>
    </row>
    <row r="525" spans="1:30" ht="13.2" x14ac:dyDescent="0.25">
      <c r="A525" s="10"/>
      <c r="B525" s="1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9"/>
      <c r="N525" s="2"/>
      <c r="O525" s="9"/>
      <c r="P525" s="9"/>
      <c r="Q525" s="2"/>
      <c r="R525" s="9"/>
      <c r="S525" s="2"/>
      <c r="T525" s="9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3.2" x14ac:dyDescent="0.25">
      <c r="A526" s="10"/>
      <c r="B526" s="1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9"/>
      <c r="N526" s="2"/>
      <c r="O526" s="9"/>
      <c r="P526" s="9"/>
      <c r="Q526" s="2"/>
      <c r="R526" s="9"/>
      <c r="S526" s="2"/>
      <c r="T526" s="9"/>
      <c r="U526" s="2"/>
      <c r="V526" s="2"/>
      <c r="W526" s="2"/>
      <c r="X526" s="2"/>
      <c r="Y526" s="2"/>
      <c r="Z526" s="9"/>
      <c r="AA526" s="2"/>
      <c r="AB526" s="2"/>
      <c r="AC526" s="2"/>
      <c r="AD526" s="2"/>
    </row>
    <row r="527" spans="1:30" ht="13.2" x14ac:dyDescent="0.25">
      <c r="A527" s="10"/>
      <c r="B527" s="10"/>
      <c r="C527" s="2"/>
      <c r="D527" s="2"/>
      <c r="E527" s="2"/>
      <c r="F527" s="2"/>
      <c r="G527" s="9"/>
      <c r="H527" s="2"/>
      <c r="I527" s="2"/>
      <c r="J527" s="2"/>
      <c r="K527" s="2"/>
      <c r="L527" s="2"/>
      <c r="M527" s="9"/>
      <c r="N527" s="2"/>
      <c r="O527" s="9"/>
      <c r="P527" s="9"/>
      <c r="Q527" s="2"/>
      <c r="R527" s="9"/>
      <c r="S527" s="2"/>
      <c r="T527" s="9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3.2" x14ac:dyDescent="0.25">
      <c r="A528" s="10"/>
      <c r="B528" s="10"/>
      <c r="C528" s="2"/>
      <c r="D528" s="2"/>
      <c r="E528" s="2"/>
      <c r="F528" s="2"/>
      <c r="G528" s="9"/>
      <c r="H528" s="2"/>
      <c r="I528" s="2"/>
      <c r="J528" s="2"/>
      <c r="K528" s="2"/>
      <c r="L528" s="2"/>
      <c r="M528" s="9"/>
      <c r="N528" s="2"/>
      <c r="O528" s="9"/>
      <c r="P528" s="9"/>
      <c r="Q528" s="2"/>
      <c r="R528" s="9"/>
      <c r="S528" s="2"/>
      <c r="T528" s="9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3.2" x14ac:dyDescent="0.25">
      <c r="A529" s="10"/>
      <c r="B529" s="1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9"/>
      <c r="N529" s="2"/>
      <c r="O529" s="9"/>
      <c r="P529" s="9"/>
      <c r="Q529" s="2"/>
      <c r="R529" s="9"/>
      <c r="S529" s="2"/>
      <c r="T529" s="9"/>
      <c r="U529" s="2"/>
      <c r="V529" s="2"/>
      <c r="W529" s="2"/>
      <c r="X529" s="2"/>
      <c r="Y529" s="2"/>
      <c r="Z529" s="9"/>
      <c r="AA529" s="2"/>
      <c r="AB529" s="2"/>
      <c r="AC529" s="2"/>
      <c r="AD529" s="2"/>
    </row>
    <row r="530" spans="1:30" ht="13.2" x14ac:dyDescent="0.25">
      <c r="A530" s="10"/>
      <c r="B530" s="1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9"/>
      <c r="N530" s="2"/>
      <c r="O530" s="9"/>
      <c r="P530" s="9"/>
      <c r="Q530" s="2"/>
      <c r="R530" s="9"/>
      <c r="S530" s="2"/>
      <c r="T530" s="9"/>
      <c r="U530" s="2"/>
      <c r="V530" s="2"/>
      <c r="W530" s="2"/>
      <c r="X530" s="2"/>
      <c r="Y530" s="2"/>
      <c r="Z530" s="9"/>
      <c r="AA530" s="2"/>
      <c r="AB530" s="2"/>
      <c r="AC530" s="2"/>
      <c r="AD530" s="2"/>
    </row>
    <row r="531" spans="1:30" ht="13.2" x14ac:dyDescent="0.25">
      <c r="A531" s="10"/>
      <c r="B531" s="1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9"/>
      <c r="N531" s="2"/>
      <c r="O531" s="9"/>
      <c r="P531" s="9"/>
      <c r="Q531" s="2"/>
      <c r="R531" s="9"/>
      <c r="S531" s="2"/>
      <c r="T531" s="9"/>
      <c r="U531" s="2"/>
      <c r="V531" s="2"/>
      <c r="W531" s="2"/>
      <c r="X531" s="2"/>
      <c r="Y531" s="2"/>
      <c r="Z531" s="9"/>
      <c r="AA531" s="2"/>
      <c r="AB531" s="2"/>
      <c r="AC531" s="2"/>
      <c r="AD531" s="2"/>
    </row>
    <row r="532" spans="1:30" ht="13.2" x14ac:dyDescent="0.25">
      <c r="A532" s="10"/>
      <c r="B532" s="1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9"/>
      <c r="N532" s="2"/>
      <c r="O532" s="9"/>
      <c r="P532" s="9"/>
      <c r="Q532" s="2"/>
      <c r="R532" s="9"/>
      <c r="S532" s="2"/>
      <c r="T532" s="9"/>
      <c r="U532" s="2"/>
      <c r="V532" s="2"/>
      <c r="W532" s="2"/>
      <c r="X532" s="2"/>
      <c r="Y532" s="2"/>
      <c r="Z532" s="9"/>
      <c r="AA532" s="2"/>
      <c r="AB532" s="2"/>
      <c r="AC532" s="2"/>
      <c r="AD532" s="2"/>
    </row>
    <row r="533" spans="1:30" ht="13.2" x14ac:dyDescent="0.25">
      <c r="A533" s="10"/>
      <c r="B533" s="1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9"/>
      <c r="N533" s="2"/>
      <c r="O533" s="9"/>
      <c r="P533" s="9"/>
      <c r="Q533" s="2"/>
      <c r="R533" s="9"/>
      <c r="S533" s="2"/>
      <c r="T533" s="9"/>
      <c r="U533" s="2"/>
      <c r="V533" s="2"/>
      <c r="W533" s="2"/>
      <c r="X533" s="2"/>
      <c r="Y533" s="2"/>
      <c r="Z533" s="9"/>
      <c r="AA533" s="2"/>
      <c r="AB533" s="2"/>
      <c r="AC533" s="2"/>
      <c r="AD533" s="2"/>
    </row>
    <row r="534" spans="1:30" ht="13.2" x14ac:dyDescent="0.25">
      <c r="A534" s="10"/>
      <c r="B534" s="1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9"/>
      <c r="N534" s="2"/>
      <c r="O534" s="9"/>
      <c r="P534" s="9"/>
      <c r="Q534" s="2"/>
      <c r="R534" s="9"/>
      <c r="S534" s="2"/>
      <c r="T534" s="9"/>
      <c r="U534" s="2"/>
      <c r="V534" s="2"/>
      <c r="W534" s="2"/>
      <c r="X534" s="2"/>
      <c r="Y534" s="2"/>
      <c r="Z534" s="9"/>
      <c r="AA534" s="2"/>
      <c r="AB534" s="2"/>
      <c r="AC534" s="2"/>
      <c r="AD534" s="2"/>
    </row>
    <row r="535" spans="1:30" ht="13.2" x14ac:dyDescent="0.25">
      <c r="A535" s="10"/>
      <c r="B535" s="1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9"/>
      <c r="N535" s="2"/>
      <c r="O535" s="9"/>
      <c r="P535" s="9"/>
      <c r="Q535" s="2"/>
      <c r="R535" s="9"/>
      <c r="S535" s="2"/>
      <c r="T535" s="9"/>
      <c r="U535" s="2"/>
      <c r="V535" s="2"/>
      <c r="W535" s="2"/>
      <c r="X535" s="2"/>
      <c r="Y535" s="2"/>
      <c r="Z535" s="9"/>
      <c r="AA535" s="2"/>
      <c r="AB535" s="2"/>
      <c r="AC535" s="2"/>
      <c r="AD535" s="2"/>
    </row>
    <row r="536" spans="1:30" ht="13.2" x14ac:dyDescent="0.25">
      <c r="A536" s="10"/>
      <c r="B536" s="1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9"/>
      <c r="N536" s="2"/>
      <c r="O536" s="9"/>
      <c r="P536" s="9"/>
      <c r="Q536" s="2"/>
      <c r="R536" s="9"/>
      <c r="S536" s="2"/>
      <c r="T536" s="9"/>
      <c r="U536" s="2"/>
      <c r="V536" s="2"/>
      <c r="W536" s="2"/>
      <c r="X536" s="2"/>
      <c r="Y536" s="2"/>
      <c r="Z536" s="9"/>
      <c r="AA536" s="2"/>
      <c r="AB536" s="2"/>
      <c r="AC536" s="2"/>
      <c r="AD536" s="2"/>
    </row>
    <row r="537" spans="1:30" ht="13.2" x14ac:dyDescent="0.25">
      <c r="A537" s="10"/>
      <c r="B537" s="1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9"/>
      <c r="N537" s="2"/>
      <c r="O537" s="9"/>
      <c r="P537" s="9"/>
      <c r="Q537" s="2"/>
      <c r="R537" s="9"/>
      <c r="S537" s="2"/>
      <c r="T537" s="9"/>
      <c r="U537" s="2"/>
      <c r="V537" s="2"/>
      <c r="W537" s="2"/>
      <c r="X537" s="2"/>
      <c r="Y537" s="2"/>
      <c r="Z537" s="9"/>
      <c r="AA537" s="2"/>
      <c r="AB537" s="2"/>
      <c r="AC537" s="2"/>
      <c r="AD537" s="2"/>
    </row>
    <row r="538" spans="1:30" ht="13.2" x14ac:dyDescent="0.25">
      <c r="A538" s="10"/>
      <c r="B538" s="1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9"/>
      <c r="N538" s="2"/>
      <c r="O538" s="9"/>
      <c r="P538" s="9"/>
      <c r="Q538" s="9"/>
      <c r="R538" s="9"/>
      <c r="S538" s="2"/>
      <c r="T538" s="9"/>
      <c r="U538" s="2"/>
      <c r="V538" s="2"/>
      <c r="W538" s="2"/>
      <c r="X538" s="2"/>
      <c r="Y538" s="2"/>
      <c r="Z538" s="9"/>
      <c r="AA538" s="2"/>
      <c r="AB538" s="2"/>
      <c r="AC538" s="2"/>
      <c r="AD538" s="2"/>
    </row>
    <row r="539" spans="1:30" ht="13.2" x14ac:dyDescent="0.25">
      <c r="A539" s="10"/>
      <c r="B539" s="1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9"/>
      <c r="N539" s="2"/>
      <c r="O539" s="9"/>
      <c r="P539" s="9"/>
      <c r="Q539" s="2"/>
      <c r="R539" s="9"/>
      <c r="S539" s="2"/>
      <c r="T539" s="9"/>
      <c r="U539" s="2"/>
      <c r="V539" s="2"/>
      <c r="W539" s="2"/>
      <c r="X539" s="2"/>
      <c r="Y539" s="2"/>
      <c r="Z539" s="9"/>
      <c r="AA539" s="2"/>
      <c r="AB539" s="2"/>
      <c r="AC539" s="2"/>
      <c r="AD539" s="2"/>
    </row>
    <row r="540" spans="1:30" ht="13.2" x14ac:dyDescent="0.25">
      <c r="A540" s="10"/>
      <c r="B540" s="1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9"/>
      <c r="N540" s="2"/>
      <c r="O540" s="9"/>
      <c r="P540" s="9"/>
      <c r="Q540" s="2"/>
      <c r="R540" s="9"/>
      <c r="S540" s="2"/>
      <c r="T540" s="9"/>
      <c r="U540" s="2"/>
      <c r="V540" s="2"/>
      <c r="W540" s="2"/>
      <c r="X540" s="2"/>
      <c r="Y540" s="2"/>
      <c r="Z540" s="9"/>
      <c r="AA540" s="2"/>
      <c r="AB540" s="2"/>
      <c r="AC540" s="2"/>
      <c r="AD540" s="2"/>
    </row>
    <row r="541" spans="1:30" ht="13.2" x14ac:dyDescent="0.25">
      <c r="A541" s="10"/>
      <c r="B541" s="10"/>
      <c r="C541" s="2"/>
      <c r="D541" s="2"/>
      <c r="E541" s="2"/>
      <c r="F541" s="2"/>
      <c r="G541" s="13"/>
      <c r="H541" s="2"/>
      <c r="I541" s="2"/>
      <c r="J541" s="2"/>
      <c r="K541" s="2"/>
      <c r="L541" s="2"/>
      <c r="M541" s="9"/>
      <c r="N541" s="2"/>
      <c r="O541" s="9"/>
      <c r="P541" s="9"/>
      <c r="Q541" s="2"/>
      <c r="R541" s="9"/>
      <c r="S541" s="2"/>
      <c r="T541" s="9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3.2" x14ac:dyDescent="0.25">
      <c r="A542" s="10"/>
      <c r="B542" s="10"/>
      <c r="C542" s="2"/>
      <c r="D542" s="2"/>
      <c r="E542" s="2"/>
      <c r="F542" s="16"/>
      <c r="G542" s="2"/>
      <c r="H542" s="2"/>
      <c r="I542" s="2"/>
      <c r="J542" s="2"/>
      <c r="K542" s="2"/>
      <c r="L542" s="2"/>
      <c r="M542" s="9"/>
      <c r="N542" s="2"/>
      <c r="O542" s="9"/>
      <c r="P542" s="9"/>
      <c r="Q542" s="2"/>
      <c r="R542" s="9"/>
      <c r="S542" s="2"/>
      <c r="T542" s="9"/>
      <c r="U542" s="2"/>
      <c r="V542" s="2"/>
      <c r="W542" s="2"/>
      <c r="X542" s="2"/>
      <c r="Y542" s="2"/>
      <c r="Z542" s="9"/>
      <c r="AA542" s="2"/>
      <c r="AB542" s="2"/>
      <c r="AC542" s="2"/>
      <c r="AD542" s="2"/>
    </row>
    <row r="543" spans="1:30" ht="13.2" x14ac:dyDescent="0.25">
      <c r="A543" s="10"/>
      <c r="B543" s="10"/>
      <c r="C543" s="2"/>
      <c r="D543" s="2"/>
      <c r="E543" s="2"/>
      <c r="F543" s="16"/>
      <c r="G543" s="2"/>
      <c r="H543" s="2"/>
      <c r="I543" s="2"/>
      <c r="J543" s="2"/>
      <c r="K543" s="2"/>
      <c r="L543" s="2"/>
      <c r="M543" s="9"/>
      <c r="N543" s="2"/>
      <c r="O543" s="9"/>
      <c r="P543" s="9"/>
      <c r="Q543" s="2"/>
      <c r="R543" s="9"/>
      <c r="S543" s="2"/>
      <c r="T543" s="9"/>
      <c r="U543" s="2"/>
      <c r="V543" s="2"/>
      <c r="W543" s="2"/>
      <c r="X543" s="2"/>
      <c r="Y543" s="2"/>
      <c r="Z543" s="9"/>
      <c r="AA543" s="2"/>
      <c r="AB543" s="2"/>
      <c r="AC543" s="2"/>
      <c r="AD543" s="2"/>
    </row>
    <row r="544" spans="1:30" ht="13.2" x14ac:dyDescent="0.25">
      <c r="A544" s="10"/>
      <c r="B544" s="1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9"/>
      <c r="N544" s="2"/>
      <c r="O544" s="9"/>
      <c r="P544" s="9"/>
      <c r="Q544" s="2"/>
      <c r="R544" s="9"/>
      <c r="S544" s="2"/>
      <c r="T544" s="9"/>
      <c r="U544" s="2"/>
      <c r="V544" s="2"/>
      <c r="W544" s="2"/>
      <c r="X544" s="2"/>
      <c r="Y544" s="2"/>
      <c r="Z544" s="9"/>
      <c r="AA544" s="2"/>
      <c r="AB544" s="2"/>
      <c r="AC544" s="2"/>
      <c r="AD544" s="2"/>
    </row>
    <row r="545" spans="1:30" ht="13.2" x14ac:dyDescent="0.25">
      <c r="A545" s="10"/>
      <c r="B545" s="1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9"/>
      <c r="N545" s="2"/>
      <c r="O545" s="9"/>
      <c r="P545" s="9"/>
      <c r="Q545" s="2"/>
      <c r="R545" s="9"/>
      <c r="S545" s="2"/>
      <c r="T545" s="9"/>
      <c r="U545" s="2"/>
      <c r="V545" s="2"/>
      <c r="W545" s="2"/>
      <c r="X545" s="2"/>
      <c r="Y545" s="2"/>
      <c r="Z545" s="9"/>
      <c r="AA545" s="2"/>
      <c r="AB545" s="2"/>
      <c r="AC545" s="2"/>
      <c r="AD545" s="2"/>
    </row>
    <row r="546" spans="1:30" ht="13.2" x14ac:dyDescent="0.25">
      <c r="A546" s="10"/>
      <c r="B546" s="1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9"/>
      <c r="N546" s="2"/>
      <c r="O546" s="9"/>
      <c r="P546" s="9"/>
      <c r="Q546" s="2"/>
      <c r="R546" s="9"/>
      <c r="S546" s="2"/>
      <c r="T546" s="9"/>
      <c r="U546" s="2"/>
      <c r="V546" s="2"/>
      <c r="W546" s="2"/>
      <c r="X546" s="2"/>
      <c r="Y546" s="2"/>
      <c r="Z546" s="9"/>
      <c r="AA546" s="2"/>
      <c r="AB546" s="2"/>
      <c r="AC546" s="2"/>
      <c r="AD546" s="2"/>
    </row>
    <row r="547" spans="1:30" ht="13.2" x14ac:dyDescent="0.25">
      <c r="A547" s="10"/>
      <c r="B547" s="1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9"/>
      <c r="N547" s="2"/>
      <c r="O547" s="9"/>
      <c r="P547" s="9"/>
      <c r="Q547" s="2"/>
      <c r="R547" s="9"/>
      <c r="S547" s="2"/>
      <c r="T547" s="9"/>
      <c r="U547" s="2"/>
      <c r="V547" s="2"/>
      <c r="W547" s="2"/>
      <c r="X547" s="2"/>
      <c r="Y547" s="2"/>
      <c r="Z547" s="9"/>
      <c r="AA547" s="2"/>
      <c r="AB547" s="2"/>
      <c r="AC547" s="2"/>
      <c r="AD547" s="2"/>
    </row>
    <row r="548" spans="1:30" ht="13.2" x14ac:dyDescent="0.25">
      <c r="A548" s="10"/>
      <c r="B548" s="1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9"/>
      <c r="N548" s="2"/>
      <c r="O548" s="9"/>
      <c r="P548" s="9"/>
      <c r="Q548" s="2"/>
      <c r="R548" s="9"/>
      <c r="S548" s="2"/>
      <c r="T548" s="9"/>
      <c r="U548" s="2"/>
      <c r="V548" s="2"/>
      <c r="W548" s="2"/>
      <c r="X548" s="2"/>
      <c r="Y548" s="2"/>
      <c r="Z548" s="9"/>
      <c r="AA548" s="2"/>
      <c r="AB548" s="2"/>
      <c r="AC548" s="2"/>
      <c r="AD548" s="2"/>
    </row>
    <row r="549" spans="1:30" ht="13.2" x14ac:dyDescent="0.25">
      <c r="A549" s="10"/>
      <c r="B549" s="1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9"/>
      <c r="N549" s="2"/>
      <c r="O549" s="9"/>
      <c r="P549" s="9"/>
      <c r="Q549" s="2"/>
      <c r="R549" s="9"/>
      <c r="S549" s="2"/>
      <c r="T549" s="9"/>
      <c r="U549" s="2"/>
      <c r="V549" s="2"/>
      <c r="W549" s="2"/>
      <c r="X549" s="2"/>
      <c r="Y549" s="2"/>
      <c r="Z549" s="9"/>
      <c r="AA549" s="2"/>
      <c r="AB549" s="2"/>
      <c r="AC549" s="2"/>
      <c r="AD549" s="2"/>
    </row>
    <row r="550" spans="1:30" ht="13.2" x14ac:dyDescent="0.25">
      <c r="A550" s="10"/>
      <c r="B550" s="1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9"/>
      <c r="N550" s="2"/>
      <c r="O550" s="9"/>
      <c r="P550" s="9"/>
      <c r="Q550" s="2"/>
      <c r="R550" s="9"/>
      <c r="S550" s="2"/>
      <c r="T550" s="9"/>
      <c r="U550" s="2"/>
      <c r="V550" s="2"/>
      <c r="W550" s="2"/>
      <c r="X550" s="2"/>
      <c r="Y550" s="2"/>
      <c r="Z550" s="9"/>
      <c r="AA550" s="2"/>
      <c r="AB550" s="2"/>
      <c r="AC550" s="2"/>
      <c r="AD550" s="2"/>
    </row>
    <row r="551" spans="1:30" ht="13.2" x14ac:dyDescent="0.25">
      <c r="A551" s="10"/>
      <c r="B551" s="1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9"/>
      <c r="N551" s="2"/>
      <c r="O551" s="9"/>
      <c r="P551" s="9"/>
      <c r="Q551" s="2"/>
      <c r="R551" s="9"/>
      <c r="S551" s="2"/>
      <c r="T551" s="9"/>
      <c r="U551" s="2"/>
      <c r="V551" s="2"/>
      <c r="W551" s="2"/>
      <c r="X551" s="2"/>
      <c r="Y551" s="2"/>
      <c r="Z551" s="9"/>
      <c r="AA551" s="2"/>
      <c r="AB551" s="2"/>
      <c r="AC551" s="2"/>
      <c r="AD551" s="2"/>
    </row>
    <row r="552" spans="1:30" ht="13.2" x14ac:dyDescent="0.25">
      <c r="A552" s="10"/>
      <c r="B552" s="1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9"/>
      <c r="N552" s="2"/>
      <c r="O552" s="9"/>
      <c r="P552" s="9"/>
      <c r="Q552" s="2"/>
      <c r="R552" s="9"/>
      <c r="S552" s="2"/>
      <c r="T552" s="9"/>
      <c r="U552" s="2"/>
      <c r="V552" s="9"/>
      <c r="W552" s="9"/>
      <c r="X552" s="2"/>
      <c r="Y552" s="2"/>
      <c r="Z552" s="2"/>
      <c r="AA552" s="2"/>
      <c r="AB552" s="2"/>
      <c r="AC552" s="2"/>
      <c r="AD552" s="2"/>
    </row>
    <row r="553" spans="1:30" ht="13.2" x14ac:dyDescent="0.25">
      <c r="A553" s="10"/>
      <c r="B553" s="1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9"/>
      <c r="N553" s="2"/>
      <c r="O553" s="9"/>
      <c r="P553" s="9"/>
      <c r="Q553" s="2"/>
      <c r="R553" s="9"/>
      <c r="S553" s="2"/>
      <c r="T553" s="9"/>
      <c r="U553" s="2"/>
      <c r="V553" s="2"/>
      <c r="W553" s="2"/>
      <c r="X553" s="2"/>
      <c r="Y553" s="2"/>
      <c r="Z553" s="9"/>
      <c r="AA553" s="2"/>
      <c r="AB553" s="2"/>
      <c r="AC553" s="2"/>
      <c r="AD553" s="2"/>
    </row>
    <row r="554" spans="1:30" ht="13.2" x14ac:dyDescent="0.25">
      <c r="A554" s="10"/>
      <c r="B554" s="1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9"/>
      <c r="N554" s="2"/>
      <c r="O554" s="9"/>
      <c r="P554" s="9"/>
      <c r="Q554" s="2"/>
      <c r="R554" s="9"/>
      <c r="S554" s="2"/>
      <c r="T554" s="9"/>
      <c r="U554" s="2"/>
      <c r="V554" s="2"/>
      <c r="W554" s="2"/>
      <c r="X554" s="2"/>
      <c r="Y554" s="2"/>
      <c r="Z554" s="9"/>
      <c r="AA554" s="2"/>
      <c r="AB554" s="2"/>
      <c r="AC554" s="2"/>
      <c r="AD554" s="2"/>
    </row>
    <row r="555" spans="1:30" ht="13.2" x14ac:dyDescent="0.25">
      <c r="A555" s="10"/>
      <c r="B555" s="1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9"/>
      <c r="N555" s="2"/>
      <c r="O555" s="9"/>
      <c r="P555" s="9"/>
      <c r="Q555" s="2"/>
      <c r="R555" s="9"/>
      <c r="S555" s="2"/>
      <c r="T555" s="9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3.2" x14ac:dyDescent="0.25">
      <c r="A556" s="10"/>
      <c r="B556" s="1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9"/>
      <c r="N556" s="2"/>
      <c r="O556" s="9"/>
      <c r="P556" s="9"/>
      <c r="Q556" s="2"/>
      <c r="R556" s="9"/>
      <c r="S556" s="2"/>
      <c r="T556" s="9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3.2" x14ac:dyDescent="0.25">
      <c r="A557" s="10"/>
      <c r="B557" s="1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9"/>
      <c r="N557" s="2"/>
      <c r="O557" s="9"/>
      <c r="P557" s="9"/>
      <c r="Q557" s="2"/>
      <c r="R557" s="9"/>
      <c r="S557" s="2"/>
      <c r="T557" s="9"/>
      <c r="U557" s="2"/>
      <c r="V557" s="2"/>
      <c r="W557" s="2"/>
      <c r="X557" s="2"/>
      <c r="Y557" s="2"/>
      <c r="Z557" s="9"/>
      <c r="AA557" s="2"/>
      <c r="AB557" s="2"/>
      <c r="AC557" s="2"/>
      <c r="AD557" s="2"/>
    </row>
    <row r="558" spans="1:30" ht="13.2" x14ac:dyDescent="0.25">
      <c r="A558" s="10"/>
      <c r="B558" s="10"/>
      <c r="C558" s="2"/>
      <c r="D558" s="2"/>
      <c r="E558" s="2"/>
      <c r="F558" s="16"/>
      <c r="G558" s="2"/>
      <c r="H558" s="2"/>
      <c r="I558" s="2"/>
      <c r="J558" s="2"/>
      <c r="K558" s="2"/>
      <c r="L558" s="2"/>
      <c r="M558" s="9"/>
      <c r="N558" s="2"/>
      <c r="O558" s="9"/>
      <c r="P558" s="9"/>
      <c r="Q558" s="2"/>
      <c r="R558" s="9"/>
      <c r="S558" s="2"/>
      <c r="T558" s="9"/>
      <c r="U558" s="2"/>
      <c r="V558" s="2"/>
      <c r="W558" s="2"/>
      <c r="X558" s="2"/>
      <c r="Y558" s="2"/>
      <c r="Z558" s="9"/>
      <c r="AA558" s="2"/>
      <c r="AB558" s="2"/>
      <c r="AC558" s="2"/>
      <c r="AD558" s="2"/>
    </row>
    <row r="559" spans="1:30" ht="13.2" x14ac:dyDescent="0.25">
      <c r="A559" s="10"/>
      <c r="B559" s="1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9"/>
      <c r="N559" s="2"/>
      <c r="O559" s="9"/>
      <c r="P559" s="9"/>
      <c r="Q559" s="2"/>
      <c r="R559" s="9"/>
      <c r="S559" s="2"/>
      <c r="T559" s="9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3.2" x14ac:dyDescent="0.25">
      <c r="A560" s="10"/>
      <c r="B560" s="10"/>
      <c r="C560" s="2"/>
      <c r="D560" s="2"/>
      <c r="E560" s="2"/>
      <c r="F560" s="2"/>
      <c r="G560" s="18"/>
      <c r="H560" s="2"/>
      <c r="I560" s="2"/>
      <c r="J560" s="2"/>
      <c r="K560" s="2"/>
      <c r="L560" s="2"/>
      <c r="M560" s="9"/>
      <c r="N560" s="2"/>
      <c r="O560" s="9"/>
      <c r="P560" s="9"/>
      <c r="Q560" s="2"/>
      <c r="R560" s="9"/>
      <c r="S560" s="2"/>
      <c r="T560" s="9"/>
      <c r="U560" s="2"/>
      <c r="V560" s="9"/>
      <c r="W560" s="9"/>
      <c r="X560" s="2"/>
      <c r="Y560" s="2"/>
      <c r="Z560" s="2"/>
      <c r="AA560" s="2"/>
      <c r="AB560" s="2"/>
      <c r="AC560" s="2"/>
      <c r="AD560" s="2"/>
    </row>
    <row r="561" spans="1:30" ht="13.2" x14ac:dyDescent="0.25">
      <c r="A561" s="10"/>
      <c r="B561" s="1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9"/>
      <c r="N561" s="2"/>
      <c r="O561" s="9"/>
      <c r="P561" s="9"/>
      <c r="Q561" s="2"/>
      <c r="R561" s="9"/>
      <c r="S561" s="2"/>
      <c r="T561" s="9"/>
      <c r="U561" s="2"/>
      <c r="V561" s="9"/>
      <c r="W561" s="9"/>
      <c r="X561" s="2"/>
      <c r="Y561" s="2"/>
      <c r="Z561" s="2"/>
      <c r="AA561" s="2"/>
      <c r="AB561" s="2"/>
      <c r="AC561" s="2"/>
      <c r="AD561" s="2"/>
    </row>
    <row r="562" spans="1:30" ht="13.2" x14ac:dyDescent="0.25">
      <c r="A562" s="10"/>
      <c r="B562" s="1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9"/>
      <c r="N562" s="2"/>
      <c r="O562" s="9"/>
      <c r="P562" s="9"/>
      <c r="Q562" s="2"/>
      <c r="R562" s="9"/>
      <c r="S562" s="2"/>
      <c r="T562" s="9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3.2" x14ac:dyDescent="0.25">
      <c r="A563" s="10"/>
      <c r="B563" s="1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9"/>
      <c r="N563" s="2"/>
      <c r="O563" s="9"/>
      <c r="P563" s="9"/>
      <c r="Q563" s="2"/>
      <c r="R563" s="9"/>
      <c r="S563" s="2"/>
      <c r="T563" s="9"/>
      <c r="U563" s="2"/>
      <c r="V563" s="9"/>
      <c r="W563" s="9"/>
      <c r="X563" s="2"/>
      <c r="Y563" s="2"/>
      <c r="Z563" s="2"/>
      <c r="AA563" s="2"/>
      <c r="AB563" s="2"/>
      <c r="AC563" s="2"/>
      <c r="AD563" s="2"/>
    </row>
    <row r="564" spans="1:30" ht="13.2" x14ac:dyDescent="0.25">
      <c r="A564" s="10"/>
      <c r="B564" s="1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9"/>
      <c r="N564" s="2"/>
      <c r="O564" s="9"/>
      <c r="P564" s="9"/>
      <c r="Q564" s="2"/>
      <c r="R564" s="9"/>
      <c r="S564" s="2"/>
      <c r="T564" s="9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3.2" x14ac:dyDescent="0.25">
      <c r="A565" s="10"/>
      <c r="B565" s="10"/>
      <c r="C565" s="2"/>
      <c r="D565" s="2"/>
      <c r="E565" s="2"/>
      <c r="F565" s="2"/>
      <c r="G565" s="19"/>
      <c r="H565" s="2"/>
      <c r="I565" s="2"/>
      <c r="J565" s="2"/>
      <c r="K565" s="2"/>
      <c r="L565" s="2"/>
      <c r="M565" s="9"/>
      <c r="N565" s="2"/>
      <c r="O565" s="9"/>
      <c r="P565" s="9"/>
      <c r="Q565" s="2"/>
      <c r="R565" s="9"/>
      <c r="S565" s="2"/>
      <c r="T565" s="9"/>
      <c r="U565" s="2"/>
      <c r="V565" s="9"/>
      <c r="W565" s="9"/>
      <c r="X565" s="2"/>
      <c r="Y565" s="2"/>
      <c r="Z565" s="2"/>
      <c r="AA565" s="2"/>
      <c r="AB565" s="2"/>
      <c r="AC565" s="2"/>
      <c r="AD565" s="2"/>
    </row>
    <row r="566" spans="1:30" ht="13.2" x14ac:dyDescent="0.25">
      <c r="A566" s="10"/>
      <c r="B566" s="1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9"/>
      <c r="N566" s="2"/>
      <c r="O566" s="9"/>
      <c r="P566" s="9"/>
      <c r="Q566" s="2"/>
      <c r="R566" s="9"/>
      <c r="S566" s="2"/>
      <c r="T566" s="9"/>
      <c r="U566" s="2"/>
      <c r="V566" s="9"/>
      <c r="W566" s="9"/>
      <c r="X566" s="2"/>
      <c r="Y566" s="2"/>
      <c r="Z566" s="2"/>
      <c r="AA566" s="2"/>
      <c r="AB566" s="2"/>
      <c r="AC566" s="2"/>
      <c r="AD566" s="2"/>
    </row>
    <row r="567" spans="1:30" ht="13.2" x14ac:dyDescent="0.25">
      <c r="A567" s="10"/>
      <c r="B567" s="1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9"/>
      <c r="N567" s="2"/>
      <c r="O567" s="9"/>
      <c r="P567" s="9"/>
      <c r="Q567" s="2"/>
      <c r="R567" s="9"/>
      <c r="S567" s="2"/>
      <c r="T567" s="9"/>
      <c r="U567" s="2"/>
      <c r="V567" s="9"/>
      <c r="W567" s="9"/>
      <c r="X567" s="2"/>
      <c r="Y567" s="2"/>
      <c r="Z567" s="2"/>
      <c r="AA567" s="2"/>
      <c r="AB567" s="2"/>
      <c r="AC567" s="2"/>
      <c r="AD567" s="2"/>
    </row>
    <row r="568" spans="1:30" ht="13.2" x14ac:dyDescent="0.25">
      <c r="A568" s="10"/>
      <c r="B568" s="1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9"/>
      <c r="N568" s="2"/>
      <c r="O568" s="9"/>
      <c r="P568" s="9"/>
      <c r="Q568" s="2"/>
      <c r="R568" s="9"/>
      <c r="S568" s="2"/>
      <c r="T568" s="9"/>
      <c r="U568" s="2"/>
      <c r="V568" s="9"/>
      <c r="W568" s="9"/>
      <c r="X568" s="2"/>
      <c r="Y568" s="2"/>
      <c r="Z568" s="2"/>
      <c r="AA568" s="2"/>
      <c r="AB568" s="2"/>
      <c r="AC568" s="2"/>
      <c r="AD568" s="2"/>
    </row>
    <row r="569" spans="1:30" ht="13.2" x14ac:dyDescent="0.25">
      <c r="A569" s="10"/>
      <c r="B569" s="1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9"/>
      <c r="N569" s="2"/>
      <c r="O569" s="9"/>
      <c r="P569" s="9"/>
      <c r="Q569" s="2"/>
      <c r="R569" s="9"/>
      <c r="S569" s="2"/>
      <c r="T569" s="9"/>
      <c r="U569" s="2"/>
      <c r="V569" s="2"/>
      <c r="W569" s="2"/>
      <c r="X569" s="2"/>
      <c r="Y569" s="2"/>
      <c r="Z569" s="9"/>
      <c r="AA569" s="2"/>
      <c r="AB569" s="2"/>
      <c r="AC569" s="2"/>
      <c r="AD569" s="2"/>
    </row>
    <row r="570" spans="1:30" ht="13.2" x14ac:dyDescent="0.25">
      <c r="A570" s="10"/>
      <c r="B570" s="1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9"/>
      <c r="N570" s="2"/>
      <c r="O570" s="9"/>
      <c r="P570" s="9"/>
      <c r="Q570" s="2"/>
      <c r="R570" s="9"/>
      <c r="S570" s="2"/>
      <c r="T570" s="9"/>
      <c r="U570" s="2"/>
      <c r="V570" s="2"/>
      <c r="W570" s="2"/>
      <c r="X570" s="2"/>
      <c r="Y570" s="2"/>
      <c r="Z570" s="9"/>
      <c r="AA570" s="2"/>
      <c r="AB570" s="2"/>
      <c r="AC570" s="2"/>
      <c r="AD570" s="2"/>
    </row>
    <row r="571" spans="1:30" ht="13.2" x14ac:dyDescent="0.25">
      <c r="A571" s="10"/>
      <c r="B571" s="1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9"/>
      <c r="N571" s="2"/>
      <c r="O571" s="9"/>
      <c r="P571" s="9"/>
      <c r="Q571" s="2"/>
      <c r="R571" s="9"/>
      <c r="S571" s="2"/>
      <c r="T571" s="9"/>
      <c r="U571" s="2"/>
      <c r="V571" s="2"/>
      <c r="W571" s="2"/>
      <c r="X571" s="2"/>
      <c r="Y571" s="2"/>
      <c r="Z571" s="9"/>
      <c r="AA571" s="2"/>
      <c r="AB571" s="2"/>
      <c r="AC571" s="2"/>
      <c r="AD571" s="2"/>
    </row>
    <row r="572" spans="1:30" ht="13.2" x14ac:dyDescent="0.25">
      <c r="A572" s="10"/>
      <c r="B572" s="1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9"/>
      <c r="N572" s="2"/>
      <c r="O572" s="9"/>
      <c r="P572" s="9"/>
      <c r="Q572" s="2"/>
      <c r="R572" s="9"/>
      <c r="S572" s="2"/>
      <c r="T572" s="9"/>
      <c r="U572" s="2"/>
      <c r="V572" s="2"/>
      <c r="W572" s="2"/>
      <c r="X572" s="2"/>
      <c r="Y572" s="2"/>
      <c r="Z572" s="9"/>
      <c r="AA572" s="2"/>
      <c r="AB572" s="2"/>
      <c r="AC572" s="2"/>
      <c r="AD572" s="2"/>
    </row>
    <row r="573" spans="1:30" ht="13.2" x14ac:dyDescent="0.25">
      <c r="A573" s="10"/>
      <c r="B573" s="1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9"/>
      <c r="N573" s="2"/>
      <c r="O573" s="9"/>
      <c r="P573" s="9"/>
      <c r="Q573" s="2"/>
      <c r="R573" s="9"/>
      <c r="S573" s="2"/>
      <c r="T573" s="9"/>
      <c r="U573" s="2"/>
      <c r="V573" s="2"/>
      <c r="W573" s="2"/>
      <c r="X573" s="2"/>
      <c r="Y573" s="2"/>
      <c r="Z573" s="9"/>
      <c r="AA573" s="2"/>
      <c r="AB573" s="2"/>
      <c r="AC573" s="2"/>
      <c r="AD573" s="2"/>
    </row>
    <row r="574" spans="1:30" ht="13.2" x14ac:dyDescent="0.25">
      <c r="A574" s="10"/>
      <c r="B574" s="10"/>
      <c r="C574" s="2"/>
      <c r="D574" s="2"/>
      <c r="E574" s="2"/>
      <c r="F574" s="16"/>
      <c r="G574" s="2"/>
      <c r="H574" s="2"/>
      <c r="I574" s="2"/>
      <c r="J574" s="2"/>
      <c r="K574" s="2"/>
      <c r="L574" s="2"/>
      <c r="M574" s="9"/>
      <c r="N574" s="2"/>
      <c r="O574" s="9"/>
      <c r="P574" s="9"/>
      <c r="Q574" s="2"/>
      <c r="R574" s="9"/>
      <c r="S574" s="2"/>
      <c r="T574" s="9"/>
      <c r="U574" s="2"/>
      <c r="V574" s="2"/>
      <c r="W574" s="2"/>
      <c r="X574" s="2"/>
      <c r="Y574" s="2"/>
      <c r="Z574" s="9"/>
      <c r="AA574" s="2"/>
      <c r="AB574" s="2"/>
      <c r="AC574" s="2"/>
      <c r="AD574" s="2"/>
    </row>
    <row r="575" spans="1:30" ht="13.2" x14ac:dyDescent="0.25">
      <c r="A575" s="10"/>
      <c r="B575" s="1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9"/>
      <c r="N575" s="2"/>
      <c r="O575" s="9"/>
      <c r="P575" s="9"/>
      <c r="Q575" s="2"/>
      <c r="R575" s="9"/>
      <c r="S575" s="2"/>
      <c r="T575" s="9"/>
      <c r="U575" s="2"/>
      <c r="V575" s="2"/>
      <c r="W575" s="2"/>
      <c r="X575" s="2"/>
      <c r="Y575" s="2"/>
      <c r="Z575" s="9"/>
      <c r="AA575" s="2"/>
      <c r="AB575" s="2"/>
      <c r="AC575" s="2"/>
      <c r="AD575" s="2"/>
    </row>
    <row r="576" spans="1:30" ht="13.2" x14ac:dyDescent="0.25">
      <c r="A576" s="10"/>
      <c r="B576" s="1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9"/>
      <c r="N576" s="2"/>
      <c r="O576" s="9"/>
      <c r="P576" s="9"/>
      <c r="Q576" s="2"/>
      <c r="R576" s="9"/>
      <c r="S576" s="2"/>
      <c r="T576" s="9"/>
      <c r="U576" s="2"/>
      <c r="V576" s="2"/>
      <c r="W576" s="2"/>
      <c r="X576" s="2"/>
      <c r="Y576" s="2"/>
      <c r="Z576" s="9"/>
      <c r="AA576" s="2"/>
      <c r="AB576" s="2"/>
      <c r="AC576" s="2"/>
      <c r="AD576" s="2"/>
    </row>
    <row r="577" spans="1:30" ht="13.2" x14ac:dyDescent="0.25">
      <c r="A577" s="10"/>
      <c r="B577" s="1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9"/>
      <c r="N577" s="2"/>
      <c r="O577" s="9"/>
      <c r="P577" s="9"/>
      <c r="Q577" s="2"/>
      <c r="R577" s="9"/>
      <c r="S577" s="2"/>
      <c r="T577" s="9"/>
      <c r="U577" s="2"/>
      <c r="V577" s="2"/>
      <c r="W577" s="2"/>
      <c r="X577" s="2"/>
      <c r="Y577" s="2"/>
      <c r="Z577" s="9"/>
      <c r="AA577" s="2"/>
      <c r="AB577" s="2"/>
      <c r="AC577" s="2"/>
      <c r="AD577" s="2"/>
    </row>
    <row r="578" spans="1:30" ht="13.2" x14ac:dyDescent="0.25">
      <c r="A578" s="10"/>
      <c r="B578" s="1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9"/>
      <c r="N578" s="2"/>
      <c r="O578" s="9"/>
      <c r="P578" s="9"/>
      <c r="Q578" s="2"/>
      <c r="R578" s="9"/>
      <c r="S578" s="2"/>
      <c r="T578" s="9"/>
      <c r="U578" s="2"/>
      <c r="V578" s="2"/>
      <c r="W578" s="2"/>
      <c r="X578" s="2"/>
      <c r="Y578" s="2"/>
      <c r="Z578" s="9"/>
      <c r="AA578" s="2"/>
      <c r="AB578" s="2"/>
      <c r="AC578" s="2"/>
      <c r="AD578" s="2"/>
    </row>
    <row r="579" spans="1:30" ht="13.2" x14ac:dyDescent="0.25">
      <c r="A579" s="10"/>
      <c r="B579" s="1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9"/>
      <c r="N579" s="2"/>
      <c r="O579" s="9"/>
      <c r="P579" s="9"/>
      <c r="Q579" s="2"/>
      <c r="R579" s="9"/>
      <c r="S579" s="2"/>
      <c r="T579" s="9"/>
      <c r="U579" s="2"/>
      <c r="V579" s="2"/>
      <c r="W579" s="2"/>
      <c r="X579" s="2"/>
      <c r="Y579" s="2"/>
      <c r="Z579" s="9"/>
      <c r="AA579" s="2"/>
      <c r="AB579" s="2"/>
      <c r="AC579" s="2"/>
      <c r="AD579" s="2"/>
    </row>
    <row r="580" spans="1:30" ht="13.2" x14ac:dyDescent="0.25">
      <c r="A580" s="10"/>
      <c r="B580" s="1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9"/>
      <c r="N580" s="2"/>
      <c r="O580" s="9"/>
      <c r="P580" s="9"/>
      <c r="Q580" s="2"/>
      <c r="R580" s="9"/>
      <c r="S580" s="2"/>
      <c r="T580" s="9"/>
      <c r="U580" s="2"/>
      <c r="V580" s="2"/>
      <c r="W580" s="2"/>
      <c r="X580" s="2"/>
      <c r="Y580" s="2"/>
      <c r="Z580" s="9"/>
      <c r="AA580" s="2"/>
      <c r="AB580" s="2"/>
      <c r="AC580" s="2"/>
      <c r="AD580" s="2"/>
    </row>
    <row r="581" spans="1:30" ht="13.2" x14ac:dyDescent="0.25">
      <c r="A581" s="10"/>
      <c r="B581" s="1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9"/>
      <c r="N581" s="2"/>
      <c r="O581" s="9"/>
      <c r="P581" s="9"/>
      <c r="Q581" s="2"/>
      <c r="R581" s="9"/>
      <c r="S581" s="2"/>
      <c r="T581" s="9"/>
      <c r="U581" s="2"/>
      <c r="V581" s="9"/>
      <c r="W581" s="9"/>
      <c r="X581" s="2"/>
      <c r="Y581" s="2"/>
      <c r="Z581" s="2"/>
      <c r="AA581" s="2"/>
      <c r="AB581" s="2"/>
      <c r="AC581" s="2"/>
      <c r="AD581" s="2"/>
    </row>
    <row r="582" spans="1:30" ht="13.2" x14ac:dyDescent="0.25">
      <c r="A582" s="10"/>
      <c r="B582" s="10"/>
      <c r="C582" s="2"/>
      <c r="D582" s="2"/>
      <c r="E582" s="2"/>
      <c r="F582" s="16"/>
      <c r="G582" s="2"/>
      <c r="H582" s="2"/>
      <c r="I582" s="2"/>
      <c r="J582" s="2"/>
      <c r="K582" s="2"/>
      <c r="L582" s="2"/>
      <c r="M582" s="9"/>
      <c r="N582" s="2"/>
      <c r="O582" s="9"/>
      <c r="P582" s="9"/>
      <c r="Q582" s="2"/>
      <c r="R582" s="9"/>
      <c r="S582" s="2"/>
      <c r="T582" s="9"/>
      <c r="U582" s="2"/>
      <c r="V582" s="2"/>
      <c r="W582" s="2"/>
      <c r="X582" s="2"/>
      <c r="Y582" s="2"/>
      <c r="Z582" s="9"/>
      <c r="AA582" s="2"/>
      <c r="AB582" s="2"/>
      <c r="AC582" s="2"/>
      <c r="AD582" s="2"/>
    </row>
    <row r="583" spans="1:30" ht="13.2" x14ac:dyDescent="0.25">
      <c r="A583" s="10"/>
      <c r="B583" s="1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9"/>
      <c r="N583" s="2"/>
      <c r="O583" s="9"/>
      <c r="P583" s="9"/>
      <c r="Q583" s="2"/>
      <c r="R583" s="9"/>
      <c r="S583" s="2"/>
      <c r="T583" s="9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3.2" x14ac:dyDescent="0.25">
      <c r="A584" s="10"/>
      <c r="B584" s="1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9"/>
      <c r="N584" s="2"/>
      <c r="O584" s="9"/>
      <c r="P584" s="9"/>
      <c r="Q584" s="2"/>
      <c r="R584" s="9"/>
      <c r="S584" s="2"/>
      <c r="T584" s="9"/>
      <c r="U584" s="2"/>
      <c r="V584" s="2"/>
      <c r="W584" s="2"/>
      <c r="X584" s="2"/>
      <c r="Y584" s="2"/>
      <c r="Z584" s="9"/>
      <c r="AA584" s="2"/>
      <c r="AB584" s="2"/>
      <c r="AC584" s="2"/>
      <c r="AD584" s="2"/>
    </row>
    <row r="585" spans="1:30" ht="13.2" x14ac:dyDescent="0.25">
      <c r="A585" s="10"/>
      <c r="B585" s="10"/>
      <c r="C585" s="2"/>
      <c r="D585" s="2"/>
      <c r="E585" s="2"/>
      <c r="F585" s="16"/>
      <c r="G585" s="14"/>
      <c r="H585" s="2"/>
      <c r="I585" s="2"/>
      <c r="J585" s="2"/>
      <c r="K585" s="2"/>
      <c r="L585" s="2"/>
      <c r="M585" s="9"/>
      <c r="N585" s="2"/>
      <c r="O585" s="9"/>
      <c r="P585" s="9"/>
      <c r="Q585" s="2"/>
      <c r="R585" s="9"/>
      <c r="S585" s="2"/>
      <c r="T585" s="9"/>
      <c r="U585" s="2"/>
      <c r="V585" s="2"/>
      <c r="W585" s="2"/>
      <c r="X585" s="2"/>
      <c r="Y585" s="2"/>
      <c r="Z585" s="9"/>
      <c r="AA585" s="2"/>
      <c r="AB585" s="2"/>
      <c r="AC585" s="2"/>
      <c r="AD585" s="2"/>
    </row>
    <row r="586" spans="1:30" ht="13.2" x14ac:dyDescent="0.25">
      <c r="A586" s="10"/>
      <c r="B586" s="1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9"/>
      <c r="N586" s="2"/>
      <c r="O586" s="9"/>
      <c r="P586" s="9"/>
      <c r="Q586" s="2"/>
      <c r="R586" s="9"/>
      <c r="S586" s="2"/>
      <c r="T586" s="9"/>
      <c r="U586" s="2"/>
      <c r="V586" s="9"/>
      <c r="W586" s="9"/>
      <c r="X586" s="2"/>
      <c r="Y586" s="2"/>
      <c r="Z586" s="2"/>
      <c r="AA586" s="2"/>
      <c r="AB586" s="2"/>
      <c r="AC586" s="2"/>
      <c r="AD586" s="2"/>
    </row>
    <row r="587" spans="1:30" ht="13.2" x14ac:dyDescent="0.25">
      <c r="A587" s="10"/>
      <c r="B587" s="1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9"/>
      <c r="N587" s="2"/>
      <c r="O587" s="9"/>
      <c r="P587" s="9"/>
      <c r="Q587" s="2"/>
      <c r="R587" s="9"/>
      <c r="S587" s="2"/>
      <c r="T587" s="9"/>
      <c r="U587" s="2"/>
      <c r="V587" s="9"/>
      <c r="W587" s="9"/>
      <c r="X587" s="2"/>
      <c r="Y587" s="2"/>
      <c r="Z587" s="2"/>
      <c r="AA587" s="2"/>
      <c r="AB587" s="2"/>
      <c r="AC587" s="2"/>
      <c r="AD587" s="2"/>
    </row>
    <row r="588" spans="1:30" ht="13.2" x14ac:dyDescent="0.25">
      <c r="A588" s="10"/>
      <c r="B588" s="1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9"/>
      <c r="N588" s="2"/>
      <c r="O588" s="9"/>
      <c r="P588" s="9"/>
      <c r="Q588" s="2"/>
      <c r="R588" s="9"/>
      <c r="S588" s="2"/>
      <c r="T588" s="9"/>
      <c r="U588" s="2"/>
      <c r="V588" s="9"/>
      <c r="W588" s="9"/>
      <c r="X588" s="2"/>
      <c r="Y588" s="2"/>
      <c r="Z588" s="2"/>
      <c r="AA588" s="2"/>
      <c r="AB588" s="2"/>
      <c r="AC588" s="2"/>
      <c r="AD588" s="2"/>
    </row>
    <row r="589" spans="1:30" ht="13.2" x14ac:dyDescent="0.25">
      <c r="A589" s="10"/>
      <c r="B589" s="1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9"/>
      <c r="N589" s="2"/>
      <c r="O589" s="9"/>
      <c r="P589" s="9"/>
      <c r="Q589" s="2"/>
      <c r="R589" s="9"/>
      <c r="S589" s="2"/>
      <c r="T589" s="9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3.2" x14ac:dyDescent="0.25">
      <c r="A590" s="10"/>
      <c r="B590" s="1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9"/>
      <c r="N590" s="2"/>
      <c r="O590" s="9"/>
      <c r="P590" s="9"/>
      <c r="Q590" s="2"/>
      <c r="R590" s="9"/>
      <c r="S590" s="2"/>
      <c r="T590" s="9"/>
      <c r="U590" s="2"/>
      <c r="V590" s="9"/>
      <c r="W590" s="9"/>
      <c r="X590" s="2"/>
      <c r="Y590" s="2"/>
      <c r="Z590" s="2"/>
      <c r="AA590" s="2"/>
      <c r="AB590" s="2"/>
      <c r="AC590" s="2"/>
      <c r="AD590" s="2"/>
    </row>
    <row r="591" spans="1:30" ht="13.2" x14ac:dyDescent="0.25">
      <c r="A591" s="10"/>
      <c r="B591" s="1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9"/>
      <c r="N591" s="2"/>
      <c r="O591" s="9"/>
      <c r="P591" s="9"/>
      <c r="Q591" s="2"/>
      <c r="R591" s="9"/>
      <c r="S591" s="2"/>
      <c r="T591" s="9"/>
      <c r="U591" s="2"/>
      <c r="V591" s="9"/>
      <c r="W591" s="9"/>
      <c r="X591" s="2"/>
      <c r="Y591" s="2"/>
      <c r="Z591" s="2"/>
      <c r="AA591" s="2"/>
      <c r="AB591" s="2"/>
      <c r="AC591" s="2"/>
      <c r="AD591" s="2"/>
    </row>
    <row r="592" spans="1:30" ht="13.2" x14ac:dyDescent="0.25">
      <c r="A592" s="10"/>
      <c r="B592" s="1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9"/>
      <c r="N592" s="2"/>
      <c r="O592" s="9"/>
      <c r="P592" s="9"/>
      <c r="Q592" s="2"/>
      <c r="R592" s="9"/>
      <c r="S592" s="2"/>
      <c r="T592" s="9"/>
      <c r="U592" s="2"/>
      <c r="V592" s="9"/>
      <c r="W592" s="9"/>
      <c r="X592" s="2"/>
      <c r="Y592" s="2"/>
      <c r="Z592" s="2"/>
      <c r="AA592" s="2"/>
      <c r="AB592" s="2"/>
      <c r="AC592" s="2"/>
      <c r="AD592" s="2"/>
    </row>
    <row r="593" spans="1:30" ht="13.2" x14ac:dyDescent="0.25">
      <c r="A593" s="10"/>
      <c r="B593" s="1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9"/>
      <c r="N593" s="2"/>
      <c r="O593" s="9"/>
      <c r="P593" s="9"/>
      <c r="Q593" s="2"/>
      <c r="R593" s="9"/>
      <c r="S593" s="2"/>
      <c r="T593" s="9"/>
      <c r="U593" s="2"/>
      <c r="V593" s="9"/>
      <c r="W593" s="9"/>
      <c r="X593" s="2"/>
      <c r="Y593" s="2"/>
      <c r="Z593" s="2"/>
      <c r="AA593" s="2"/>
      <c r="AB593" s="2"/>
      <c r="AC593" s="2"/>
      <c r="AD593" s="2"/>
    </row>
    <row r="594" spans="1:30" ht="13.2" x14ac:dyDescent="0.25">
      <c r="A594" s="10"/>
      <c r="B594" s="1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9"/>
      <c r="N594" s="2"/>
      <c r="O594" s="9"/>
      <c r="P594" s="9"/>
      <c r="Q594" s="2"/>
      <c r="R594" s="9"/>
      <c r="S594" s="2"/>
      <c r="T594" s="9"/>
      <c r="U594" s="2"/>
      <c r="V594" s="9"/>
      <c r="W594" s="9"/>
      <c r="X594" s="2"/>
      <c r="Y594" s="2"/>
      <c r="Z594" s="2"/>
      <c r="AA594" s="2"/>
      <c r="AB594" s="2"/>
      <c r="AC594" s="2"/>
      <c r="AD594" s="2"/>
    </row>
    <row r="595" spans="1:30" ht="13.2" x14ac:dyDescent="0.25">
      <c r="A595" s="10"/>
      <c r="B595" s="1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9"/>
      <c r="N595" s="2"/>
      <c r="O595" s="9"/>
      <c r="P595" s="9"/>
      <c r="Q595" s="2"/>
      <c r="R595" s="9"/>
      <c r="S595" s="2"/>
      <c r="T595" s="9"/>
      <c r="U595" s="2"/>
      <c r="V595" s="9"/>
      <c r="W595" s="9"/>
      <c r="X595" s="2"/>
      <c r="Y595" s="2"/>
      <c r="Z595" s="2"/>
      <c r="AA595" s="2"/>
      <c r="AB595" s="2"/>
      <c r="AC595" s="2"/>
      <c r="AD595" s="2"/>
    </row>
    <row r="596" spans="1:30" ht="13.2" x14ac:dyDescent="0.25">
      <c r="A596" s="10"/>
      <c r="B596" s="1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9"/>
      <c r="N596" s="2"/>
      <c r="O596" s="9"/>
      <c r="P596" s="9"/>
      <c r="Q596" s="2"/>
      <c r="R596" s="9"/>
      <c r="S596" s="2"/>
      <c r="T596" s="9"/>
      <c r="U596" s="2"/>
      <c r="V596" s="2"/>
      <c r="W596" s="2"/>
      <c r="X596" s="2"/>
      <c r="Y596" s="2"/>
      <c r="Z596" s="9"/>
      <c r="AA596" s="2"/>
      <c r="AB596" s="2"/>
      <c r="AC596" s="2"/>
      <c r="AD596" s="2"/>
    </row>
    <row r="597" spans="1:30" ht="13.2" x14ac:dyDescent="0.25">
      <c r="A597" s="10"/>
      <c r="B597" s="1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9"/>
      <c r="N597" s="2"/>
      <c r="O597" s="9"/>
      <c r="P597" s="9"/>
      <c r="Q597" s="2"/>
      <c r="R597" s="9"/>
      <c r="S597" s="2"/>
      <c r="T597" s="9"/>
      <c r="U597" s="2"/>
      <c r="V597" s="9"/>
      <c r="W597" s="9"/>
      <c r="X597" s="2"/>
      <c r="Y597" s="2"/>
      <c r="Z597" s="2"/>
      <c r="AA597" s="2"/>
      <c r="AB597" s="2"/>
      <c r="AC597" s="2"/>
      <c r="AD597" s="2"/>
    </row>
    <row r="598" spans="1:30" ht="13.2" x14ac:dyDescent="0.25">
      <c r="A598" s="10"/>
      <c r="B598" s="1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9"/>
      <c r="N598" s="2"/>
      <c r="O598" s="9"/>
      <c r="P598" s="9"/>
      <c r="Q598" s="2"/>
      <c r="R598" s="9"/>
      <c r="S598" s="2"/>
      <c r="T598" s="9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3.2" x14ac:dyDescent="0.25">
      <c r="A599" s="10"/>
      <c r="B599" s="1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9"/>
      <c r="N599" s="2"/>
      <c r="O599" s="9"/>
      <c r="P599" s="9"/>
      <c r="Q599" s="2"/>
      <c r="R599" s="9"/>
      <c r="S599" s="2"/>
      <c r="T599" s="9"/>
      <c r="U599" s="2"/>
      <c r="V599" s="2"/>
      <c r="W599" s="2"/>
      <c r="X599" s="2"/>
      <c r="Y599" s="2"/>
      <c r="Z599" s="9"/>
      <c r="AA599" s="2"/>
      <c r="AB599" s="2"/>
      <c r="AC599" s="2"/>
      <c r="AD599" s="2"/>
    </row>
    <row r="600" spans="1:30" ht="13.2" x14ac:dyDescent="0.25">
      <c r="A600" s="10"/>
      <c r="B600" s="1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9"/>
      <c r="N600" s="2"/>
      <c r="O600" s="9"/>
      <c r="P600" s="9"/>
      <c r="Q600" s="2"/>
      <c r="R600" s="9"/>
      <c r="S600" s="2"/>
      <c r="T600" s="9"/>
      <c r="U600" s="2"/>
      <c r="V600" s="2"/>
      <c r="W600" s="2"/>
      <c r="X600" s="2"/>
      <c r="Y600" s="2"/>
      <c r="Z600" s="9"/>
      <c r="AA600" s="2"/>
      <c r="AB600" s="2"/>
      <c r="AC600" s="2"/>
      <c r="AD600" s="2"/>
    </row>
    <row r="601" spans="1:30" ht="13.2" x14ac:dyDescent="0.25">
      <c r="A601" s="10"/>
      <c r="B601" s="1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9"/>
      <c r="N601" s="2"/>
      <c r="O601" s="9"/>
      <c r="P601" s="9"/>
      <c r="Q601" s="2"/>
      <c r="R601" s="9"/>
      <c r="S601" s="2"/>
      <c r="T601" s="9"/>
      <c r="U601" s="2"/>
      <c r="V601" s="2"/>
      <c r="W601" s="2"/>
      <c r="X601" s="2"/>
      <c r="Y601" s="2"/>
      <c r="Z601" s="9"/>
      <c r="AA601" s="2"/>
      <c r="AB601" s="2"/>
      <c r="AC601" s="2"/>
      <c r="AD601" s="2"/>
    </row>
    <row r="602" spans="1:30" ht="13.2" x14ac:dyDescent="0.25">
      <c r="A602" s="10"/>
      <c r="B602" s="1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9"/>
      <c r="N602" s="2"/>
      <c r="O602" s="9"/>
      <c r="P602" s="9"/>
      <c r="Q602" s="2"/>
      <c r="R602" s="9"/>
      <c r="S602" s="2"/>
      <c r="T602" s="9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3.2" x14ac:dyDescent="0.25">
      <c r="A603" s="10"/>
      <c r="B603" s="1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9"/>
      <c r="N603" s="2"/>
      <c r="O603" s="9"/>
      <c r="P603" s="9"/>
      <c r="Q603" s="2"/>
      <c r="R603" s="9"/>
      <c r="S603" s="2"/>
      <c r="T603" s="9"/>
      <c r="U603" s="2"/>
      <c r="V603" s="9"/>
      <c r="W603" s="9"/>
      <c r="X603" s="2"/>
      <c r="Y603" s="2"/>
      <c r="Z603" s="2"/>
      <c r="AA603" s="2"/>
      <c r="AB603" s="2"/>
      <c r="AC603" s="2"/>
      <c r="AD603" s="2"/>
    </row>
    <row r="604" spans="1:30" ht="13.2" x14ac:dyDescent="0.25">
      <c r="A604" s="10"/>
      <c r="B604" s="1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9"/>
      <c r="N604" s="2"/>
      <c r="O604" s="9"/>
      <c r="P604" s="9"/>
      <c r="Q604" s="2"/>
      <c r="R604" s="9"/>
      <c r="S604" s="2"/>
      <c r="T604" s="9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3.2" x14ac:dyDescent="0.25">
      <c r="A605" s="10"/>
      <c r="B605" s="10"/>
      <c r="C605" s="2"/>
      <c r="D605" s="2"/>
      <c r="E605" s="2"/>
      <c r="F605" s="2"/>
      <c r="G605" s="9"/>
      <c r="H605" s="2"/>
      <c r="I605" s="2"/>
      <c r="J605" s="2"/>
      <c r="K605" s="2"/>
      <c r="L605" s="2"/>
      <c r="M605" s="9"/>
      <c r="N605" s="2"/>
      <c r="O605" s="9"/>
      <c r="P605" s="9"/>
      <c r="Q605" s="2"/>
      <c r="R605" s="9"/>
      <c r="S605" s="2"/>
      <c r="T605" s="9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3.2" x14ac:dyDescent="0.25">
      <c r="A606" s="10"/>
      <c r="B606" s="1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9"/>
      <c r="N606" s="2"/>
      <c r="O606" s="9"/>
      <c r="P606" s="9"/>
      <c r="Q606" s="2"/>
      <c r="R606" s="9"/>
      <c r="S606" s="2"/>
      <c r="T606" s="9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3.2" x14ac:dyDescent="0.25">
      <c r="A607" s="10"/>
      <c r="B607" s="1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9"/>
      <c r="N607" s="2"/>
      <c r="O607" s="9"/>
      <c r="P607" s="9"/>
      <c r="Q607" s="2"/>
      <c r="R607" s="9"/>
      <c r="S607" s="2"/>
      <c r="T607" s="9"/>
      <c r="U607" s="2"/>
      <c r="V607" s="2"/>
      <c r="W607" s="2"/>
      <c r="X607" s="2"/>
      <c r="Y607" s="2"/>
      <c r="Z607" s="9"/>
      <c r="AA607" s="2"/>
      <c r="AB607" s="2"/>
      <c r="AC607" s="2"/>
      <c r="AD607" s="2"/>
    </row>
    <row r="608" spans="1:30" ht="13.2" x14ac:dyDescent="0.25">
      <c r="A608" s="10"/>
      <c r="B608" s="1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9"/>
      <c r="N608" s="2"/>
      <c r="O608" s="9"/>
      <c r="P608" s="9"/>
      <c r="Q608" s="2"/>
      <c r="R608" s="9"/>
      <c r="S608" s="2"/>
      <c r="T608" s="9"/>
      <c r="U608" s="2"/>
      <c r="V608" s="2"/>
      <c r="W608" s="2"/>
      <c r="X608" s="2"/>
      <c r="Y608" s="2"/>
      <c r="Z608" s="9"/>
      <c r="AA608" s="2"/>
      <c r="AB608" s="2"/>
      <c r="AC608" s="2"/>
      <c r="AD608" s="2"/>
    </row>
    <row r="609" spans="1:30" ht="13.2" x14ac:dyDescent="0.25">
      <c r="A609" s="10"/>
      <c r="B609" s="1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9"/>
      <c r="N609" s="2"/>
      <c r="O609" s="9"/>
      <c r="P609" s="9"/>
      <c r="Q609" s="2"/>
      <c r="R609" s="9"/>
      <c r="S609" s="2"/>
      <c r="T609" s="9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3.2" x14ac:dyDescent="0.25">
      <c r="A610" s="10"/>
      <c r="B610" s="10"/>
      <c r="C610" s="2"/>
      <c r="D610" s="2"/>
      <c r="E610" s="2"/>
      <c r="F610" s="16"/>
      <c r="G610" s="2"/>
      <c r="H610" s="2"/>
      <c r="I610" s="2"/>
      <c r="J610" s="2"/>
      <c r="K610" s="2"/>
      <c r="L610" s="2"/>
      <c r="M610" s="9"/>
      <c r="N610" s="2"/>
      <c r="O610" s="9"/>
      <c r="P610" s="9"/>
      <c r="Q610" s="2"/>
      <c r="R610" s="9"/>
      <c r="S610" s="2"/>
      <c r="T610" s="9"/>
      <c r="U610" s="2"/>
      <c r="V610" s="2"/>
      <c r="W610" s="2"/>
      <c r="X610" s="2"/>
      <c r="Y610" s="2"/>
      <c r="Z610" s="9"/>
      <c r="AA610" s="2"/>
      <c r="AB610" s="2"/>
      <c r="AC610" s="2"/>
      <c r="AD610" s="2"/>
    </row>
    <row r="611" spans="1:30" ht="13.2" x14ac:dyDescent="0.25">
      <c r="A611" s="10"/>
      <c r="B611" s="10"/>
      <c r="C611" s="2"/>
      <c r="D611" s="2"/>
      <c r="E611" s="2"/>
      <c r="F611" s="2"/>
      <c r="G611" s="18"/>
      <c r="H611" s="2"/>
      <c r="I611" s="2"/>
      <c r="J611" s="2"/>
      <c r="K611" s="2"/>
      <c r="L611" s="2"/>
      <c r="M611" s="9"/>
      <c r="N611" s="2"/>
      <c r="O611" s="9"/>
      <c r="P611" s="9"/>
      <c r="Q611" s="2"/>
      <c r="R611" s="9"/>
      <c r="S611" s="2"/>
      <c r="T611" s="9"/>
      <c r="U611" s="2"/>
      <c r="V611" s="9"/>
      <c r="W611" s="9"/>
      <c r="X611" s="2"/>
      <c r="Y611" s="2"/>
      <c r="Z611" s="2"/>
      <c r="AA611" s="2"/>
      <c r="AB611" s="2"/>
      <c r="AC611" s="2"/>
      <c r="AD611" s="2"/>
    </row>
    <row r="612" spans="1:30" ht="13.2" x14ac:dyDescent="0.25">
      <c r="A612" s="10"/>
      <c r="B612" s="1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9"/>
      <c r="N612" s="2"/>
      <c r="O612" s="9"/>
      <c r="P612" s="9"/>
      <c r="Q612" s="2"/>
      <c r="R612" s="9"/>
      <c r="S612" s="2"/>
      <c r="T612" s="9"/>
      <c r="U612" s="2"/>
      <c r="V612" s="9"/>
      <c r="W612" s="9"/>
      <c r="X612" s="2"/>
      <c r="Y612" s="2"/>
      <c r="Z612" s="2"/>
      <c r="AA612" s="2"/>
      <c r="AB612" s="2"/>
      <c r="AC612" s="2"/>
      <c r="AD612" s="2"/>
    </row>
    <row r="613" spans="1:30" ht="13.2" x14ac:dyDescent="0.25">
      <c r="A613" s="10"/>
      <c r="B613" s="1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9"/>
      <c r="N613" s="2"/>
      <c r="O613" s="9"/>
      <c r="P613" s="9"/>
      <c r="Q613" s="2"/>
      <c r="R613" s="9"/>
      <c r="S613" s="2"/>
      <c r="T613" s="9"/>
      <c r="U613" s="2"/>
      <c r="V613" s="9"/>
      <c r="W613" s="9"/>
      <c r="X613" s="2"/>
      <c r="Y613" s="2"/>
      <c r="Z613" s="2"/>
      <c r="AA613" s="2"/>
      <c r="AB613" s="2"/>
      <c r="AC613" s="2"/>
      <c r="AD613" s="2"/>
    </row>
    <row r="614" spans="1:30" ht="13.2" x14ac:dyDescent="0.25">
      <c r="A614" s="10"/>
      <c r="B614" s="1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9"/>
      <c r="N614" s="2"/>
      <c r="O614" s="9"/>
      <c r="P614" s="9"/>
      <c r="Q614" s="2"/>
      <c r="R614" s="9"/>
      <c r="S614" s="2"/>
      <c r="T614" s="9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3.2" x14ac:dyDescent="0.25">
      <c r="A615" s="10"/>
      <c r="B615" s="1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9"/>
      <c r="N615" s="2"/>
      <c r="O615" s="9"/>
      <c r="P615" s="9"/>
      <c r="Q615" s="2"/>
      <c r="R615" s="9"/>
      <c r="S615" s="2"/>
      <c r="T615" s="9"/>
      <c r="U615" s="2"/>
      <c r="V615" s="9"/>
      <c r="W615" s="9"/>
      <c r="X615" s="2"/>
      <c r="Y615" s="2"/>
      <c r="Z615" s="2"/>
      <c r="AA615" s="2"/>
      <c r="AB615" s="2"/>
      <c r="AC615" s="2"/>
      <c r="AD615" s="2"/>
    </row>
    <row r="616" spans="1:30" ht="13.2" x14ac:dyDescent="0.25">
      <c r="A616" s="10"/>
      <c r="B616" s="1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9"/>
      <c r="N616" s="2"/>
      <c r="O616" s="9"/>
      <c r="P616" s="9"/>
      <c r="Q616" s="2"/>
      <c r="R616" s="9"/>
      <c r="S616" s="2"/>
      <c r="T616" s="9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3.2" x14ac:dyDescent="0.25">
      <c r="A617" s="10"/>
      <c r="B617" s="1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9"/>
      <c r="N617" s="2"/>
      <c r="O617" s="9"/>
      <c r="P617" s="9"/>
      <c r="Q617" s="2"/>
      <c r="R617" s="9"/>
      <c r="S617" s="2"/>
      <c r="T617" s="9"/>
      <c r="U617" s="2"/>
      <c r="V617" s="2"/>
      <c r="W617" s="2"/>
      <c r="X617" s="2"/>
      <c r="Y617" s="2"/>
      <c r="Z617" s="9"/>
      <c r="AA617" s="2"/>
      <c r="AB617" s="2"/>
      <c r="AC617" s="2"/>
      <c r="AD617" s="2"/>
    </row>
    <row r="618" spans="1:30" ht="13.2" x14ac:dyDescent="0.25">
      <c r="A618" s="10"/>
      <c r="B618" s="1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9"/>
      <c r="N618" s="2"/>
      <c r="O618" s="9"/>
      <c r="P618" s="9"/>
      <c r="Q618" s="2"/>
      <c r="R618" s="9"/>
      <c r="S618" s="2"/>
      <c r="T618" s="9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3.2" x14ac:dyDescent="0.25">
      <c r="A619" s="10"/>
      <c r="B619" s="1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9"/>
      <c r="N619" s="2"/>
      <c r="O619" s="9"/>
      <c r="P619" s="9"/>
      <c r="Q619" s="2"/>
      <c r="R619" s="9"/>
      <c r="S619" s="2"/>
      <c r="T619" s="9"/>
      <c r="U619" s="2"/>
      <c r="V619" s="2"/>
      <c r="W619" s="2"/>
      <c r="X619" s="2"/>
      <c r="Y619" s="2"/>
      <c r="Z619" s="9"/>
      <c r="AA619" s="2"/>
      <c r="AB619" s="2"/>
      <c r="AC619" s="2"/>
      <c r="AD619" s="2"/>
    </row>
    <row r="620" spans="1:30" ht="13.2" x14ac:dyDescent="0.25">
      <c r="A620" s="10"/>
      <c r="B620" s="1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9"/>
      <c r="N620" s="2"/>
      <c r="O620" s="9"/>
      <c r="P620" s="9"/>
      <c r="Q620" s="2"/>
      <c r="R620" s="9"/>
      <c r="S620" s="2"/>
      <c r="T620" s="9"/>
      <c r="U620" s="2"/>
      <c r="V620" s="2"/>
      <c r="W620" s="2"/>
      <c r="X620" s="2"/>
      <c r="Y620" s="2"/>
      <c r="Z620" s="9"/>
      <c r="AA620" s="2"/>
      <c r="AB620" s="2"/>
      <c r="AC620" s="2"/>
      <c r="AD620" s="2"/>
    </row>
    <row r="621" spans="1:30" ht="13.2" x14ac:dyDescent="0.25">
      <c r="A621" s="10"/>
      <c r="B621" s="1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9"/>
      <c r="N621" s="2"/>
      <c r="O621" s="9"/>
      <c r="P621" s="9"/>
      <c r="Q621" s="2"/>
      <c r="R621" s="9"/>
      <c r="S621" s="2"/>
      <c r="T621" s="9"/>
      <c r="U621" s="2"/>
      <c r="V621" s="2"/>
      <c r="W621" s="2"/>
      <c r="X621" s="2"/>
      <c r="Y621" s="2"/>
      <c r="Z621" s="9"/>
      <c r="AA621" s="2"/>
      <c r="AB621" s="2"/>
      <c r="AC621" s="2"/>
      <c r="AD621" s="2"/>
    </row>
    <row r="622" spans="1:30" ht="13.2" x14ac:dyDescent="0.25">
      <c r="A622" s="10"/>
      <c r="B622" s="1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9"/>
      <c r="N622" s="2"/>
      <c r="O622" s="9"/>
      <c r="P622" s="9"/>
      <c r="Q622" s="2"/>
      <c r="R622" s="9"/>
      <c r="S622" s="2"/>
      <c r="T622" s="9"/>
      <c r="U622" s="2"/>
      <c r="V622" s="2"/>
      <c r="W622" s="2"/>
      <c r="X622" s="2"/>
      <c r="Y622" s="2"/>
      <c r="Z622" s="9"/>
      <c r="AA622" s="2"/>
      <c r="AB622" s="2"/>
      <c r="AC622" s="2"/>
      <c r="AD622" s="2"/>
    </row>
    <row r="623" spans="1:30" ht="13.2" x14ac:dyDescent="0.25">
      <c r="A623" s="10"/>
      <c r="B623" s="1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9"/>
      <c r="N623" s="2"/>
      <c r="O623" s="9"/>
      <c r="P623" s="9"/>
      <c r="Q623" s="2"/>
      <c r="R623" s="9"/>
      <c r="S623" s="2"/>
      <c r="T623" s="9"/>
      <c r="U623" s="2"/>
      <c r="V623" s="2"/>
      <c r="W623" s="2"/>
      <c r="X623" s="2"/>
      <c r="Y623" s="2"/>
      <c r="Z623" s="9"/>
      <c r="AA623" s="2"/>
      <c r="AB623" s="2"/>
      <c r="AC623" s="2"/>
      <c r="AD623" s="2"/>
    </row>
    <row r="624" spans="1:30" ht="13.2" x14ac:dyDescent="0.25">
      <c r="A624" s="10"/>
      <c r="B624" s="1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9"/>
      <c r="N624" s="2"/>
      <c r="O624" s="9"/>
      <c r="P624" s="9"/>
      <c r="Q624" s="2"/>
      <c r="R624" s="9"/>
      <c r="S624" s="2"/>
      <c r="T624" s="9"/>
      <c r="U624" s="2"/>
      <c r="V624" s="2"/>
      <c r="W624" s="2"/>
      <c r="X624" s="2"/>
      <c r="Y624" s="2"/>
      <c r="Z624" s="9"/>
      <c r="AA624" s="2"/>
      <c r="AB624" s="2"/>
      <c r="AC624" s="2"/>
      <c r="AD624" s="2"/>
    </row>
    <row r="625" spans="1:30" ht="13.2" x14ac:dyDescent="0.25">
      <c r="A625" s="10"/>
      <c r="B625" s="1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9"/>
      <c r="N625" s="2"/>
      <c r="O625" s="9"/>
      <c r="P625" s="9"/>
      <c r="Q625" s="2"/>
      <c r="R625" s="9"/>
      <c r="S625" s="2"/>
      <c r="T625" s="9"/>
      <c r="U625" s="2"/>
      <c r="V625" s="2"/>
      <c r="W625" s="2"/>
      <c r="X625" s="2"/>
      <c r="Y625" s="2"/>
      <c r="Z625" s="9"/>
      <c r="AA625" s="2"/>
      <c r="AB625" s="2"/>
      <c r="AC625" s="2"/>
      <c r="AD625" s="2"/>
    </row>
    <row r="626" spans="1:30" ht="13.2" x14ac:dyDescent="0.25">
      <c r="A626" s="10"/>
      <c r="B626" s="1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9"/>
      <c r="N626" s="2"/>
      <c r="O626" s="9"/>
      <c r="P626" s="9"/>
      <c r="Q626" s="2"/>
      <c r="R626" s="9"/>
      <c r="S626" s="2"/>
      <c r="T626" s="9"/>
      <c r="U626" s="2"/>
      <c r="V626" s="9"/>
      <c r="W626" s="9"/>
      <c r="X626" s="2"/>
      <c r="Y626" s="2"/>
      <c r="Z626" s="2"/>
      <c r="AA626" s="2"/>
      <c r="AB626" s="2"/>
      <c r="AC626" s="2"/>
      <c r="AD626" s="2"/>
    </row>
    <row r="627" spans="1:30" ht="13.2" x14ac:dyDescent="0.25">
      <c r="A627" s="10"/>
      <c r="B627" s="10"/>
      <c r="C627" s="2"/>
      <c r="D627" s="2"/>
      <c r="E627" s="2"/>
      <c r="F627" s="16"/>
      <c r="G627" s="2"/>
      <c r="H627" s="2"/>
      <c r="I627" s="2"/>
      <c r="J627" s="2"/>
      <c r="K627" s="2"/>
      <c r="L627" s="2"/>
      <c r="M627" s="9"/>
      <c r="N627" s="2"/>
      <c r="O627" s="9"/>
      <c r="P627" s="9"/>
      <c r="Q627" s="2"/>
      <c r="R627" s="9"/>
      <c r="S627" s="2"/>
      <c r="T627" s="9"/>
      <c r="U627" s="2"/>
      <c r="V627" s="2"/>
      <c r="W627" s="2"/>
      <c r="X627" s="2"/>
      <c r="Y627" s="2"/>
      <c r="Z627" s="9"/>
      <c r="AA627" s="2"/>
      <c r="AB627" s="2"/>
      <c r="AC627" s="2"/>
      <c r="AD627" s="2"/>
    </row>
    <row r="628" spans="1:30" ht="13.2" x14ac:dyDescent="0.25">
      <c r="A628" s="10"/>
      <c r="B628" s="1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9"/>
      <c r="N628" s="2"/>
      <c r="O628" s="9"/>
      <c r="P628" s="9"/>
      <c r="Q628" s="2"/>
      <c r="R628" s="9"/>
      <c r="S628" s="2"/>
      <c r="T628" s="9"/>
      <c r="U628" s="2"/>
      <c r="V628" s="9"/>
      <c r="W628" s="9"/>
      <c r="X628" s="2"/>
      <c r="Y628" s="2"/>
      <c r="Z628" s="2"/>
      <c r="AA628" s="2"/>
      <c r="AB628" s="2"/>
      <c r="AC628" s="2"/>
      <c r="AD628" s="2"/>
    </row>
    <row r="629" spans="1:30" ht="13.2" x14ac:dyDescent="0.25">
      <c r="A629" s="10"/>
      <c r="B629" s="1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9"/>
      <c r="N629" s="2"/>
      <c r="O629" s="9"/>
      <c r="P629" s="9"/>
      <c r="Q629" s="2"/>
      <c r="R629" s="9"/>
      <c r="S629" s="2"/>
      <c r="T629" s="9"/>
      <c r="U629" s="2"/>
      <c r="V629" s="2"/>
      <c r="W629" s="2"/>
      <c r="X629" s="2"/>
      <c r="Y629" s="2"/>
      <c r="Z629" s="9"/>
      <c r="AA629" s="2"/>
      <c r="AB629" s="2"/>
      <c r="AC629" s="2"/>
      <c r="AD629" s="2"/>
    </row>
    <row r="630" spans="1:30" ht="13.2" x14ac:dyDescent="0.25">
      <c r="A630" s="10"/>
      <c r="B630" s="1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9"/>
      <c r="N630" s="2"/>
      <c r="O630" s="9"/>
      <c r="P630" s="9"/>
      <c r="Q630" s="2"/>
      <c r="R630" s="9"/>
      <c r="S630" s="2"/>
      <c r="T630" s="9"/>
      <c r="U630" s="2"/>
      <c r="V630" s="2"/>
      <c r="W630" s="2"/>
      <c r="X630" s="2"/>
      <c r="Y630" s="2"/>
      <c r="Z630" s="9"/>
      <c r="AA630" s="2"/>
      <c r="AB630" s="2"/>
      <c r="AC630" s="2"/>
      <c r="AD630" s="2"/>
    </row>
    <row r="631" spans="1:30" ht="13.2" x14ac:dyDescent="0.25">
      <c r="A631" s="10"/>
      <c r="B631" s="1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9"/>
      <c r="N631" s="2"/>
      <c r="O631" s="9"/>
      <c r="P631" s="9"/>
      <c r="Q631" s="2"/>
      <c r="R631" s="9"/>
      <c r="S631" s="2"/>
      <c r="T631" s="9"/>
      <c r="U631" s="2"/>
      <c r="V631" s="2"/>
      <c r="W631" s="2"/>
      <c r="X631" s="2"/>
      <c r="Y631" s="2"/>
      <c r="Z631" s="9"/>
      <c r="AA631" s="2"/>
      <c r="AB631" s="2"/>
      <c r="AC631" s="2"/>
      <c r="AD631" s="2"/>
    </row>
    <row r="632" spans="1:30" ht="13.2" x14ac:dyDescent="0.25">
      <c r="A632" s="10"/>
      <c r="B632" s="1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9"/>
      <c r="N632" s="2"/>
      <c r="O632" s="9"/>
      <c r="P632" s="9"/>
      <c r="Q632" s="2"/>
      <c r="R632" s="9"/>
      <c r="S632" s="2"/>
      <c r="T632" s="9"/>
      <c r="U632" s="2"/>
      <c r="V632" s="2"/>
      <c r="W632" s="2"/>
      <c r="X632" s="2"/>
      <c r="Y632" s="2"/>
      <c r="Z632" s="9"/>
      <c r="AA632" s="2"/>
      <c r="AB632" s="2"/>
      <c r="AC632" s="2"/>
      <c r="AD632" s="2"/>
    </row>
    <row r="633" spans="1:30" ht="13.2" x14ac:dyDescent="0.25">
      <c r="A633" s="10"/>
      <c r="B633" s="1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9"/>
      <c r="N633" s="2"/>
      <c r="O633" s="9"/>
      <c r="P633" s="9"/>
      <c r="Q633" s="2"/>
      <c r="R633" s="9"/>
      <c r="S633" s="2"/>
      <c r="T633" s="9"/>
      <c r="U633" s="2"/>
      <c r="V633" s="2"/>
      <c r="W633" s="2"/>
      <c r="X633" s="2"/>
      <c r="Y633" s="2"/>
      <c r="Z633" s="9"/>
      <c r="AA633" s="2"/>
      <c r="AB633" s="2"/>
      <c r="AC633" s="2"/>
      <c r="AD633" s="2"/>
    </row>
    <row r="634" spans="1:30" ht="13.2" x14ac:dyDescent="0.25">
      <c r="A634" s="10"/>
      <c r="B634" s="1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9"/>
      <c r="N634" s="2"/>
      <c r="O634" s="9"/>
      <c r="P634" s="9"/>
      <c r="Q634" s="2"/>
      <c r="R634" s="9"/>
      <c r="S634" s="2"/>
      <c r="T634" s="9"/>
      <c r="U634" s="2"/>
      <c r="V634" s="2"/>
      <c r="W634" s="2"/>
      <c r="X634" s="2"/>
      <c r="Y634" s="2"/>
      <c r="Z634" s="9"/>
      <c r="AA634" s="2"/>
      <c r="AB634" s="2"/>
      <c r="AC634" s="2"/>
      <c r="AD634" s="2"/>
    </row>
    <row r="635" spans="1:30" ht="13.2" x14ac:dyDescent="0.25">
      <c r="A635" s="10"/>
      <c r="B635" s="1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9"/>
      <c r="N635" s="2"/>
      <c r="O635" s="9"/>
      <c r="P635" s="9"/>
      <c r="Q635" s="2"/>
      <c r="R635" s="9"/>
      <c r="S635" s="2"/>
      <c r="T635" s="9"/>
      <c r="U635" s="2"/>
      <c r="V635" s="2"/>
      <c r="W635" s="2"/>
      <c r="X635" s="2"/>
      <c r="Y635" s="2"/>
      <c r="Z635" s="9"/>
      <c r="AA635" s="2"/>
      <c r="AB635" s="2"/>
      <c r="AC635" s="2"/>
      <c r="AD635" s="2"/>
    </row>
    <row r="636" spans="1:30" ht="13.2" x14ac:dyDescent="0.25">
      <c r="A636" s="10"/>
      <c r="B636" s="10"/>
      <c r="C636" s="2"/>
      <c r="D636" s="2"/>
      <c r="E636" s="2"/>
      <c r="F636" s="16"/>
      <c r="G636" s="13"/>
      <c r="H636" s="2"/>
      <c r="I636" s="2"/>
      <c r="J636" s="2"/>
      <c r="K636" s="2"/>
      <c r="L636" s="2"/>
      <c r="M636" s="9"/>
      <c r="N636" s="2"/>
      <c r="O636" s="9"/>
      <c r="P636" s="9"/>
      <c r="Q636" s="2"/>
      <c r="R636" s="9"/>
      <c r="S636" s="2"/>
      <c r="T636" s="9"/>
      <c r="U636" s="2"/>
      <c r="V636" s="2"/>
      <c r="W636" s="2"/>
      <c r="X636" s="2"/>
      <c r="Y636" s="2"/>
      <c r="Z636" s="9"/>
      <c r="AA636" s="2"/>
      <c r="AB636" s="2"/>
      <c r="AC636" s="2"/>
      <c r="AD636" s="2"/>
    </row>
    <row r="637" spans="1:30" ht="13.2" x14ac:dyDescent="0.25">
      <c r="A637" s="10"/>
      <c r="B637" s="1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9"/>
      <c r="N637" s="2"/>
      <c r="O637" s="9"/>
      <c r="P637" s="9"/>
      <c r="Q637" s="2"/>
      <c r="R637" s="9"/>
      <c r="S637" s="2"/>
      <c r="T637" s="9"/>
      <c r="U637" s="2"/>
      <c r="V637" s="2"/>
      <c r="W637" s="2"/>
      <c r="X637" s="2"/>
      <c r="Y637" s="2"/>
      <c r="Z637" s="9"/>
      <c r="AA637" s="2"/>
      <c r="AB637" s="2"/>
      <c r="AC637" s="2"/>
      <c r="AD637" s="2"/>
    </row>
    <row r="638" spans="1:30" ht="13.2" x14ac:dyDescent="0.25">
      <c r="A638" s="10"/>
      <c r="B638" s="1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9"/>
      <c r="N638" s="2"/>
      <c r="O638" s="9"/>
      <c r="P638" s="9"/>
      <c r="Q638" s="2"/>
      <c r="R638" s="9"/>
      <c r="S638" s="2"/>
      <c r="T638" s="9"/>
      <c r="U638" s="2"/>
      <c r="V638" s="9"/>
      <c r="W638" s="9"/>
      <c r="X638" s="2"/>
      <c r="Y638" s="2"/>
      <c r="Z638" s="2"/>
      <c r="AA638" s="2"/>
      <c r="AB638" s="2"/>
      <c r="AC638" s="2"/>
      <c r="AD638" s="2"/>
    </row>
    <row r="639" spans="1:30" ht="13.2" x14ac:dyDescent="0.25">
      <c r="A639" s="10"/>
      <c r="B639" s="10"/>
      <c r="C639" s="2"/>
      <c r="D639" s="2"/>
      <c r="E639" s="2"/>
      <c r="F639" s="2"/>
      <c r="G639" s="18"/>
      <c r="H639" s="2"/>
      <c r="I639" s="2"/>
      <c r="J639" s="2"/>
      <c r="K639" s="2"/>
      <c r="L639" s="2"/>
      <c r="M639" s="9"/>
      <c r="N639" s="2"/>
      <c r="O639" s="9"/>
      <c r="P639" s="9"/>
      <c r="Q639" s="2"/>
      <c r="R639" s="9"/>
      <c r="S639" s="2"/>
      <c r="T639" s="9"/>
      <c r="U639" s="2"/>
      <c r="V639" s="9"/>
      <c r="W639" s="9"/>
      <c r="X639" s="2"/>
      <c r="Y639" s="2"/>
      <c r="Z639" s="2"/>
      <c r="AA639" s="2"/>
      <c r="AB639" s="2"/>
      <c r="AC639" s="2"/>
      <c r="AD639" s="2"/>
    </row>
    <row r="640" spans="1:30" ht="13.2" x14ac:dyDescent="0.25">
      <c r="A640" s="10"/>
      <c r="B640" s="10"/>
      <c r="C640" s="2"/>
      <c r="D640" s="2"/>
      <c r="E640" s="2"/>
      <c r="F640" s="2"/>
      <c r="G640" s="19"/>
      <c r="H640" s="2"/>
      <c r="I640" s="2"/>
      <c r="J640" s="2"/>
      <c r="K640" s="2"/>
      <c r="L640" s="2"/>
      <c r="M640" s="9"/>
      <c r="N640" s="2"/>
      <c r="O640" s="9"/>
      <c r="P640" s="9"/>
      <c r="Q640" s="2"/>
      <c r="R640" s="9"/>
      <c r="S640" s="2"/>
      <c r="T640" s="9"/>
      <c r="U640" s="2"/>
      <c r="V640" s="9"/>
      <c r="W640" s="9"/>
      <c r="X640" s="2"/>
      <c r="Y640" s="2"/>
      <c r="Z640" s="2"/>
      <c r="AA640" s="2"/>
      <c r="AB640" s="2"/>
      <c r="AC640" s="2"/>
      <c r="AD640" s="2"/>
    </row>
    <row r="641" spans="1:30" ht="13.2" x14ac:dyDescent="0.25">
      <c r="A641" s="10"/>
      <c r="B641" s="10"/>
      <c r="C641" s="2"/>
      <c r="D641" s="2"/>
      <c r="E641" s="2"/>
      <c r="F641" s="16"/>
      <c r="G641" s="2"/>
      <c r="H641" s="2"/>
      <c r="I641" s="2"/>
      <c r="J641" s="2"/>
      <c r="K641" s="2"/>
      <c r="L641" s="2"/>
      <c r="M641" s="9"/>
      <c r="N641" s="2"/>
      <c r="O641" s="9"/>
      <c r="P641" s="9"/>
      <c r="Q641" s="2"/>
      <c r="R641" s="9"/>
      <c r="S641" s="2"/>
      <c r="T641" s="9"/>
      <c r="U641" s="2"/>
      <c r="V641" s="2"/>
      <c r="W641" s="2"/>
      <c r="X641" s="2"/>
      <c r="Y641" s="2"/>
      <c r="Z641" s="9"/>
      <c r="AA641" s="2"/>
      <c r="AB641" s="2"/>
      <c r="AC641" s="2"/>
      <c r="AD641" s="2"/>
    </row>
    <row r="642" spans="1:30" ht="13.2" x14ac:dyDescent="0.25">
      <c r="A642" s="10"/>
      <c r="B642" s="1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9"/>
      <c r="N642" s="2"/>
      <c r="O642" s="9"/>
      <c r="P642" s="9"/>
      <c r="Q642" s="2"/>
      <c r="R642" s="9"/>
      <c r="S642" s="2"/>
      <c r="T642" s="9"/>
      <c r="U642" s="2"/>
      <c r="V642" s="2"/>
      <c r="W642" s="2"/>
      <c r="X642" s="2"/>
      <c r="Y642" s="2"/>
      <c r="Z642" s="9"/>
      <c r="AA642" s="2"/>
      <c r="AB642" s="2"/>
      <c r="AC642" s="2"/>
      <c r="AD642" s="2"/>
    </row>
    <row r="643" spans="1:30" ht="13.2" x14ac:dyDescent="0.25">
      <c r="A643" s="10"/>
      <c r="B643" s="1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9"/>
      <c r="N643" s="2"/>
      <c r="O643" s="9"/>
      <c r="P643" s="9"/>
      <c r="Q643" s="2"/>
      <c r="R643" s="9"/>
      <c r="S643" s="2"/>
      <c r="T643" s="9"/>
      <c r="U643" s="2"/>
      <c r="V643" s="2"/>
      <c r="W643" s="2"/>
      <c r="X643" s="2"/>
      <c r="Y643" s="2"/>
      <c r="Z643" s="9"/>
      <c r="AA643" s="2"/>
      <c r="AB643" s="2"/>
      <c r="AC643" s="2"/>
      <c r="AD643" s="2"/>
    </row>
    <row r="644" spans="1:30" ht="13.2" x14ac:dyDescent="0.25">
      <c r="A644" s="10"/>
      <c r="B644" s="10"/>
      <c r="C644" s="2"/>
      <c r="D644" s="2"/>
      <c r="E644" s="2"/>
      <c r="F644" s="16"/>
      <c r="G644" s="2"/>
      <c r="H644" s="2"/>
      <c r="I644" s="2"/>
      <c r="J644" s="2"/>
      <c r="K644" s="2"/>
      <c r="L644" s="2"/>
      <c r="M644" s="9"/>
      <c r="N644" s="2"/>
      <c r="O644" s="9"/>
      <c r="P644" s="9"/>
      <c r="Q644" s="2"/>
      <c r="R644" s="9"/>
      <c r="S644" s="2"/>
      <c r="T644" s="9"/>
      <c r="U644" s="2"/>
      <c r="V644" s="2"/>
      <c r="W644" s="2"/>
      <c r="X644" s="2"/>
      <c r="Y644" s="2"/>
      <c r="Z644" s="9"/>
      <c r="AA644" s="2"/>
      <c r="AB644" s="2"/>
      <c r="AC644" s="2"/>
      <c r="AD644" s="2"/>
    </row>
    <row r="645" spans="1:30" ht="13.2" x14ac:dyDescent="0.25">
      <c r="A645" s="10"/>
      <c r="B645" s="10"/>
      <c r="C645" s="2"/>
      <c r="D645" s="2"/>
      <c r="E645" s="2"/>
      <c r="F645" s="16"/>
      <c r="G645" s="2"/>
      <c r="H645" s="2"/>
      <c r="I645" s="2"/>
      <c r="J645" s="2"/>
      <c r="K645" s="2"/>
      <c r="L645" s="2"/>
      <c r="M645" s="9"/>
      <c r="N645" s="2"/>
      <c r="O645" s="9"/>
      <c r="P645" s="9"/>
      <c r="Q645" s="9"/>
      <c r="R645" s="9"/>
      <c r="S645" s="2"/>
      <c r="T645" s="9"/>
      <c r="U645" s="2"/>
      <c r="V645" s="2"/>
      <c r="W645" s="2"/>
      <c r="X645" s="2"/>
      <c r="Y645" s="2"/>
      <c r="Z645" s="9"/>
      <c r="AA645" s="2"/>
      <c r="AB645" s="2"/>
      <c r="AC645" s="2"/>
      <c r="AD645" s="2"/>
    </row>
    <row r="646" spans="1:30" ht="13.2" x14ac:dyDescent="0.25">
      <c r="A646" s="10"/>
      <c r="B646" s="1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9"/>
      <c r="N646" s="2"/>
      <c r="O646" s="9"/>
      <c r="P646" s="9"/>
      <c r="Q646" s="2"/>
      <c r="R646" s="9"/>
      <c r="S646" s="2"/>
      <c r="T646" s="9"/>
      <c r="U646" s="2"/>
      <c r="V646" s="9"/>
      <c r="W646" s="9"/>
      <c r="X646" s="2"/>
      <c r="Y646" s="2"/>
      <c r="Z646" s="2"/>
      <c r="AA646" s="2"/>
      <c r="AB646" s="2"/>
      <c r="AC646" s="2"/>
      <c r="AD646" s="2"/>
    </row>
    <row r="647" spans="1:30" ht="13.2" x14ac:dyDescent="0.25">
      <c r="A647" s="10"/>
      <c r="B647" s="1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9"/>
      <c r="N647" s="2"/>
      <c r="O647" s="9"/>
      <c r="P647" s="9"/>
      <c r="Q647" s="2"/>
      <c r="R647" s="9"/>
      <c r="S647" s="2"/>
      <c r="T647" s="9"/>
      <c r="U647" s="2"/>
      <c r="V647" s="9"/>
      <c r="W647" s="9"/>
      <c r="X647" s="2"/>
      <c r="Y647" s="2"/>
      <c r="Z647" s="2"/>
      <c r="AA647" s="2"/>
      <c r="AB647" s="2"/>
      <c r="AC647" s="2"/>
      <c r="AD647" s="2"/>
    </row>
    <row r="648" spans="1:30" ht="13.2" x14ac:dyDescent="0.25">
      <c r="A648" s="10"/>
      <c r="B648" s="1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9"/>
      <c r="N648" s="2"/>
      <c r="O648" s="9"/>
      <c r="P648" s="9"/>
      <c r="Q648" s="2"/>
      <c r="R648" s="9"/>
      <c r="S648" s="2"/>
      <c r="T648" s="9"/>
      <c r="U648" s="2"/>
      <c r="V648" s="9"/>
      <c r="W648" s="9"/>
      <c r="X648" s="2"/>
      <c r="Y648" s="2"/>
      <c r="Z648" s="2"/>
      <c r="AA648" s="2"/>
      <c r="AB648" s="2"/>
      <c r="AC648" s="2"/>
      <c r="AD648" s="2"/>
    </row>
    <row r="649" spans="1:30" ht="13.2" x14ac:dyDescent="0.25">
      <c r="A649" s="10"/>
      <c r="B649" s="1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9"/>
      <c r="N649" s="2"/>
      <c r="O649" s="9"/>
      <c r="P649" s="9"/>
      <c r="Q649" s="2"/>
      <c r="R649" s="9"/>
      <c r="S649" s="2"/>
      <c r="T649" s="9"/>
      <c r="U649" s="2"/>
      <c r="V649" s="9"/>
      <c r="W649" s="9"/>
      <c r="X649" s="2"/>
      <c r="Y649" s="2"/>
      <c r="Z649" s="2"/>
      <c r="AA649" s="2"/>
      <c r="AB649" s="2"/>
      <c r="AC649" s="2"/>
      <c r="AD649" s="2"/>
    </row>
    <row r="650" spans="1:30" ht="13.2" x14ac:dyDescent="0.25">
      <c r="A650" s="10"/>
      <c r="B650" s="1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9"/>
      <c r="N650" s="2"/>
      <c r="O650" s="9"/>
      <c r="P650" s="9"/>
      <c r="Q650" s="2"/>
      <c r="R650" s="9"/>
      <c r="S650" s="2"/>
      <c r="T650" s="9"/>
      <c r="U650" s="2"/>
      <c r="V650" s="9"/>
      <c r="W650" s="9"/>
      <c r="X650" s="2"/>
      <c r="Y650" s="2"/>
      <c r="Z650" s="2"/>
      <c r="AA650" s="2"/>
      <c r="AB650" s="2"/>
      <c r="AC650" s="2"/>
      <c r="AD650" s="2"/>
    </row>
    <row r="651" spans="1:30" ht="13.2" x14ac:dyDescent="0.25">
      <c r="A651" s="10"/>
      <c r="B651" s="1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9"/>
      <c r="N651" s="2"/>
      <c r="O651" s="9"/>
      <c r="P651" s="9"/>
      <c r="Q651" s="2"/>
      <c r="R651" s="9"/>
      <c r="S651" s="2"/>
      <c r="T651" s="9"/>
      <c r="U651" s="2"/>
      <c r="V651" s="9"/>
      <c r="W651" s="9"/>
      <c r="X651" s="2"/>
      <c r="Y651" s="2"/>
      <c r="Z651" s="2"/>
      <c r="AA651" s="2"/>
      <c r="AB651" s="2"/>
      <c r="AC651" s="2"/>
      <c r="AD651" s="2"/>
    </row>
    <row r="652" spans="1:30" ht="13.2" x14ac:dyDescent="0.25">
      <c r="A652" s="10"/>
      <c r="B652" s="1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9"/>
      <c r="N652" s="2"/>
      <c r="O652" s="9"/>
      <c r="P652" s="9"/>
      <c r="Q652" s="2"/>
      <c r="R652" s="9"/>
      <c r="S652" s="2"/>
      <c r="T652" s="9"/>
      <c r="U652" s="2"/>
      <c r="V652" s="9"/>
      <c r="W652" s="9"/>
      <c r="X652" s="2"/>
      <c r="Y652" s="2"/>
      <c r="Z652" s="2"/>
      <c r="AA652" s="2"/>
      <c r="AB652" s="2"/>
      <c r="AC652" s="2"/>
      <c r="AD652" s="2"/>
    </row>
    <row r="653" spans="1:30" ht="13.2" x14ac:dyDescent="0.25">
      <c r="A653" s="10"/>
      <c r="B653" s="1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9"/>
      <c r="N653" s="2"/>
      <c r="O653" s="9"/>
      <c r="P653" s="9"/>
      <c r="Q653" s="2"/>
      <c r="R653" s="9"/>
      <c r="S653" s="2"/>
      <c r="T653" s="9"/>
      <c r="U653" s="2"/>
      <c r="V653" s="9"/>
      <c r="W653" s="9"/>
      <c r="X653" s="2"/>
      <c r="Y653" s="2"/>
      <c r="Z653" s="2"/>
      <c r="AA653" s="2"/>
      <c r="AB653" s="2"/>
      <c r="AC653" s="2"/>
      <c r="AD653" s="2"/>
    </row>
    <row r="654" spans="1:30" ht="13.2" x14ac:dyDescent="0.25">
      <c r="A654" s="10"/>
      <c r="B654" s="1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9"/>
      <c r="N654" s="2"/>
      <c r="O654" s="9"/>
      <c r="P654" s="9"/>
      <c r="Q654" s="2"/>
      <c r="R654" s="9"/>
      <c r="S654" s="2"/>
      <c r="T654" s="9"/>
      <c r="U654" s="2"/>
      <c r="V654" s="9"/>
      <c r="W654" s="9"/>
      <c r="X654" s="2"/>
      <c r="Y654" s="2"/>
      <c r="Z654" s="2"/>
      <c r="AA654" s="2"/>
      <c r="AB654" s="2"/>
      <c r="AC654" s="2"/>
      <c r="AD654" s="2"/>
    </row>
    <row r="655" spans="1:30" ht="13.2" x14ac:dyDescent="0.25">
      <c r="A655" s="10"/>
      <c r="B655" s="1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9"/>
      <c r="N655" s="2"/>
      <c r="O655" s="9"/>
      <c r="P655" s="9"/>
      <c r="Q655" s="2"/>
      <c r="R655" s="9"/>
      <c r="S655" s="2"/>
      <c r="T655" s="9"/>
      <c r="U655" s="2"/>
      <c r="V655" s="2"/>
      <c r="W655" s="2"/>
      <c r="X655" s="2"/>
      <c r="Y655" s="2"/>
      <c r="Z655" s="9"/>
      <c r="AA655" s="2"/>
      <c r="AB655" s="2"/>
      <c r="AC655" s="2"/>
      <c r="AD655" s="2"/>
    </row>
    <row r="656" spans="1:30" ht="13.2" x14ac:dyDescent="0.25">
      <c r="A656" s="10"/>
      <c r="B656" s="1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9"/>
      <c r="N656" s="2"/>
      <c r="O656" s="9"/>
      <c r="P656" s="9"/>
      <c r="Q656" s="2"/>
      <c r="R656" s="9"/>
      <c r="S656" s="2"/>
      <c r="T656" s="9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3.2" x14ac:dyDescent="0.25">
      <c r="A657" s="10"/>
      <c r="B657" s="1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9"/>
      <c r="N657" s="2"/>
      <c r="O657" s="9"/>
      <c r="P657" s="9"/>
      <c r="Q657" s="2"/>
      <c r="R657" s="9"/>
      <c r="S657" s="2"/>
      <c r="T657" s="9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3.2" x14ac:dyDescent="0.25">
      <c r="A658" s="10"/>
      <c r="B658" s="10"/>
      <c r="C658" s="2"/>
      <c r="D658" s="2"/>
      <c r="E658" s="2"/>
      <c r="F658" s="16"/>
      <c r="G658" s="2"/>
      <c r="H658" s="2"/>
      <c r="I658" s="2"/>
      <c r="J658" s="2"/>
      <c r="K658" s="2"/>
      <c r="L658" s="2"/>
      <c r="M658" s="9"/>
      <c r="N658" s="2"/>
      <c r="O658" s="9"/>
      <c r="P658" s="9"/>
      <c r="Q658" s="2"/>
      <c r="R658" s="9"/>
      <c r="S658" s="2"/>
      <c r="T658" s="9"/>
      <c r="U658" s="2"/>
      <c r="V658" s="2"/>
      <c r="W658" s="2"/>
      <c r="X658" s="2"/>
      <c r="Y658" s="2"/>
      <c r="Z658" s="9"/>
      <c r="AA658" s="2"/>
      <c r="AB658" s="2"/>
      <c r="AC658" s="2"/>
      <c r="AD658" s="2"/>
    </row>
    <row r="659" spans="1:30" ht="13.2" x14ac:dyDescent="0.25">
      <c r="A659" s="10"/>
      <c r="B659" s="1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9"/>
      <c r="N659" s="2"/>
      <c r="O659" s="9"/>
      <c r="P659" s="9"/>
      <c r="Q659" s="2"/>
      <c r="R659" s="9"/>
      <c r="S659" s="2"/>
      <c r="T659" s="9"/>
      <c r="U659" s="2"/>
      <c r="V659" s="2"/>
      <c r="W659" s="2"/>
      <c r="X659" s="2"/>
      <c r="Y659" s="2"/>
      <c r="Z659" s="9"/>
      <c r="AA659" s="2"/>
      <c r="AB659" s="2"/>
      <c r="AC659" s="2"/>
      <c r="AD659" s="2"/>
    </row>
    <row r="660" spans="1:30" ht="13.2" x14ac:dyDescent="0.25">
      <c r="A660" s="10"/>
      <c r="B660" s="1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9"/>
      <c r="N660" s="2"/>
      <c r="O660" s="9"/>
      <c r="P660" s="9"/>
      <c r="Q660" s="2"/>
      <c r="R660" s="9"/>
      <c r="S660" s="2"/>
      <c r="T660" s="9"/>
      <c r="U660" s="2"/>
      <c r="V660" s="2"/>
      <c r="W660" s="2"/>
      <c r="X660" s="2"/>
      <c r="Y660" s="2"/>
      <c r="Z660" s="9"/>
      <c r="AA660" s="2"/>
      <c r="AB660" s="2"/>
      <c r="AC660" s="2"/>
      <c r="AD660" s="2"/>
    </row>
    <row r="661" spans="1:30" ht="13.2" x14ac:dyDescent="0.25">
      <c r="A661" s="10"/>
      <c r="B661" s="1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9"/>
      <c r="N661" s="2"/>
      <c r="O661" s="9"/>
      <c r="P661" s="9"/>
      <c r="Q661" s="2"/>
      <c r="R661" s="9"/>
      <c r="S661" s="2"/>
      <c r="T661" s="9"/>
      <c r="U661" s="2"/>
      <c r="V661" s="2"/>
      <c r="W661" s="2"/>
      <c r="X661" s="2"/>
      <c r="Y661" s="2"/>
      <c r="Z661" s="9"/>
      <c r="AA661" s="2"/>
      <c r="AB661" s="2"/>
      <c r="AC661" s="2"/>
      <c r="AD661" s="2"/>
    </row>
    <row r="662" spans="1:30" ht="13.2" x14ac:dyDescent="0.25">
      <c r="A662" s="10"/>
      <c r="B662" s="1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9"/>
      <c r="N662" s="2"/>
      <c r="O662" s="9"/>
      <c r="P662" s="9"/>
      <c r="Q662" s="2"/>
      <c r="R662" s="9"/>
      <c r="S662" s="2"/>
      <c r="T662" s="9"/>
      <c r="U662" s="2"/>
      <c r="V662" s="2"/>
      <c r="W662" s="2"/>
      <c r="X662" s="2"/>
      <c r="Y662" s="2"/>
      <c r="Z662" s="9"/>
      <c r="AA662" s="2"/>
      <c r="AB662" s="2"/>
      <c r="AC662" s="2"/>
      <c r="AD662" s="2"/>
    </row>
    <row r="663" spans="1:30" ht="13.2" x14ac:dyDescent="0.25">
      <c r="A663" s="10"/>
      <c r="B663" s="1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9"/>
      <c r="N663" s="2"/>
      <c r="O663" s="9"/>
      <c r="P663" s="9"/>
      <c r="Q663" s="2"/>
      <c r="R663" s="9"/>
      <c r="S663" s="2"/>
      <c r="T663" s="9"/>
      <c r="U663" s="2"/>
      <c r="V663" s="2"/>
      <c r="W663" s="2"/>
      <c r="X663" s="2"/>
      <c r="Y663" s="2"/>
      <c r="Z663" s="9"/>
      <c r="AA663" s="2"/>
      <c r="AB663" s="2"/>
      <c r="AC663" s="2"/>
      <c r="AD663" s="2"/>
    </row>
    <row r="664" spans="1:30" ht="13.2" x14ac:dyDescent="0.25">
      <c r="A664" s="10"/>
      <c r="B664" s="1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9"/>
      <c r="N664" s="2"/>
      <c r="O664" s="9"/>
      <c r="P664" s="9"/>
      <c r="Q664" s="2"/>
      <c r="R664" s="9"/>
      <c r="S664" s="2"/>
      <c r="T664" s="9"/>
      <c r="U664" s="2"/>
      <c r="V664" s="2"/>
      <c r="W664" s="2"/>
      <c r="X664" s="2"/>
      <c r="Y664" s="2"/>
      <c r="Z664" s="9"/>
      <c r="AA664" s="2"/>
      <c r="AB664" s="2"/>
      <c r="AC664" s="2"/>
      <c r="AD664" s="2"/>
    </row>
    <row r="665" spans="1:30" ht="13.2" x14ac:dyDescent="0.25">
      <c r="A665" s="10"/>
      <c r="B665" s="1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9"/>
      <c r="N665" s="2"/>
      <c r="O665" s="9"/>
      <c r="P665" s="9"/>
      <c r="Q665" s="2"/>
      <c r="R665" s="9"/>
      <c r="S665" s="2"/>
      <c r="T665" s="9"/>
      <c r="U665" s="2"/>
      <c r="V665" s="9"/>
      <c r="W665" s="9"/>
      <c r="X665" s="2"/>
      <c r="Y665" s="2"/>
      <c r="Z665" s="2"/>
      <c r="AA665" s="2"/>
      <c r="AB665" s="2"/>
      <c r="AC665" s="2"/>
      <c r="AD665" s="2"/>
    </row>
    <row r="666" spans="1:30" ht="13.2" x14ac:dyDescent="0.25">
      <c r="A666" s="10"/>
      <c r="B666" s="1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9"/>
      <c r="N666" s="2"/>
      <c r="O666" s="9"/>
      <c r="P666" s="9"/>
      <c r="Q666" s="2"/>
      <c r="R666" s="9"/>
      <c r="S666" s="2"/>
      <c r="T666" s="9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3.2" x14ac:dyDescent="0.25">
      <c r="A667" s="10"/>
      <c r="B667" s="10"/>
      <c r="C667" s="2"/>
      <c r="D667" s="2"/>
      <c r="E667" s="2"/>
      <c r="F667" s="2"/>
      <c r="G667" s="9"/>
      <c r="H667" s="2"/>
      <c r="I667" s="2"/>
      <c r="J667" s="2"/>
      <c r="K667" s="2"/>
      <c r="L667" s="2"/>
      <c r="M667" s="9"/>
      <c r="N667" s="2"/>
      <c r="O667" s="9"/>
      <c r="P667" s="9"/>
      <c r="Q667" s="2"/>
      <c r="R667" s="9"/>
      <c r="S667" s="2"/>
      <c r="T667" s="9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3.2" x14ac:dyDescent="0.25">
      <c r="A668" s="10"/>
      <c r="B668" s="10"/>
      <c r="C668" s="2"/>
      <c r="D668" s="2"/>
      <c r="E668" s="2"/>
      <c r="F668" s="2"/>
      <c r="G668" s="9"/>
      <c r="H668" s="2"/>
      <c r="I668" s="2"/>
      <c r="J668" s="2"/>
      <c r="K668" s="2"/>
      <c r="L668" s="2"/>
      <c r="M668" s="9"/>
      <c r="N668" s="2"/>
      <c r="O668" s="9"/>
      <c r="P668" s="9"/>
      <c r="Q668" s="2"/>
      <c r="R668" s="9"/>
      <c r="S668" s="2"/>
      <c r="T668" s="9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3.2" x14ac:dyDescent="0.25">
      <c r="A669" s="10"/>
      <c r="B669" s="10"/>
      <c r="C669" s="2"/>
      <c r="D669" s="2"/>
      <c r="E669" s="2"/>
      <c r="F669" s="2"/>
      <c r="G669" s="9"/>
      <c r="H669" s="2"/>
      <c r="I669" s="2"/>
      <c r="J669" s="2"/>
      <c r="K669" s="2"/>
      <c r="L669" s="2"/>
      <c r="M669" s="9"/>
      <c r="N669" s="2"/>
      <c r="O669" s="9"/>
      <c r="P669" s="9"/>
      <c r="Q669" s="2"/>
      <c r="R669" s="9"/>
      <c r="S669" s="2"/>
      <c r="T669" s="9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3.2" x14ac:dyDescent="0.25">
      <c r="A670" s="10"/>
      <c r="B670" s="10"/>
      <c r="C670" s="2"/>
      <c r="D670" s="2"/>
      <c r="E670" s="2"/>
      <c r="F670" s="2"/>
      <c r="G670" s="9"/>
      <c r="H670" s="2"/>
      <c r="I670" s="2"/>
      <c r="J670" s="2"/>
      <c r="K670" s="2"/>
      <c r="L670" s="2"/>
      <c r="M670" s="9"/>
      <c r="N670" s="2"/>
      <c r="O670" s="9"/>
      <c r="P670" s="9"/>
      <c r="Q670" s="2"/>
      <c r="R670" s="9"/>
      <c r="S670" s="2"/>
      <c r="T670" s="9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3.2" x14ac:dyDescent="0.25">
      <c r="A671" s="10"/>
      <c r="B671" s="10"/>
      <c r="C671" s="2"/>
      <c r="D671" s="2"/>
      <c r="E671" s="2"/>
      <c r="F671" s="2"/>
      <c r="G671" s="9"/>
      <c r="H671" s="2"/>
      <c r="I671" s="2"/>
      <c r="J671" s="2"/>
      <c r="K671" s="2"/>
      <c r="L671" s="2"/>
      <c r="M671" s="9"/>
      <c r="N671" s="2"/>
      <c r="O671" s="9"/>
      <c r="P671" s="9"/>
      <c r="Q671" s="2"/>
      <c r="R671" s="9"/>
      <c r="S671" s="2"/>
      <c r="T671" s="9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3.2" x14ac:dyDescent="0.25">
      <c r="A672" s="10"/>
      <c r="B672" s="1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9"/>
      <c r="N672" s="2"/>
      <c r="O672" s="9"/>
      <c r="P672" s="9"/>
      <c r="Q672" s="2"/>
      <c r="R672" s="9"/>
      <c r="S672" s="2"/>
      <c r="T672" s="9"/>
      <c r="U672" s="2"/>
      <c r="V672" s="2"/>
      <c r="W672" s="2"/>
      <c r="X672" s="2"/>
      <c r="Y672" s="2"/>
      <c r="Z672" s="9"/>
      <c r="AA672" s="2"/>
      <c r="AB672" s="2"/>
      <c r="AC672" s="2"/>
      <c r="AD672" s="2"/>
    </row>
    <row r="673" spans="1:30" ht="13.2" x14ac:dyDescent="0.25">
      <c r="A673" s="10"/>
      <c r="B673" s="1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9"/>
      <c r="N673" s="2"/>
      <c r="O673" s="9"/>
      <c r="P673" s="9"/>
      <c r="Q673" s="2"/>
      <c r="R673" s="9"/>
      <c r="S673" s="2"/>
      <c r="T673" s="9"/>
      <c r="U673" s="2"/>
      <c r="V673" s="2"/>
      <c r="W673" s="2"/>
      <c r="X673" s="2"/>
      <c r="Y673" s="2"/>
      <c r="Z673" s="9"/>
      <c r="AA673" s="2"/>
      <c r="AB673" s="2"/>
      <c r="AC673" s="2"/>
      <c r="AD673" s="2"/>
    </row>
    <row r="674" spans="1:30" ht="13.2" x14ac:dyDescent="0.25">
      <c r="A674" s="10"/>
      <c r="B674" s="1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9"/>
      <c r="N674" s="2"/>
      <c r="O674" s="9"/>
      <c r="P674" s="9"/>
      <c r="Q674" s="2"/>
      <c r="R674" s="9"/>
      <c r="S674" s="2"/>
      <c r="T674" s="9"/>
      <c r="U674" s="2"/>
      <c r="V674" s="2"/>
      <c r="W674" s="2"/>
      <c r="X674" s="2"/>
      <c r="Y674" s="2"/>
      <c r="Z674" s="9"/>
      <c r="AA674" s="2"/>
      <c r="AB674" s="2"/>
      <c r="AC674" s="2"/>
      <c r="AD674" s="2"/>
    </row>
    <row r="675" spans="1:30" ht="13.2" x14ac:dyDescent="0.25">
      <c r="A675" s="10"/>
      <c r="B675" s="10"/>
      <c r="C675" s="2"/>
      <c r="D675" s="2"/>
      <c r="E675" s="2"/>
      <c r="F675" s="16"/>
      <c r="G675" s="2"/>
      <c r="H675" s="2"/>
      <c r="I675" s="2"/>
      <c r="J675" s="2"/>
      <c r="K675" s="2"/>
      <c r="L675" s="2"/>
      <c r="M675" s="9"/>
      <c r="N675" s="2"/>
      <c r="O675" s="9"/>
      <c r="P675" s="9"/>
      <c r="Q675" s="2"/>
      <c r="R675" s="9"/>
      <c r="S675" s="2"/>
      <c r="T675" s="9"/>
      <c r="U675" s="2"/>
      <c r="V675" s="2"/>
      <c r="W675" s="2"/>
      <c r="X675" s="2"/>
      <c r="Y675" s="2"/>
      <c r="Z675" s="9"/>
      <c r="AA675" s="2"/>
      <c r="AB675" s="2"/>
      <c r="AC675" s="2"/>
      <c r="AD675" s="2"/>
    </row>
    <row r="676" spans="1:30" ht="13.2" x14ac:dyDescent="0.25">
      <c r="A676" s="10"/>
      <c r="B676" s="1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9"/>
      <c r="N676" s="2"/>
      <c r="O676" s="9"/>
      <c r="P676" s="9"/>
      <c r="Q676" s="2"/>
      <c r="R676" s="9"/>
      <c r="S676" s="2"/>
      <c r="T676" s="9"/>
      <c r="U676" s="2"/>
      <c r="V676" s="9"/>
      <c r="W676" s="9"/>
      <c r="X676" s="2"/>
      <c r="Y676" s="2"/>
      <c r="Z676" s="2"/>
      <c r="AA676" s="2"/>
      <c r="AB676" s="2"/>
      <c r="AC676" s="2"/>
      <c r="AD676" s="2"/>
    </row>
    <row r="677" spans="1:30" ht="13.2" x14ac:dyDescent="0.25">
      <c r="A677" s="10"/>
      <c r="B677" s="1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9"/>
      <c r="N677" s="2"/>
      <c r="O677" s="9"/>
      <c r="P677" s="9"/>
      <c r="Q677" s="2"/>
      <c r="R677" s="9"/>
      <c r="S677" s="2"/>
      <c r="T677" s="9"/>
      <c r="U677" s="2"/>
      <c r="V677" s="2"/>
      <c r="W677" s="2"/>
      <c r="X677" s="2"/>
      <c r="Y677" s="2"/>
      <c r="Z677" s="9"/>
      <c r="AA677" s="2"/>
      <c r="AB677" s="2"/>
      <c r="AC677" s="2"/>
      <c r="AD677" s="2"/>
    </row>
    <row r="678" spans="1:30" ht="13.2" x14ac:dyDescent="0.25">
      <c r="A678" s="10"/>
      <c r="B678" s="1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9"/>
      <c r="N678" s="2"/>
      <c r="O678" s="9"/>
      <c r="P678" s="9"/>
      <c r="Q678" s="2"/>
      <c r="R678" s="9"/>
      <c r="S678" s="2"/>
      <c r="T678" s="9"/>
      <c r="U678" s="2"/>
      <c r="V678" s="2"/>
      <c r="W678" s="2"/>
      <c r="X678" s="2"/>
      <c r="Y678" s="2"/>
      <c r="Z678" s="9"/>
      <c r="AA678" s="2"/>
      <c r="AB678" s="2"/>
      <c r="AC678" s="2"/>
      <c r="AD678" s="2"/>
    </row>
    <row r="679" spans="1:30" ht="13.2" x14ac:dyDescent="0.25">
      <c r="A679" s="10"/>
      <c r="B679" s="10"/>
      <c r="C679" s="2"/>
      <c r="D679" s="2"/>
      <c r="E679" s="2"/>
      <c r="F679" s="16"/>
      <c r="G679" s="2"/>
      <c r="H679" s="2"/>
      <c r="I679" s="2"/>
      <c r="J679" s="2"/>
      <c r="K679" s="2"/>
      <c r="L679" s="2"/>
      <c r="M679" s="9"/>
      <c r="N679" s="2"/>
      <c r="O679" s="9"/>
      <c r="P679" s="9"/>
      <c r="Q679" s="2"/>
      <c r="R679" s="9"/>
      <c r="S679" s="2"/>
      <c r="T679" s="9"/>
      <c r="U679" s="2"/>
      <c r="V679" s="2"/>
      <c r="W679" s="2"/>
      <c r="X679" s="2"/>
      <c r="Y679" s="2"/>
      <c r="Z679" s="9"/>
      <c r="AA679" s="2"/>
      <c r="AB679" s="2"/>
      <c r="AC679" s="2"/>
      <c r="AD679" s="2"/>
    </row>
    <row r="680" spans="1:30" ht="13.2" x14ac:dyDescent="0.25">
      <c r="A680" s="10"/>
      <c r="B680" s="1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9"/>
      <c r="N680" s="2"/>
      <c r="O680" s="9"/>
      <c r="P680" s="9"/>
      <c r="Q680" s="2"/>
      <c r="R680" s="9"/>
      <c r="S680" s="2"/>
      <c r="T680" s="9"/>
      <c r="U680" s="2"/>
      <c r="V680" s="2"/>
      <c r="W680" s="2"/>
      <c r="X680" s="2"/>
      <c r="Y680" s="2"/>
      <c r="Z680" s="9"/>
      <c r="AA680" s="2"/>
      <c r="AB680" s="2"/>
      <c r="AC680" s="2"/>
      <c r="AD680" s="2"/>
    </row>
    <row r="681" spans="1:30" ht="13.2" x14ac:dyDescent="0.25">
      <c r="A681" s="10"/>
      <c r="B681" s="1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9"/>
      <c r="N681" s="2"/>
      <c r="O681" s="9"/>
      <c r="P681" s="9"/>
      <c r="Q681" s="2"/>
      <c r="R681" s="9"/>
      <c r="S681" s="2"/>
      <c r="T681" s="9"/>
      <c r="U681" s="2"/>
      <c r="V681" s="2"/>
      <c r="W681" s="2"/>
      <c r="X681" s="2"/>
      <c r="Y681" s="2"/>
      <c r="Z681" s="9"/>
      <c r="AA681" s="2"/>
      <c r="AB681" s="2"/>
      <c r="AC681" s="2"/>
      <c r="AD681" s="2"/>
    </row>
    <row r="682" spans="1:30" ht="13.2" x14ac:dyDescent="0.25">
      <c r="A682" s="10"/>
      <c r="B682" s="1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9"/>
      <c r="N682" s="2"/>
      <c r="O682" s="9"/>
      <c r="P682" s="9"/>
      <c r="Q682" s="2"/>
      <c r="R682" s="9"/>
      <c r="S682" s="2"/>
      <c r="T682" s="9"/>
      <c r="U682" s="2"/>
      <c r="V682" s="2"/>
      <c r="W682" s="2"/>
      <c r="X682" s="2"/>
      <c r="Y682" s="2"/>
      <c r="Z682" s="9"/>
      <c r="AA682" s="2"/>
      <c r="AB682" s="2"/>
      <c r="AC682" s="2"/>
      <c r="AD682" s="2"/>
    </row>
    <row r="683" spans="1:30" ht="13.2" x14ac:dyDescent="0.25">
      <c r="A683" s="10"/>
      <c r="B683" s="10"/>
      <c r="C683" s="2"/>
      <c r="D683" s="2"/>
      <c r="E683" s="2"/>
      <c r="F683" s="16"/>
      <c r="G683" s="2"/>
      <c r="H683" s="2"/>
      <c r="I683" s="2"/>
      <c r="J683" s="2"/>
      <c r="K683" s="2"/>
      <c r="L683" s="2"/>
      <c r="M683" s="9"/>
      <c r="N683" s="2"/>
      <c r="O683" s="9"/>
      <c r="P683" s="9"/>
      <c r="Q683" s="2"/>
      <c r="R683" s="9"/>
      <c r="S683" s="2"/>
      <c r="T683" s="9"/>
      <c r="U683" s="2"/>
      <c r="V683" s="2"/>
      <c r="W683" s="2"/>
      <c r="X683" s="2"/>
      <c r="Y683" s="2"/>
      <c r="Z683" s="9"/>
      <c r="AA683" s="2"/>
      <c r="AB683" s="2"/>
      <c r="AC683" s="2"/>
      <c r="AD683" s="2"/>
    </row>
    <row r="684" spans="1:30" ht="13.2" x14ac:dyDescent="0.25">
      <c r="A684" s="10"/>
      <c r="B684" s="10"/>
      <c r="C684" s="2"/>
      <c r="D684" s="2"/>
      <c r="E684" s="2"/>
      <c r="F684" s="16"/>
      <c r="G684" s="2"/>
      <c r="H684" s="2"/>
      <c r="I684" s="2"/>
      <c r="J684" s="2"/>
      <c r="K684" s="2"/>
      <c r="L684" s="2"/>
      <c r="M684" s="9"/>
      <c r="N684" s="2"/>
      <c r="O684" s="9"/>
      <c r="P684" s="9"/>
      <c r="Q684" s="2"/>
      <c r="R684" s="9"/>
      <c r="S684" s="2"/>
      <c r="T684" s="9"/>
      <c r="U684" s="2"/>
      <c r="V684" s="2"/>
      <c r="W684" s="2"/>
      <c r="X684" s="2"/>
      <c r="Y684" s="2"/>
      <c r="Z684" s="9"/>
      <c r="AA684" s="2"/>
      <c r="AB684" s="2"/>
      <c r="AC684" s="2"/>
      <c r="AD684" s="2"/>
    </row>
    <row r="685" spans="1:30" ht="13.2" x14ac:dyDescent="0.25">
      <c r="A685" s="10"/>
      <c r="B685" s="1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9"/>
      <c r="N685" s="2"/>
      <c r="O685" s="9"/>
      <c r="P685" s="9"/>
      <c r="Q685" s="2"/>
      <c r="R685" s="9"/>
      <c r="S685" s="2"/>
      <c r="T685" s="9"/>
      <c r="U685" s="2"/>
      <c r="V685" s="2"/>
      <c r="W685" s="2"/>
      <c r="X685" s="2"/>
      <c r="Y685" s="2"/>
      <c r="Z685" s="9"/>
      <c r="AA685" s="2"/>
      <c r="AB685" s="2"/>
      <c r="AC685" s="2"/>
      <c r="AD685" s="2"/>
    </row>
    <row r="686" spans="1:30" ht="13.2" x14ac:dyDescent="0.25">
      <c r="A686" s="10"/>
      <c r="B686" s="1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9"/>
      <c r="N686" s="2"/>
      <c r="O686" s="9"/>
      <c r="P686" s="9"/>
      <c r="Q686" s="2"/>
      <c r="R686" s="9"/>
      <c r="S686" s="2"/>
      <c r="T686" s="9"/>
      <c r="U686" s="2"/>
      <c r="V686" s="2"/>
      <c r="W686" s="2"/>
      <c r="X686" s="2"/>
      <c r="Y686" s="2"/>
      <c r="Z686" s="9"/>
      <c r="AA686" s="2"/>
      <c r="AB686" s="2"/>
      <c r="AC686" s="2"/>
      <c r="AD686" s="2"/>
    </row>
    <row r="687" spans="1:30" ht="13.2" x14ac:dyDescent="0.25">
      <c r="A687" s="10"/>
      <c r="B687" s="1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9"/>
      <c r="N687" s="2"/>
      <c r="O687" s="9"/>
      <c r="P687" s="9"/>
      <c r="Q687" s="2"/>
      <c r="R687" s="9"/>
      <c r="S687" s="2"/>
      <c r="T687" s="9"/>
      <c r="U687" s="2"/>
      <c r="V687" s="2"/>
      <c r="W687" s="2"/>
      <c r="X687" s="2"/>
      <c r="Y687" s="2"/>
      <c r="Z687" s="9"/>
      <c r="AA687" s="2"/>
      <c r="AB687" s="2"/>
      <c r="AC687" s="2"/>
      <c r="AD687" s="2"/>
    </row>
    <row r="688" spans="1:30" ht="13.2" x14ac:dyDescent="0.25">
      <c r="A688" s="10"/>
      <c r="B688" s="1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9"/>
      <c r="N688" s="2"/>
      <c r="O688" s="9"/>
      <c r="P688" s="9"/>
      <c r="Q688" s="2"/>
      <c r="R688" s="9"/>
      <c r="S688" s="2"/>
      <c r="T688" s="9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3.2" x14ac:dyDescent="0.25">
      <c r="A689" s="10"/>
      <c r="B689" s="10"/>
      <c r="C689" s="2"/>
      <c r="D689" s="2"/>
      <c r="E689" s="2"/>
      <c r="F689" s="2"/>
      <c r="G689" s="9"/>
      <c r="H689" s="2"/>
      <c r="I689" s="2"/>
      <c r="J689" s="2"/>
      <c r="K689" s="2"/>
      <c r="L689" s="2"/>
      <c r="M689" s="9"/>
      <c r="N689" s="2"/>
      <c r="O689" s="9"/>
      <c r="P689" s="9"/>
      <c r="Q689" s="2"/>
      <c r="R689" s="9"/>
      <c r="S689" s="2"/>
      <c r="T689" s="9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3.2" x14ac:dyDescent="0.25">
      <c r="A690" s="10"/>
      <c r="B690" s="1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9"/>
      <c r="N690" s="2"/>
      <c r="O690" s="9"/>
      <c r="P690" s="9"/>
      <c r="Q690" s="2"/>
      <c r="R690" s="9"/>
      <c r="S690" s="2"/>
      <c r="T690" s="9"/>
      <c r="U690" s="2"/>
      <c r="V690" s="2"/>
      <c r="W690" s="2"/>
      <c r="X690" s="2"/>
      <c r="Y690" s="2"/>
      <c r="Z690" s="9"/>
      <c r="AA690" s="2"/>
      <c r="AB690" s="2"/>
      <c r="AC690" s="2"/>
      <c r="AD690" s="2"/>
    </row>
    <row r="691" spans="1:30" ht="13.2" x14ac:dyDescent="0.25">
      <c r="A691" s="10"/>
      <c r="B691" s="1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9"/>
      <c r="N691" s="2"/>
      <c r="O691" s="9"/>
      <c r="P691" s="9"/>
      <c r="Q691" s="2"/>
      <c r="R691" s="9"/>
      <c r="S691" s="2"/>
      <c r="T691" s="9"/>
      <c r="U691" s="2"/>
      <c r="V691" s="2"/>
      <c r="W691" s="2"/>
      <c r="X691" s="2"/>
      <c r="Y691" s="2"/>
      <c r="Z691" s="9"/>
      <c r="AA691" s="2"/>
      <c r="AB691" s="2"/>
      <c r="AC691" s="2"/>
      <c r="AD691" s="2"/>
    </row>
    <row r="692" spans="1:30" ht="13.2" x14ac:dyDescent="0.25">
      <c r="A692" s="10"/>
      <c r="B692" s="10"/>
      <c r="C692" s="2"/>
      <c r="D692" s="2"/>
      <c r="E692" s="2"/>
      <c r="F692" s="16"/>
      <c r="G692" s="2"/>
      <c r="H692" s="2"/>
      <c r="I692" s="2"/>
      <c r="J692" s="2"/>
      <c r="K692" s="2"/>
      <c r="L692" s="2"/>
      <c r="M692" s="9"/>
      <c r="N692" s="2"/>
      <c r="O692" s="9"/>
      <c r="P692" s="9"/>
      <c r="Q692" s="2"/>
      <c r="R692" s="9"/>
      <c r="S692" s="2"/>
      <c r="T692" s="9"/>
      <c r="U692" s="2"/>
      <c r="V692" s="2"/>
      <c r="W692" s="2"/>
      <c r="X692" s="2"/>
      <c r="Y692" s="2"/>
      <c r="Z692" s="9"/>
      <c r="AA692" s="2"/>
      <c r="AB692" s="2"/>
      <c r="AC692" s="2"/>
      <c r="AD692" s="2"/>
    </row>
    <row r="693" spans="1:30" ht="13.2" x14ac:dyDescent="0.25">
      <c r="A693" s="10"/>
      <c r="B693" s="1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9"/>
      <c r="N693" s="2"/>
      <c r="O693" s="9"/>
      <c r="P693" s="9"/>
      <c r="Q693" s="2"/>
      <c r="R693" s="9"/>
      <c r="S693" s="2"/>
      <c r="T693" s="9"/>
      <c r="U693" s="2"/>
      <c r="V693" s="2"/>
      <c r="W693" s="2"/>
      <c r="X693" s="2"/>
      <c r="Y693" s="2"/>
      <c r="Z693" s="9"/>
      <c r="AA693" s="2"/>
      <c r="AB693" s="2"/>
      <c r="AC693" s="2"/>
      <c r="AD693" s="2"/>
    </row>
    <row r="694" spans="1:30" ht="13.2" x14ac:dyDescent="0.25">
      <c r="A694" s="10"/>
      <c r="B694" s="1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9"/>
      <c r="N694" s="2"/>
      <c r="O694" s="9"/>
      <c r="P694" s="9"/>
      <c r="Q694" s="2"/>
      <c r="R694" s="9"/>
      <c r="S694" s="2"/>
      <c r="T694" s="9"/>
      <c r="U694" s="2"/>
      <c r="V694" s="9"/>
      <c r="W694" s="9"/>
      <c r="X694" s="2"/>
      <c r="Y694" s="2"/>
      <c r="Z694" s="2"/>
      <c r="AA694" s="2"/>
      <c r="AB694" s="2"/>
      <c r="AC694" s="2"/>
      <c r="AD694" s="2"/>
    </row>
    <row r="695" spans="1:30" ht="13.2" x14ac:dyDescent="0.25">
      <c r="A695" s="10"/>
      <c r="B695" s="1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9"/>
      <c r="N695" s="2"/>
      <c r="O695" s="9"/>
      <c r="P695" s="9"/>
      <c r="Q695" s="2"/>
      <c r="R695" s="9"/>
      <c r="S695" s="2"/>
      <c r="T695" s="9"/>
      <c r="U695" s="2"/>
      <c r="V695" s="9"/>
      <c r="W695" s="9"/>
      <c r="X695" s="2"/>
      <c r="Y695" s="2"/>
      <c r="Z695" s="2"/>
      <c r="AA695" s="2"/>
      <c r="AB695" s="2"/>
      <c r="AC695" s="2"/>
      <c r="AD695" s="2"/>
    </row>
    <row r="696" spans="1:30" ht="13.2" x14ac:dyDescent="0.25">
      <c r="A696" s="10"/>
      <c r="B696" s="1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9"/>
      <c r="N696" s="2"/>
      <c r="O696" s="9"/>
      <c r="P696" s="9"/>
      <c r="Q696" s="2"/>
      <c r="R696" s="9"/>
      <c r="S696" s="2"/>
      <c r="T696" s="9"/>
      <c r="U696" s="2"/>
      <c r="V696" s="9"/>
      <c r="W696" s="9"/>
      <c r="X696" s="2"/>
      <c r="Y696" s="2"/>
      <c r="Z696" s="2"/>
      <c r="AA696" s="2"/>
      <c r="AB696" s="2"/>
      <c r="AC696" s="2"/>
      <c r="AD696" s="2"/>
    </row>
    <row r="697" spans="1:30" ht="13.2" x14ac:dyDescent="0.25">
      <c r="A697" s="10"/>
      <c r="B697" s="1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9"/>
      <c r="N697" s="2"/>
      <c r="O697" s="9"/>
      <c r="P697" s="9"/>
      <c r="Q697" s="2"/>
      <c r="R697" s="9"/>
      <c r="S697" s="2"/>
      <c r="T697" s="9"/>
      <c r="U697" s="2"/>
      <c r="V697" s="9"/>
      <c r="W697" s="9"/>
      <c r="X697" s="2"/>
      <c r="Y697" s="2"/>
      <c r="Z697" s="2"/>
      <c r="AA697" s="2"/>
      <c r="AB697" s="2"/>
      <c r="AC697" s="2"/>
      <c r="AD697" s="2"/>
    </row>
    <row r="698" spans="1:30" ht="13.2" x14ac:dyDescent="0.25">
      <c r="A698" s="10"/>
      <c r="B698" s="1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9"/>
      <c r="N698" s="2"/>
      <c r="O698" s="9"/>
      <c r="P698" s="9"/>
      <c r="Q698" s="2"/>
      <c r="R698" s="9"/>
      <c r="S698" s="2"/>
      <c r="T698" s="9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3.2" x14ac:dyDescent="0.25">
      <c r="A699" s="10"/>
      <c r="B699" s="1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9"/>
      <c r="N699" s="2"/>
      <c r="O699" s="9"/>
      <c r="P699" s="9"/>
      <c r="Q699" s="2"/>
      <c r="R699" s="9"/>
      <c r="S699" s="2"/>
      <c r="T699" s="9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3.2" x14ac:dyDescent="0.25">
      <c r="A700" s="10"/>
      <c r="B700" s="1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9"/>
      <c r="N700" s="2"/>
      <c r="O700" s="9"/>
      <c r="P700" s="9"/>
      <c r="Q700" s="2"/>
      <c r="R700" s="9"/>
      <c r="S700" s="2"/>
      <c r="T700" s="9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3.2" x14ac:dyDescent="0.25">
      <c r="A701" s="10"/>
      <c r="B701" s="1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9"/>
      <c r="N701" s="2"/>
      <c r="O701" s="9"/>
      <c r="P701" s="9"/>
      <c r="Q701" s="2"/>
      <c r="R701" s="9"/>
      <c r="S701" s="2"/>
      <c r="T701" s="9"/>
      <c r="U701" s="2"/>
      <c r="V701" s="2"/>
      <c r="W701" s="2"/>
      <c r="X701" s="2"/>
      <c r="Y701" s="2"/>
      <c r="Z701" s="9"/>
      <c r="AA701" s="2"/>
      <c r="AB701" s="2"/>
      <c r="AC701" s="2"/>
      <c r="AD701" s="2"/>
    </row>
    <row r="702" spans="1:30" ht="13.2" x14ac:dyDescent="0.25">
      <c r="A702" s="10"/>
      <c r="B702" s="1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9"/>
      <c r="N702" s="2"/>
      <c r="O702" s="9"/>
      <c r="P702" s="9"/>
      <c r="Q702" s="2"/>
      <c r="R702" s="9"/>
      <c r="S702" s="2"/>
      <c r="T702" s="9"/>
      <c r="U702" s="2"/>
      <c r="V702" s="2"/>
      <c r="W702" s="2"/>
      <c r="X702" s="2"/>
      <c r="Y702" s="2"/>
      <c r="Z702" s="9"/>
      <c r="AA702" s="2"/>
      <c r="AB702" s="2"/>
      <c r="AC702" s="2"/>
      <c r="AD702" s="2"/>
    </row>
    <row r="703" spans="1:30" ht="13.2" x14ac:dyDescent="0.25">
      <c r="A703" s="10"/>
      <c r="B703" s="1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9"/>
      <c r="N703" s="2"/>
      <c r="O703" s="9"/>
      <c r="P703" s="9"/>
      <c r="Q703" s="2"/>
      <c r="R703" s="9"/>
      <c r="S703" s="2"/>
      <c r="T703" s="9"/>
      <c r="U703" s="2"/>
      <c r="V703" s="2"/>
      <c r="W703" s="2"/>
      <c r="X703" s="2"/>
      <c r="Y703" s="2"/>
      <c r="Z703" s="9"/>
      <c r="AA703" s="2"/>
      <c r="AB703" s="2"/>
      <c r="AC703" s="2"/>
      <c r="AD703" s="2"/>
    </row>
    <row r="704" spans="1:30" ht="13.2" x14ac:dyDescent="0.25">
      <c r="A704" s="10"/>
      <c r="B704" s="1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9"/>
      <c r="N704" s="2"/>
      <c r="O704" s="9"/>
      <c r="P704" s="9"/>
      <c r="Q704" s="2"/>
      <c r="R704" s="9"/>
      <c r="S704" s="2"/>
      <c r="T704" s="9"/>
      <c r="U704" s="2"/>
      <c r="V704" s="2"/>
      <c r="W704" s="2"/>
      <c r="X704" s="2"/>
      <c r="Y704" s="2"/>
      <c r="Z704" s="9"/>
      <c r="AA704" s="2"/>
      <c r="AB704" s="2"/>
      <c r="AC704" s="2"/>
      <c r="AD704" s="2"/>
    </row>
    <row r="705" spans="1:30" ht="13.2" x14ac:dyDescent="0.25">
      <c r="A705" s="10"/>
      <c r="B705" s="1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9"/>
      <c r="N705" s="2"/>
      <c r="O705" s="9"/>
      <c r="P705" s="9"/>
      <c r="Q705" s="2"/>
      <c r="R705" s="9"/>
      <c r="S705" s="2"/>
      <c r="T705" s="9"/>
      <c r="U705" s="2"/>
      <c r="V705" s="2"/>
      <c r="W705" s="2"/>
      <c r="X705" s="2"/>
      <c r="Y705" s="2"/>
      <c r="Z705" s="9"/>
      <c r="AA705" s="2"/>
      <c r="AB705" s="2"/>
      <c r="AC705" s="2"/>
      <c r="AD705" s="2"/>
    </row>
    <row r="706" spans="1:30" ht="13.2" x14ac:dyDescent="0.25">
      <c r="A706" s="10"/>
      <c r="B706" s="1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9"/>
      <c r="N706" s="2"/>
      <c r="O706" s="9"/>
      <c r="P706" s="9"/>
      <c r="Q706" s="2"/>
      <c r="R706" s="9"/>
      <c r="S706" s="2"/>
      <c r="T706" s="9"/>
      <c r="U706" s="2"/>
      <c r="V706" s="9"/>
      <c r="W706" s="9"/>
      <c r="X706" s="2"/>
      <c r="Y706" s="2"/>
      <c r="Z706" s="2"/>
      <c r="AA706" s="2"/>
      <c r="AB706" s="2"/>
      <c r="AC706" s="2"/>
      <c r="AD706" s="2"/>
    </row>
    <row r="707" spans="1:30" ht="13.2" x14ac:dyDescent="0.25">
      <c r="A707" s="10"/>
      <c r="B707" s="1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9"/>
      <c r="N707" s="2"/>
      <c r="O707" s="9"/>
      <c r="P707" s="9"/>
      <c r="Q707" s="2"/>
      <c r="R707" s="9"/>
      <c r="S707" s="2"/>
      <c r="T707" s="9"/>
      <c r="U707" s="2"/>
      <c r="V707" s="2"/>
      <c r="W707" s="2"/>
      <c r="X707" s="2"/>
      <c r="Y707" s="2"/>
      <c r="Z707" s="9"/>
      <c r="AA707" s="2"/>
      <c r="AB707" s="2"/>
      <c r="AC707" s="2"/>
      <c r="AD707" s="2"/>
    </row>
    <row r="708" spans="1:30" ht="13.2" x14ac:dyDescent="0.25">
      <c r="A708" s="10"/>
      <c r="B708" s="1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9"/>
      <c r="N708" s="2"/>
      <c r="O708" s="9"/>
      <c r="P708" s="9"/>
      <c r="Q708" s="2"/>
      <c r="R708" s="9"/>
      <c r="S708" s="2"/>
      <c r="T708" s="9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3.2" x14ac:dyDescent="0.25">
      <c r="A709" s="10"/>
      <c r="B709" s="1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9"/>
      <c r="N709" s="2"/>
      <c r="O709" s="9"/>
      <c r="P709" s="9"/>
      <c r="Q709" s="2"/>
      <c r="R709" s="9"/>
      <c r="S709" s="2"/>
      <c r="T709" s="9"/>
      <c r="U709" s="2"/>
      <c r="V709" s="9"/>
      <c r="W709" s="9"/>
      <c r="X709" s="2"/>
      <c r="Y709" s="2"/>
      <c r="Z709" s="2"/>
      <c r="AA709" s="2"/>
      <c r="AB709" s="2"/>
      <c r="AC709" s="2"/>
      <c r="AD709" s="2"/>
    </row>
    <row r="710" spans="1:30" ht="13.2" x14ac:dyDescent="0.25">
      <c r="A710" s="10"/>
      <c r="B710" s="1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9"/>
      <c r="N710" s="2"/>
      <c r="O710" s="9"/>
      <c r="P710" s="9"/>
      <c r="Q710" s="2"/>
      <c r="R710" s="9"/>
      <c r="S710" s="2"/>
      <c r="T710" s="9"/>
      <c r="U710" s="2"/>
      <c r="V710" s="9"/>
      <c r="W710" s="9"/>
      <c r="X710" s="2"/>
      <c r="Y710" s="2"/>
      <c r="Z710" s="2"/>
      <c r="AA710" s="2"/>
      <c r="AB710" s="2"/>
      <c r="AC710" s="2"/>
      <c r="AD710" s="2"/>
    </row>
    <row r="711" spans="1:30" ht="13.2" x14ac:dyDescent="0.25">
      <c r="A711" s="10"/>
      <c r="B711" s="1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9"/>
      <c r="N711" s="2"/>
      <c r="O711" s="9"/>
      <c r="P711" s="9"/>
      <c r="Q711" s="2"/>
      <c r="R711" s="9"/>
      <c r="S711" s="2"/>
      <c r="T711" s="9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3.2" x14ac:dyDescent="0.25">
      <c r="A712" s="10"/>
      <c r="B712" s="1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9"/>
      <c r="N712" s="2"/>
      <c r="O712" s="9"/>
      <c r="P712" s="9"/>
      <c r="Q712" s="2"/>
      <c r="R712" s="9"/>
      <c r="S712" s="2"/>
      <c r="T712" s="9"/>
      <c r="U712" s="2"/>
      <c r="V712" s="2"/>
      <c r="W712" s="2"/>
      <c r="X712" s="2"/>
      <c r="Y712" s="2"/>
      <c r="Z712" s="9"/>
      <c r="AA712" s="2"/>
      <c r="AB712" s="2"/>
      <c r="AC712" s="2"/>
      <c r="AD712" s="2"/>
    </row>
    <row r="713" spans="1:30" ht="13.2" x14ac:dyDescent="0.25">
      <c r="A713" s="10"/>
      <c r="B713" s="1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9"/>
      <c r="N713" s="2"/>
      <c r="O713" s="9"/>
      <c r="P713" s="9"/>
      <c r="Q713" s="2"/>
      <c r="R713" s="9"/>
      <c r="S713" s="2"/>
      <c r="T713" s="9"/>
      <c r="U713" s="2"/>
      <c r="V713" s="2"/>
      <c r="W713" s="2"/>
      <c r="X713" s="2"/>
      <c r="Y713" s="2"/>
      <c r="Z713" s="9"/>
      <c r="AA713" s="2"/>
      <c r="AB713" s="2"/>
      <c r="AC713" s="2"/>
      <c r="AD713" s="2"/>
    </row>
    <row r="714" spans="1:30" ht="13.2" x14ac:dyDescent="0.25">
      <c r="A714" s="10"/>
      <c r="B714" s="1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9"/>
      <c r="N714" s="2"/>
      <c r="O714" s="9"/>
      <c r="P714" s="9"/>
      <c r="Q714" s="2"/>
      <c r="R714" s="9"/>
      <c r="S714" s="2"/>
      <c r="T714" s="9"/>
      <c r="U714" s="2"/>
      <c r="V714" s="2"/>
      <c r="W714" s="2"/>
      <c r="X714" s="2"/>
      <c r="Y714" s="2"/>
      <c r="Z714" s="9"/>
      <c r="AA714" s="2"/>
      <c r="AB714" s="2"/>
      <c r="AC714" s="2"/>
      <c r="AD714" s="2"/>
    </row>
    <row r="715" spans="1:30" ht="13.2" x14ac:dyDescent="0.25">
      <c r="A715" s="10"/>
      <c r="B715" s="10"/>
      <c r="C715" s="2"/>
      <c r="D715" s="2"/>
      <c r="E715" s="2"/>
      <c r="F715" s="16"/>
      <c r="G715" s="2"/>
      <c r="H715" s="2"/>
      <c r="I715" s="2"/>
      <c r="J715" s="2"/>
      <c r="K715" s="2"/>
      <c r="L715" s="2"/>
      <c r="M715" s="9"/>
      <c r="N715" s="2"/>
      <c r="O715" s="9"/>
      <c r="P715" s="9"/>
      <c r="Q715" s="2"/>
      <c r="R715" s="9"/>
      <c r="S715" s="2"/>
      <c r="T715" s="9"/>
      <c r="U715" s="2"/>
      <c r="V715" s="2"/>
      <c r="W715" s="2"/>
      <c r="X715" s="2"/>
      <c r="Y715" s="2"/>
      <c r="Z715" s="9"/>
      <c r="AA715" s="2"/>
      <c r="AB715" s="2"/>
      <c r="AC715" s="2"/>
      <c r="AD715" s="2"/>
    </row>
    <row r="716" spans="1:30" ht="13.2" x14ac:dyDescent="0.25">
      <c r="A716" s="10"/>
      <c r="B716" s="1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9"/>
      <c r="N716" s="2"/>
      <c r="O716" s="9"/>
      <c r="P716" s="9"/>
      <c r="Q716" s="2"/>
      <c r="R716" s="9"/>
      <c r="S716" s="2"/>
      <c r="T716" s="9"/>
      <c r="U716" s="2"/>
      <c r="V716" s="9"/>
      <c r="W716" s="9"/>
      <c r="X716" s="2"/>
      <c r="Y716" s="2"/>
      <c r="Z716" s="2"/>
      <c r="AA716" s="2"/>
      <c r="AB716" s="2"/>
      <c r="AC716" s="2"/>
      <c r="AD716" s="2"/>
    </row>
    <row r="717" spans="1:30" ht="13.2" x14ac:dyDescent="0.25">
      <c r="A717" s="10"/>
      <c r="B717" s="1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9"/>
      <c r="N717" s="2"/>
      <c r="O717" s="9"/>
      <c r="P717" s="9"/>
      <c r="Q717" s="2"/>
      <c r="R717" s="9"/>
      <c r="S717" s="2"/>
      <c r="T717" s="9"/>
      <c r="U717" s="2"/>
      <c r="V717" s="2"/>
      <c r="W717" s="2"/>
      <c r="X717" s="2"/>
      <c r="Y717" s="2"/>
      <c r="Z717" s="9"/>
      <c r="AA717" s="2"/>
      <c r="AB717" s="2"/>
      <c r="AC717" s="2"/>
      <c r="AD717" s="2"/>
    </row>
    <row r="718" spans="1:30" ht="13.2" x14ac:dyDescent="0.25">
      <c r="A718" s="10"/>
      <c r="B718" s="1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9"/>
      <c r="N718" s="2"/>
      <c r="O718" s="9"/>
      <c r="P718" s="9"/>
      <c r="Q718" s="2"/>
      <c r="R718" s="9"/>
      <c r="S718" s="2"/>
      <c r="T718" s="9"/>
      <c r="U718" s="2"/>
      <c r="V718" s="9"/>
      <c r="W718" s="9"/>
      <c r="X718" s="2"/>
      <c r="Y718" s="2"/>
      <c r="Z718" s="2"/>
      <c r="AA718" s="2"/>
      <c r="AB718" s="2"/>
      <c r="AC718" s="2"/>
      <c r="AD718" s="2"/>
    </row>
    <row r="719" spans="1:30" ht="13.2" x14ac:dyDescent="0.25">
      <c r="A719" s="10"/>
      <c r="B719" s="1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9"/>
      <c r="N719" s="2"/>
      <c r="O719" s="9"/>
      <c r="P719" s="9"/>
      <c r="Q719" s="2"/>
      <c r="R719" s="9"/>
      <c r="S719" s="2"/>
      <c r="T719" s="9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3.2" x14ac:dyDescent="0.25">
      <c r="A720" s="10"/>
      <c r="B720" s="1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9"/>
      <c r="N720" s="2"/>
      <c r="O720" s="9"/>
      <c r="P720" s="9"/>
      <c r="Q720" s="2"/>
      <c r="R720" s="9"/>
      <c r="S720" s="2"/>
      <c r="T720" s="9"/>
      <c r="U720" s="2"/>
      <c r="V720" s="2"/>
      <c r="W720" s="2"/>
      <c r="X720" s="2"/>
      <c r="Y720" s="2"/>
      <c r="Z720" s="9"/>
      <c r="AA720" s="2"/>
      <c r="AB720" s="2"/>
      <c r="AC720" s="2"/>
      <c r="AD720" s="2"/>
    </row>
    <row r="721" spans="1:30" ht="13.2" x14ac:dyDescent="0.25">
      <c r="A721" s="10"/>
      <c r="B721" s="1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9"/>
      <c r="N721" s="2"/>
      <c r="O721" s="9"/>
      <c r="P721" s="9"/>
      <c r="Q721" s="2"/>
      <c r="R721" s="9"/>
      <c r="S721" s="2"/>
      <c r="T721" s="9"/>
      <c r="U721" s="2"/>
      <c r="V721" s="2"/>
      <c r="W721" s="2"/>
      <c r="X721" s="2"/>
      <c r="Y721" s="2"/>
      <c r="Z721" s="9"/>
      <c r="AA721" s="2"/>
      <c r="AB721" s="2"/>
      <c r="AC721" s="2"/>
      <c r="AD721" s="2"/>
    </row>
    <row r="722" spans="1:30" ht="13.2" x14ac:dyDescent="0.25">
      <c r="A722" s="10"/>
      <c r="B722" s="1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9"/>
      <c r="N722" s="2"/>
      <c r="O722" s="9"/>
      <c r="P722" s="9"/>
      <c r="Q722" s="2"/>
      <c r="R722" s="9"/>
      <c r="S722" s="2"/>
      <c r="T722" s="9"/>
      <c r="U722" s="2"/>
      <c r="V722" s="2"/>
      <c r="W722" s="2"/>
      <c r="X722" s="2"/>
      <c r="Y722" s="2"/>
      <c r="Z722" s="9"/>
      <c r="AA722" s="2"/>
      <c r="AB722" s="2"/>
      <c r="AC722" s="2"/>
      <c r="AD722" s="2"/>
    </row>
    <row r="723" spans="1:30" ht="13.2" x14ac:dyDescent="0.25">
      <c r="A723" s="10"/>
      <c r="B723" s="1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9"/>
      <c r="N723" s="2"/>
      <c r="O723" s="9"/>
      <c r="P723" s="9"/>
      <c r="Q723" s="2"/>
      <c r="R723" s="9"/>
      <c r="S723" s="2"/>
      <c r="T723" s="9"/>
      <c r="U723" s="2"/>
      <c r="V723" s="2"/>
      <c r="W723" s="2"/>
      <c r="X723" s="2"/>
      <c r="Y723" s="2"/>
      <c r="Z723" s="9"/>
      <c r="AA723" s="2"/>
      <c r="AB723" s="2"/>
      <c r="AC723" s="2"/>
      <c r="AD723" s="2"/>
    </row>
    <row r="724" spans="1:30" ht="13.2" x14ac:dyDescent="0.25">
      <c r="A724" s="10"/>
      <c r="B724" s="1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9"/>
      <c r="N724" s="2"/>
      <c r="O724" s="9"/>
      <c r="P724" s="9"/>
      <c r="Q724" s="2"/>
      <c r="R724" s="9"/>
      <c r="S724" s="2"/>
      <c r="T724" s="9"/>
      <c r="U724" s="2"/>
      <c r="V724" s="2"/>
      <c r="W724" s="2"/>
      <c r="X724" s="2"/>
      <c r="Y724" s="2"/>
      <c r="Z724" s="9"/>
      <c r="AA724" s="2"/>
      <c r="AB724" s="2"/>
      <c r="AC724" s="2"/>
      <c r="AD724" s="2"/>
    </row>
    <row r="725" spans="1:30" ht="13.2" x14ac:dyDescent="0.25">
      <c r="A725" s="10"/>
      <c r="B725" s="1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9"/>
      <c r="N725" s="2"/>
      <c r="O725" s="9"/>
      <c r="P725" s="9"/>
      <c r="Q725" s="2"/>
      <c r="R725" s="9"/>
      <c r="S725" s="2"/>
      <c r="T725" s="9"/>
      <c r="U725" s="2"/>
      <c r="V725" s="9"/>
      <c r="W725" s="9"/>
      <c r="X725" s="2"/>
      <c r="Y725" s="2"/>
      <c r="Z725" s="2"/>
      <c r="AA725" s="2"/>
      <c r="AB725" s="2"/>
      <c r="AC725" s="2"/>
      <c r="AD725" s="2"/>
    </row>
    <row r="726" spans="1:30" ht="13.2" x14ac:dyDescent="0.25">
      <c r="A726" s="10"/>
      <c r="B726" s="1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9"/>
      <c r="N726" s="2"/>
      <c r="O726" s="9"/>
      <c r="P726" s="9"/>
      <c r="Q726" s="2"/>
      <c r="R726" s="9"/>
      <c r="S726" s="2"/>
      <c r="T726" s="9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3.2" x14ac:dyDescent="0.25">
      <c r="A727" s="10"/>
      <c r="B727" s="1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9"/>
      <c r="N727" s="2"/>
      <c r="O727" s="9"/>
      <c r="P727" s="9"/>
      <c r="Q727" s="2"/>
      <c r="R727" s="9"/>
      <c r="S727" s="2"/>
      <c r="T727" s="9"/>
      <c r="U727" s="2"/>
      <c r="V727" s="2"/>
      <c r="W727" s="2"/>
      <c r="X727" s="2"/>
      <c r="Y727" s="2"/>
      <c r="Z727" s="9"/>
      <c r="AA727" s="2"/>
      <c r="AB727" s="2"/>
      <c r="AC727" s="2"/>
      <c r="AD727" s="2"/>
    </row>
    <row r="728" spans="1:30" ht="13.2" x14ac:dyDescent="0.25">
      <c r="A728" s="10"/>
      <c r="B728" s="1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9"/>
      <c r="N728" s="2"/>
      <c r="O728" s="9"/>
      <c r="P728" s="9"/>
      <c r="Q728" s="2"/>
      <c r="R728" s="9"/>
      <c r="S728" s="2"/>
      <c r="T728" s="9"/>
      <c r="U728" s="2"/>
      <c r="V728" s="2"/>
      <c r="W728" s="2"/>
      <c r="X728" s="2"/>
      <c r="Y728" s="2"/>
      <c r="Z728" s="9"/>
      <c r="AA728" s="2"/>
      <c r="AB728" s="2"/>
      <c r="AC728" s="2"/>
      <c r="AD728" s="2"/>
    </row>
    <row r="729" spans="1:30" ht="13.2" x14ac:dyDescent="0.25">
      <c r="A729" s="10"/>
      <c r="B729" s="1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9"/>
      <c r="N729" s="2"/>
      <c r="O729" s="9"/>
      <c r="P729" s="9"/>
      <c r="Q729" s="2"/>
      <c r="R729" s="9"/>
      <c r="S729" s="2"/>
      <c r="T729" s="9"/>
      <c r="U729" s="2"/>
      <c r="V729" s="2"/>
      <c r="W729" s="2"/>
      <c r="X729" s="2"/>
      <c r="Y729" s="2"/>
      <c r="Z729" s="9"/>
      <c r="AA729" s="2"/>
      <c r="AB729" s="2"/>
      <c r="AC729" s="2"/>
      <c r="AD729" s="2"/>
    </row>
    <row r="730" spans="1:30" ht="13.2" x14ac:dyDescent="0.25">
      <c r="A730" s="10"/>
      <c r="B730" s="1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9"/>
      <c r="N730" s="2"/>
      <c r="O730" s="9"/>
      <c r="P730" s="9"/>
      <c r="Q730" s="2"/>
      <c r="R730" s="9"/>
      <c r="S730" s="2"/>
      <c r="T730" s="9"/>
      <c r="U730" s="2"/>
      <c r="V730" s="2"/>
      <c r="W730" s="2"/>
      <c r="X730" s="2"/>
      <c r="Y730" s="2"/>
      <c r="Z730" s="9"/>
      <c r="AA730" s="2"/>
      <c r="AB730" s="2"/>
      <c r="AC730" s="2"/>
      <c r="AD730" s="2"/>
    </row>
    <row r="731" spans="1:30" ht="13.2" x14ac:dyDescent="0.25">
      <c r="A731" s="10"/>
      <c r="B731" s="1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9"/>
      <c r="N731" s="2"/>
      <c r="O731" s="9"/>
      <c r="P731" s="9"/>
      <c r="Q731" s="2"/>
      <c r="R731" s="9"/>
      <c r="S731" s="2"/>
      <c r="T731" s="9"/>
      <c r="U731" s="2"/>
      <c r="V731" s="2"/>
      <c r="W731" s="2"/>
      <c r="X731" s="2"/>
      <c r="Y731" s="2"/>
      <c r="Z731" s="9"/>
      <c r="AA731" s="2"/>
      <c r="AB731" s="2"/>
      <c r="AC731" s="2"/>
      <c r="AD731" s="2"/>
    </row>
    <row r="732" spans="1:30" ht="13.2" x14ac:dyDescent="0.25">
      <c r="A732" s="10"/>
      <c r="B732" s="1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9"/>
      <c r="N732" s="2"/>
      <c r="O732" s="9"/>
      <c r="P732" s="9"/>
      <c r="Q732" s="2"/>
      <c r="R732" s="9"/>
      <c r="S732" s="2"/>
      <c r="T732" s="9"/>
      <c r="U732" s="2"/>
      <c r="V732" s="2"/>
      <c r="W732" s="2"/>
      <c r="X732" s="2"/>
      <c r="Y732" s="2"/>
      <c r="Z732" s="9"/>
      <c r="AA732" s="2"/>
      <c r="AB732" s="2"/>
      <c r="AC732" s="2"/>
      <c r="AD732" s="2"/>
    </row>
    <row r="733" spans="1:30" ht="13.2" x14ac:dyDescent="0.25">
      <c r="A733" s="10"/>
      <c r="B733" s="1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9"/>
      <c r="N733" s="2"/>
      <c r="O733" s="9"/>
      <c r="P733" s="9"/>
      <c r="Q733" s="2"/>
      <c r="R733" s="9"/>
      <c r="S733" s="2"/>
      <c r="T733" s="9"/>
      <c r="U733" s="2"/>
      <c r="V733" s="2"/>
      <c r="W733" s="2"/>
      <c r="X733" s="2"/>
      <c r="Y733" s="2"/>
      <c r="Z733" s="9"/>
      <c r="AA733" s="2"/>
      <c r="AB733" s="2"/>
      <c r="AC733" s="2"/>
      <c r="AD733" s="2"/>
    </row>
    <row r="734" spans="1:30" ht="13.2" x14ac:dyDescent="0.25">
      <c r="A734" s="10"/>
      <c r="B734" s="1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9"/>
      <c r="N734" s="2"/>
      <c r="O734" s="9"/>
      <c r="P734" s="9"/>
      <c r="Q734" s="2"/>
      <c r="R734" s="9"/>
      <c r="S734" s="2"/>
      <c r="T734" s="9"/>
      <c r="U734" s="2"/>
      <c r="V734" s="2"/>
      <c r="W734" s="2"/>
      <c r="X734" s="2"/>
      <c r="Y734" s="2"/>
      <c r="Z734" s="9"/>
      <c r="AA734" s="2"/>
      <c r="AB734" s="2"/>
      <c r="AC734" s="2"/>
      <c r="AD734" s="2"/>
    </row>
    <row r="735" spans="1:30" ht="13.2" x14ac:dyDescent="0.25">
      <c r="A735" s="10"/>
      <c r="B735" s="10"/>
      <c r="C735" s="2"/>
      <c r="D735" s="2"/>
      <c r="E735" s="2"/>
      <c r="F735" s="16"/>
      <c r="G735" s="2"/>
      <c r="H735" s="2"/>
      <c r="I735" s="2"/>
      <c r="J735" s="2"/>
      <c r="K735" s="2"/>
      <c r="L735" s="2"/>
      <c r="M735" s="9"/>
      <c r="N735" s="2"/>
      <c r="O735" s="9"/>
      <c r="P735" s="9"/>
      <c r="Q735" s="2"/>
      <c r="R735" s="9"/>
      <c r="S735" s="2"/>
      <c r="T735" s="9"/>
      <c r="U735" s="2"/>
      <c r="V735" s="2"/>
      <c r="W735" s="2"/>
      <c r="X735" s="2"/>
      <c r="Y735" s="2"/>
      <c r="Z735" s="9"/>
      <c r="AA735" s="2"/>
      <c r="AB735" s="2"/>
      <c r="AC735" s="2"/>
      <c r="AD735" s="2"/>
    </row>
    <row r="736" spans="1:30" ht="13.2" x14ac:dyDescent="0.25">
      <c r="A736" s="10"/>
      <c r="B736" s="1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9"/>
      <c r="N736" s="2"/>
      <c r="O736" s="9"/>
      <c r="P736" s="9"/>
      <c r="Q736" s="2"/>
      <c r="R736" s="9"/>
      <c r="S736" s="2"/>
      <c r="T736" s="9"/>
      <c r="U736" s="2"/>
      <c r="V736" s="2"/>
      <c r="W736" s="2"/>
      <c r="X736" s="2"/>
      <c r="Y736" s="2"/>
      <c r="Z736" s="9"/>
      <c r="AA736" s="2"/>
      <c r="AB736" s="2"/>
      <c r="AC736" s="2"/>
      <c r="AD736" s="2"/>
    </row>
    <row r="737" spans="1:30" ht="13.2" x14ac:dyDescent="0.25">
      <c r="A737" s="10"/>
      <c r="B737" s="1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9"/>
      <c r="N737" s="2"/>
      <c r="O737" s="9"/>
      <c r="P737" s="9"/>
      <c r="Q737" s="2"/>
      <c r="R737" s="9"/>
      <c r="S737" s="2"/>
      <c r="T737" s="9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3.2" x14ac:dyDescent="0.25">
      <c r="A738" s="10"/>
      <c r="B738" s="1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9"/>
      <c r="N738" s="2"/>
      <c r="O738" s="9"/>
      <c r="P738" s="9"/>
      <c r="Q738" s="2"/>
      <c r="R738" s="9"/>
      <c r="S738" s="2"/>
      <c r="T738" s="9"/>
      <c r="U738" s="2"/>
      <c r="V738" s="9"/>
      <c r="W738" s="9"/>
      <c r="X738" s="2"/>
      <c r="Y738" s="2"/>
      <c r="Z738" s="2"/>
      <c r="AA738" s="2"/>
      <c r="AB738" s="2"/>
      <c r="AC738" s="2"/>
      <c r="AD738" s="2"/>
    </row>
    <row r="739" spans="1:30" ht="13.2" x14ac:dyDescent="0.25">
      <c r="A739" s="10"/>
      <c r="B739" s="1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9"/>
      <c r="N739" s="2"/>
      <c r="O739" s="9"/>
      <c r="P739" s="9"/>
      <c r="Q739" s="2"/>
      <c r="R739" s="9"/>
      <c r="S739" s="2"/>
      <c r="T739" s="9"/>
      <c r="U739" s="2"/>
      <c r="V739" s="9"/>
      <c r="W739" s="9"/>
      <c r="X739" s="2"/>
      <c r="Y739" s="2"/>
      <c r="Z739" s="2"/>
      <c r="AA739" s="2"/>
      <c r="AB739" s="2"/>
      <c r="AC739" s="2"/>
      <c r="AD739" s="2"/>
    </row>
    <row r="740" spans="1:30" ht="13.2" x14ac:dyDescent="0.25">
      <c r="A740" s="10"/>
      <c r="B740" s="10"/>
      <c r="C740" s="2"/>
      <c r="D740" s="2"/>
      <c r="E740" s="2"/>
      <c r="F740" s="2"/>
      <c r="G740" s="20"/>
      <c r="H740" s="2"/>
      <c r="I740" s="2"/>
      <c r="J740" s="2"/>
      <c r="K740" s="2"/>
      <c r="L740" s="2"/>
      <c r="M740" s="9"/>
      <c r="N740" s="2"/>
      <c r="O740" s="9"/>
      <c r="P740" s="9"/>
      <c r="Q740" s="2"/>
      <c r="R740" s="9"/>
      <c r="S740" s="2"/>
      <c r="T740" s="9"/>
      <c r="U740" s="2"/>
      <c r="V740" s="9"/>
      <c r="W740" s="9"/>
      <c r="X740" s="2"/>
      <c r="Y740" s="2"/>
      <c r="Z740" s="2"/>
      <c r="AA740" s="2"/>
      <c r="AB740" s="2"/>
      <c r="AC740" s="2"/>
      <c r="AD740" s="2"/>
    </row>
    <row r="741" spans="1:30" ht="13.2" x14ac:dyDescent="0.25">
      <c r="A741" s="10"/>
      <c r="B741" s="1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9"/>
      <c r="N741" s="2"/>
      <c r="O741" s="9"/>
      <c r="P741" s="9"/>
      <c r="Q741" s="2"/>
      <c r="R741" s="9"/>
      <c r="S741" s="2"/>
      <c r="T741" s="9"/>
      <c r="U741" s="2"/>
      <c r="V741" s="2"/>
      <c r="W741" s="2"/>
      <c r="X741" s="2"/>
      <c r="Y741" s="2"/>
      <c r="Z741" s="9"/>
      <c r="AA741" s="2"/>
      <c r="AB741" s="2"/>
      <c r="AC741" s="2"/>
      <c r="AD741" s="2"/>
    </row>
    <row r="742" spans="1:30" ht="13.2" x14ac:dyDescent="0.25">
      <c r="A742" s="10"/>
      <c r="B742" s="1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9"/>
      <c r="N742" s="2"/>
      <c r="O742" s="9"/>
      <c r="P742" s="9"/>
      <c r="Q742" s="2"/>
      <c r="R742" s="9"/>
      <c r="S742" s="2"/>
      <c r="T742" s="9"/>
      <c r="U742" s="2"/>
      <c r="V742" s="2"/>
      <c r="W742" s="2"/>
      <c r="X742" s="2"/>
      <c r="Y742" s="2"/>
      <c r="Z742" s="9"/>
      <c r="AA742" s="2"/>
      <c r="AB742" s="2"/>
      <c r="AC742" s="2"/>
      <c r="AD742" s="2"/>
    </row>
    <row r="743" spans="1:30" ht="13.2" x14ac:dyDescent="0.25">
      <c r="A743" s="10"/>
      <c r="B743" s="1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9"/>
      <c r="N743" s="2"/>
      <c r="O743" s="9"/>
      <c r="P743" s="9"/>
      <c r="Q743" s="2"/>
      <c r="R743" s="9"/>
      <c r="S743" s="2"/>
      <c r="T743" s="9"/>
      <c r="U743" s="2"/>
      <c r="V743" s="2"/>
      <c r="W743" s="2"/>
      <c r="X743" s="2"/>
      <c r="Y743" s="2"/>
      <c r="Z743" s="9"/>
      <c r="AA743" s="2"/>
      <c r="AB743" s="2"/>
      <c r="AC743" s="2"/>
      <c r="AD743" s="2"/>
    </row>
    <row r="744" spans="1:30" ht="13.2" x14ac:dyDescent="0.25">
      <c r="A744" s="10"/>
      <c r="B744" s="1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9"/>
      <c r="N744" s="2"/>
      <c r="O744" s="9"/>
      <c r="P744" s="9"/>
      <c r="Q744" s="2"/>
      <c r="R744" s="9"/>
      <c r="S744" s="2"/>
      <c r="T744" s="9"/>
      <c r="U744" s="2"/>
      <c r="V744" s="9"/>
      <c r="W744" s="9"/>
      <c r="X744" s="2"/>
      <c r="Y744" s="2"/>
      <c r="Z744" s="2"/>
      <c r="AA744" s="2"/>
      <c r="AB744" s="2"/>
      <c r="AC744" s="2"/>
      <c r="AD744" s="2"/>
    </row>
    <row r="745" spans="1:30" ht="13.2" x14ac:dyDescent="0.25">
      <c r="A745" s="10"/>
      <c r="B745" s="10"/>
      <c r="C745" s="2"/>
      <c r="D745" s="2"/>
      <c r="E745" s="2"/>
      <c r="F745" s="2"/>
      <c r="G745" s="19"/>
      <c r="H745" s="2"/>
      <c r="I745" s="2"/>
      <c r="J745" s="2"/>
      <c r="K745" s="2"/>
      <c r="L745" s="2"/>
      <c r="M745" s="9"/>
      <c r="N745" s="2"/>
      <c r="O745" s="9"/>
      <c r="P745" s="9"/>
      <c r="Q745" s="2"/>
      <c r="R745" s="9"/>
      <c r="S745" s="2"/>
      <c r="T745" s="9"/>
      <c r="U745" s="2"/>
      <c r="V745" s="9"/>
      <c r="W745" s="9"/>
      <c r="X745" s="2"/>
      <c r="Y745" s="2"/>
      <c r="Z745" s="2"/>
      <c r="AA745" s="2"/>
      <c r="AB745" s="2"/>
      <c r="AC745" s="2"/>
      <c r="AD745" s="2"/>
    </row>
    <row r="746" spans="1:30" ht="13.2" x14ac:dyDescent="0.25">
      <c r="A746" s="10"/>
      <c r="B746" s="1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9"/>
      <c r="N746" s="2"/>
      <c r="O746" s="9"/>
      <c r="P746" s="9"/>
      <c r="Q746" s="2"/>
      <c r="R746" s="9"/>
      <c r="S746" s="2"/>
      <c r="T746" s="9"/>
      <c r="U746" s="2"/>
      <c r="V746" s="9"/>
      <c r="W746" s="9"/>
      <c r="X746" s="2"/>
      <c r="Y746" s="2"/>
      <c r="Z746" s="2"/>
      <c r="AA746" s="2"/>
      <c r="AB746" s="2"/>
      <c r="AC746" s="2"/>
      <c r="AD746" s="2"/>
    </row>
    <row r="747" spans="1:30" ht="13.2" x14ac:dyDescent="0.25">
      <c r="A747" s="10"/>
      <c r="B747" s="1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9"/>
      <c r="N747" s="2"/>
      <c r="O747" s="9"/>
      <c r="P747" s="9"/>
      <c r="Q747" s="2"/>
      <c r="R747" s="9"/>
      <c r="S747" s="2"/>
      <c r="T747" s="9"/>
      <c r="U747" s="2"/>
      <c r="V747" s="2"/>
      <c r="W747" s="2"/>
      <c r="X747" s="2"/>
      <c r="Y747" s="2"/>
      <c r="Z747" s="9"/>
      <c r="AA747" s="2"/>
      <c r="AB747" s="2"/>
      <c r="AC747" s="2"/>
      <c r="AD747" s="2"/>
    </row>
    <row r="748" spans="1:30" ht="13.2" x14ac:dyDescent="0.25">
      <c r="A748" s="10"/>
      <c r="B748" s="1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9"/>
      <c r="N748" s="2"/>
      <c r="O748" s="9"/>
      <c r="P748" s="9"/>
      <c r="Q748" s="2"/>
      <c r="R748" s="9"/>
      <c r="S748" s="2"/>
      <c r="T748" s="9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3.2" x14ac:dyDescent="0.25">
      <c r="A749" s="10"/>
      <c r="B749" s="10"/>
      <c r="C749" s="2"/>
      <c r="D749" s="2"/>
      <c r="E749" s="2"/>
      <c r="F749" s="16"/>
      <c r="G749" s="2"/>
      <c r="H749" s="2"/>
      <c r="I749" s="2"/>
      <c r="J749" s="2"/>
      <c r="K749" s="2"/>
      <c r="L749" s="2"/>
      <c r="M749" s="9"/>
      <c r="N749" s="2"/>
      <c r="O749" s="9"/>
      <c r="P749" s="9"/>
      <c r="Q749" s="2"/>
      <c r="R749" s="9"/>
      <c r="S749" s="2"/>
      <c r="T749" s="9"/>
      <c r="U749" s="2"/>
      <c r="V749" s="2"/>
      <c r="W749" s="2"/>
      <c r="X749" s="2"/>
      <c r="Y749" s="2"/>
      <c r="Z749" s="9"/>
      <c r="AA749" s="2"/>
      <c r="AB749" s="2"/>
      <c r="AC749" s="2"/>
      <c r="AD749" s="2"/>
    </row>
    <row r="750" spans="1:30" ht="13.2" x14ac:dyDescent="0.25">
      <c r="A750" s="10"/>
      <c r="B750" s="10"/>
      <c r="C750" s="2"/>
      <c r="D750" s="2"/>
      <c r="E750" s="2"/>
      <c r="F750" s="2"/>
      <c r="G750" s="9"/>
      <c r="H750" s="2"/>
      <c r="I750" s="2"/>
      <c r="J750" s="2"/>
      <c r="K750" s="2"/>
      <c r="L750" s="2"/>
      <c r="M750" s="9"/>
      <c r="N750" s="2"/>
      <c r="O750" s="9"/>
      <c r="P750" s="9"/>
      <c r="Q750" s="2"/>
      <c r="R750" s="9"/>
      <c r="S750" s="2"/>
      <c r="T750" s="9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3.2" x14ac:dyDescent="0.25">
      <c r="A751" s="10"/>
      <c r="B751" s="1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9"/>
      <c r="N751" s="2"/>
      <c r="O751" s="9"/>
      <c r="P751" s="9"/>
      <c r="Q751" s="2"/>
      <c r="R751" s="9"/>
      <c r="S751" s="2"/>
      <c r="T751" s="9"/>
      <c r="U751" s="2"/>
      <c r="V751" s="2"/>
      <c r="W751" s="2"/>
      <c r="X751" s="2"/>
      <c r="Y751" s="2"/>
      <c r="Z751" s="9"/>
      <c r="AA751" s="2"/>
      <c r="AB751" s="2"/>
      <c r="AC751" s="2"/>
      <c r="AD751" s="2"/>
    </row>
    <row r="752" spans="1:30" ht="13.2" x14ac:dyDescent="0.25">
      <c r="A752" s="10"/>
      <c r="B752" s="1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9"/>
      <c r="N752" s="2"/>
      <c r="O752" s="9"/>
      <c r="P752" s="9"/>
      <c r="Q752" s="2"/>
      <c r="R752" s="9"/>
      <c r="S752" s="2"/>
      <c r="T752" s="9"/>
      <c r="U752" s="2"/>
      <c r="V752" s="2"/>
      <c r="W752" s="2"/>
      <c r="X752" s="2"/>
      <c r="Y752" s="2"/>
      <c r="Z752" s="9"/>
      <c r="AA752" s="2"/>
      <c r="AB752" s="2"/>
      <c r="AC752" s="2"/>
      <c r="AD752" s="2"/>
    </row>
    <row r="753" spans="1:30" ht="13.2" x14ac:dyDescent="0.25">
      <c r="A753" s="10"/>
      <c r="B753" s="1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9"/>
      <c r="N753" s="2"/>
      <c r="O753" s="9"/>
      <c r="P753" s="9"/>
      <c r="Q753" s="2"/>
      <c r="R753" s="9"/>
      <c r="S753" s="2"/>
      <c r="T753" s="9"/>
      <c r="U753" s="2"/>
      <c r="V753" s="9"/>
      <c r="W753" s="9"/>
      <c r="X753" s="2"/>
      <c r="Y753" s="2"/>
      <c r="Z753" s="2"/>
      <c r="AA753" s="2"/>
      <c r="AB753" s="2"/>
      <c r="AC753" s="2"/>
      <c r="AD753" s="2"/>
    </row>
    <row r="754" spans="1:30" ht="13.2" x14ac:dyDescent="0.25">
      <c r="A754" s="10"/>
      <c r="B754" s="1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9"/>
      <c r="N754" s="2"/>
      <c r="O754" s="9"/>
      <c r="P754" s="9"/>
      <c r="Q754" s="2"/>
      <c r="R754" s="9"/>
      <c r="S754" s="2"/>
      <c r="T754" s="9"/>
      <c r="U754" s="2"/>
      <c r="V754" s="2"/>
      <c r="W754" s="2"/>
      <c r="X754" s="2"/>
      <c r="Y754" s="2"/>
      <c r="Z754" s="9"/>
      <c r="AA754" s="2"/>
      <c r="AB754" s="2"/>
      <c r="AC754" s="2"/>
      <c r="AD754" s="2"/>
    </row>
    <row r="755" spans="1:30" ht="13.2" x14ac:dyDescent="0.25">
      <c r="A755" s="10"/>
      <c r="B755" s="1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9"/>
      <c r="N755" s="2"/>
      <c r="O755" s="9"/>
      <c r="P755" s="9"/>
      <c r="Q755" s="2"/>
      <c r="R755" s="9"/>
      <c r="S755" s="2"/>
      <c r="T755" s="9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3.2" x14ac:dyDescent="0.25">
      <c r="A756" s="10"/>
      <c r="B756" s="1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9"/>
      <c r="N756" s="2"/>
      <c r="O756" s="9"/>
      <c r="P756" s="9"/>
      <c r="Q756" s="2"/>
      <c r="R756" s="9"/>
      <c r="S756" s="2"/>
      <c r="T756" s="9"/>
      <c r="U756" s="2"/>
      <c r="V756" s="2"/>
      <c r="W756" s="2"/>
      <c r="X756" s="2"/>
      <c r="Y756" s="2"/>
      <c r="Z756" s="9"/>
      <c r="AA756" s="2"/>
      <c r="AB756" s="2"/>
      <c r="AC756" s="2"/>
      <c r="AD756" s="2"/>
    </row>
    <row r="757" spans="1:30" ht="13.2" x14ac:dyDescent="0.25">
      <c r="A757" s="10"/>
      <c r="B757" s="1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9"/>
      <c r="N757" s="2"/>
      <c r="O757" s="9"/>
      <c r="P757" s="9"/>
      <c r="Q757" s="2"/>
      <c r="R757" s="9"/>
      <c r="S757" s="2"/>
      <c r="T757" s="9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3.2" x14ac:dyDescent="0.25">
      <c r="A758" s="10"/>
      <c r="B758" s="1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9"/>
      <c r="N758" s="2"/>
      <c r="O758" s="9"/>
      <c r="P758" s="9"/>
      <c r="Q758" s="2"/>
      <c r="R758" s="9"/>
      <c r="S758" s="2"/>
      <c r="T758" s="9"/>
      <c r="U758" s="2"/>
      <c r="V758" s="9"/>
      <c r="W758" s="9"/>
      <c r="X758" s="2"/>
      <c r="Y758" s="2"/>
      <c r="Z758" s="2"/>
      <c r="AA758" s="2"/>
      <c r="AB758" s="2"/>
      <c r="AC758" s="2"/>
      <c r="AD758" s="2"/>
    </row>
    <row r="759" spans="1:30" ht="13.2" x14ac:dyDescent="0.25">
      <c r="A759" s="10"/>
      <c r="B759" s="1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9"/>
      <c r="N759" s="2"/>
      <c r="O759" s="9"/>
      <c r="P759" s="9"/>
      <c r="Q759" s="2"/>
      <c r="R759" s="9"/>
      <c r="S759" s="2"/>
      <c r="T759" s="9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3.2" x14ac:dyDescent="0.25">
      <c r="A760" s="10"/>
      <c r="B760" s="1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9"/>
      <c r="N760" s="2"/>
      <c r="O760" s="9"/>
      <c r="P760" s="9"/>
      <c r="Q760" s="2"/>
      <c r="R760" s="9"/>
      <c r="S760" s="2"/>
      <c r="T760" s="9"/>
      <c r="U760" s="2"/>
      <c r="V760" s="9"/>
      <c r="W760" s="9"/>
      <c r="X760" s="2"/>
      <c r="Y760" s="2"/>
      <c r="Z760" s="2"/>
      <c r="AA760" s="2"/>
      <c r="AB760" s="2"/>
      <c r="AC760" s="2"/>
      <c r="AD760" s="2"/>
    </row>
    <row r="761" spans="1:30" ht="13.2" x14ac:dyDescent="0.25">
      <c r="A761" s="10"/>
      <c r="B761" s="1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9"/>
      <c r="N761" s="2"/>
      <c r="O761" s="9"/>
      <c r="P761" s="9"/>
      <c r="Q761" s="2"/>
      <c r="R761" s="9"/>
      <c r="S761" s="2"/>
      <c r="T761" s="9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3.2" x14ac:dyDescent="0.25">
      <c r="A762" s="10"/>
      <c r="B762" s="1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9"/>
      <c r="N762" s="2"/>
      <c r="O762" s="9"/>
      <c r="P762" s="9"/>
      <c r="Q762" s="2"/>
      <c r="R762" s="9"/>
      <c r="S762" s="2"/>
      <c r="T762" s="9"/>
      <c r="U762" s="2"/>
      <c r="V762" s="2"/>
      <c r="W762" s="2"/>
      <c r="X762" s="2"/>
      <c r="Y762" s="2"/>
      <c r="Z762" s="9"/>
      <c r="AA762" s="2"/>
      <c r="AB762" s="2"/>
      <c r="AC762" s="2"/>
      <c r="AD762" s="2"/>
    </row>
    <row r="763" spans="1:30" ht="13.2" x14ac:dyDescent="0.25">
      <c r="A763" s="10"/>
      <c r="B763" s="1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9"/>
      <c r="N763" s="2"/>
      <c r="O763" s="9"/>
      <c r="P763" s="9"/>
      <c r="Q763" s="2"/>
      <c r="R763" s="9"/>
      <c r="S763" s="2"/>
      <c r="T763" s="9"/>
      <c r="U763" s="2"/>
      <c r="V763" s="2"/>
      <c r="W763" s="2"/>
      <c r="X763" s="2"/>
      <c r="Y763" s="2"/>
      <c r="Z763" s="9"/>
      <c r="AA763" s="2"/>
      <c r="AB763" s="2"/>
      <c r="AC763" s="2"/>
      <c r="AD763" s="2"/>
    </row>
    <row r="764" spans="1:30" ht="13.2" x14ac:dyDescent="0.25">
      <c r="A764" s="10"/>
      <c r="B764" s="10"/>
      <c r="C764" s="2"/>
      <c r="D764" s="2"/>
      <c r="E764" s="2"/>
      <c r="F764" s="16"/>
      <c r="G764" s="2"/>
      <c r="H764" s="2"/>
      <c r="I764" s="2"/>
      <c r="J764" s="2"/>
      <c r="K764" s="2"/>
      <c r="L764" s="2"/>
      <c r="M764" s="9"/>
      <c r="N764" s="2"/>
      <c r="O764" s="9"/>
      <c r="P764" s="9"/>
      <c r="Q764" s="2"/>
      <c r="R764" s="9"/>
      <c r="S764" s="2"/>
      <c r="T764" s="9"/>
      <c r="U764" s="2"/>
      <c r="V764" s="2"/>
      <c r="W764" s="2"/>
      <c r="X764" s="2"/>
      <c r="Y764" s="2"/>
      <c r="Z764" s="9"/>
      <c r="AA764" s="2"/>
      <c r="AB764" s="2"/>
      <c r="AC764" s="2"/>
      <c r="AD764" s="2"/>
    </row>
    <row r="765" spans="1:30" ht="13.2" x14ac:dyDescent="0.25">
      <c r="A765" s="10"/>
      <c r="B765" s="1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9"/>
      <c r="N765" s="2"/>
      <c r="O765" s="9"/>
      <c r="P765" s="9"/>
      <c r="Q765" s="2"/>
      <c r="R765" s="9"/>
      <c r="S765" s="2"/>
      <c r="T765" s="9"/>
      <c r="U765" s="2"/>
      <c r="V765" s="2"/>
      <c r="W765" s="2"/>
      <c r="X765" s="2"/>
      <c r="Y765" s="2"/>
      <c r="Z765" s="9"/>
      <c r="AA765" s="2"/>
      <c r="AB765" s="2"/>
      <c r="AC765" s="2"/>
      <c r="AD765" s="2"/>
    </row>
    <row r="766" spans="1:30" ht="13.2" x14ac:dyDescent="0.25">
      <c r="A766" s="10"/>
      <c r="B766" s="1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9"/>
      <c r="N766" s="2"/>
      <c r="O766" s="9"/>
      <c r="P766" s="9"/>
      <c r="Q766" s="2"/>
      <c r="R766" s="9"/>
      <c r="S766" s="2"/>
      <c r="T766" s="9"/>
      <c r="U766" s="2"/>
      <c r="V766" s="2"/>
      <c r="W766" s="2"/>
      <c r="X766" s="2"/>
      <c r="Y766" s="2"/>
      <c r="Z766" s="9"/>
      <c r="AA766" s="2"/>
      <c r="AB766" s="2"/>
      <c r="AC766" s="2"/>
      <c r="AD766" s="2"/>
    </row>
    <row r="767" spans="1:30" ht="13.2" x14ac:dyDescent="0.25">
      <c r="A767" s="10"/>
      <c r="B767" s="1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9"/>
      <c r="N767" s="2"/>
      <c r="O767" s="9"/>
      <c r="P767" s="9"/>
      <c r="Q767" s="2"/>
      <c r="R767" s="9"/>
      <c r="S767" s="2"/>
      <c r="T767" s="9"/>
      <c r="U767" s="2"/>
      <c r="V767" s="2"/>
      <c r="W767" s="2"/>
      <c r="X767" s="2"/>
      <c r="Y767" s="2"/>
      <c r="Z767" s="9"/>
      <c r="AA767" s="2"/>
      <c r="AB767" s="2"/>
      <c r="AC767" s="2"/>
      <c r="AD767" s="2"/>
    </row>
    <row r="768" spans="1:30" ht="13.2" x14ac:dyDescent="0.25">
      <c r="A768" s="10"/>
      <c r="B768" s="1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9"/>
      <c r="N768" s="2"/>
      <c r="O768" s="9"/>
      <c r="P768" s="9"/>
      <c r="Q768" s="2"/>
      <c r="R768" s="9"/>
      <c r="S768" s="2"/>
      <c r="T768" s="9"/>
      <c r="U768" s="2"/>
      <c r="V768" s="9"/>
      <c r="W768" s="9"/>
      <c r="X768" s="2"/>
      <c r="Y768" s="2"/>
      <c r="Z768" s="2"/>
      <c r="AA768" s="2"/>
      <c r="AB768" s="2"/>
      <c r="AC768" s="2"/>
      <c r="AD768" s="2"/>
    </row>
    <row r="769" spans="1:30" ht="13.2" x14ac:dyDescent="0.25">
      <c r="A769" s="10"/>
      <c r="B769" s="1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9"/>
      <c r="N769" s="2"/>
      <c r="O769" s="9"/>
      <c r="P769" s="9"/>
      <c r="Q769" s="2"/>
      <c r="R769" s="9"/>
      <c r="S769" s="2"/>
      <c r="T769" s="9"/>
      <c r="U769" s="2"/>
      <c r="V769" s="9"/>
      <c r="W769" s="9"/>
      <c r="X769" s="2"/>
      <c r="Y769" s="2"/>
      <c r="Z769" s="2"/>
      <c r="AA769" s="2"/>
      <c r="AB769" s="2"/>
      <c r="AC769" s="2"/>
      <c r="AD769" s="2"/>
    </row>
    <row r="770" spans="1:30" ht="13.2" x14ac:dyDescent="0.25">
      <c r="A770" s="10"/>
      <c r="B770" s="1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9"/>
      <c r="N770" s="2"/>
      <c r="O770" s="9"/>
      <c r="P770" s="9"/>
      <c r="Q770" s="2"/>
      <c r="R770" s="9"/>
      <c r="S770" s="2"/>
      <c r="T770" s="9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3.2" x14ac:dyDescent="0.25">
      <c r="A771" s="10"/>
      <c r="B771" s="1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9"/>
      <c r="N771" s="2"/>
      <c r="O771" s="9"/>
      <c r="P771" s="9"/>
      <c r="Q771" s="2"/>
      <c r="R771" s="9"/>
      <c r="S771" s="2"/>
      <c r="T771" s="9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3.2" x14ac:dyDescent="0.25">
      <c r="A772" s="10"/>
      <c r="B772" s="1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9"/>
      <c r="N772" s="2"/>
      <c r="O772" s="9"/>
      <c r="P772" s="9"/>
      <c r="Q772" s="2"/>
      <c r="R772" s="9"/>
      <c r="S772" s="2"/>
      <c r="T772" s="9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3.2" x14ac:dyDescent="0.25">
      <c r="A773" s="10"/>
      <c r="B773" s="1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9"/>
      <c r="N773" s="2"/>
      <c r="O773" s="9"/>
      <c r="P773" s="9"/>
      <c r="Q773" s="2"/>
      <c r="R773" s="9"/>
      <c r="S773" s="2"/>
      <c r="T773" s="9"/>
      <c r="U773" s="2"/>
      <c r="V773" s="2"/>
      <c r="W773" s="2"/>
      <c r="X773" s="2"/>
      <c r="Y773" s="2"/>
      <c r="Z773" s="9"/>
      <c r="AA773" s="2"/>
      <c r="AB773" s="2"/>
      <c r="AC773" s="2"/>
      <c r="AD773" s="2"/>
    </row>
    <row r="774" spans="1:30" ht="13.2" x14ac:dyDescent="0.25">
      <c r="A774" s="10"/>
      <c r="B774" s="1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9"/>
      <c r="N774" s="2"/>
      <c r="O774" s="9"/>
      <c r="P774" s="9"/>
      <c r="Q774" s="2"/>
      <c r="R774" s="9"/>
      <c r="S774" s="2"/>
      <c r="T774" s="9"/>
      <c r="U774" s="2"/>
      <c r="V774" s="2"/>
      <c r="W774" s="2"/>
      <c r="X774" s="2"/>
      <c r="Y774" s="2"/>
      <c r="Z774" s="9"/>
      <c r="AA774" s="2"/>
      <c r="AB774" s="2"/>
      <c r="AC774" s="2"/>
      <c r="AD774" s="2"/>
    </row>
    <row r="775" spans="1:30" ht="13.2" x14ac:dyDescent="0.25">
      <c r="A775" s="10"/>
      <c r="B775" s="1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9"/>
      <c r="N775" s="2"/>
      <c r="O775" s="9"/>
      <c r="P775" s="9"/>
      <c r="Q775" s="2"/>
      <c r="R775" s="9"/>
      <c r="S775" s="2"/>
      <c r="T775" s="9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3.2" x14ac:dyDescent="0.25">
      <c r="A776" s="10"/>
      <c r="B776" s="1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9"/>
      <c r="N776" s="2"/>
      <c r="O776" s="9"/>
      <c r="P776" s="9"/>
      <c r="Q776" s="2"/>
      <c r="R776" s="9"/>
      <c r="S776" s="2"/>
      <c r="T776" s="9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3.2" x14ac:dyDescent="0.25">
      <c r="A777" s="10"/>
      <c r="B777" s="1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9"/>
      <c r="N777" s="2"/>
      <c r="O777" s="9"/>
      <c r="P777" s="9"/>
      <c r="Q777" s="2"/>
      <c r="R777" s="9"/>
      <c r="S777" s="2"/>
      <c r="T777" s="9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3.2" x14ac:dyDescent="0.25">
      <c r="A778" s="10"/>
      <c r="B778" s="1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9"/>
      <c r="N778" s="2"/>
      <c r="O778" s="9"/>
      <c r="P778" s="9"/>
      <c r="Q778" s="2"/>
      <c r="R778" s="9"/>
      <c r="S778" s="2"/>
      <c r="T778" s="9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3.2" x14ac:dyDescent="0.25">
      <c r="A779" s="10"/>
      <c r="B779" s="1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9"/>
      <c r="N779" s="2"/>
      <c r="O779" s="9"/>
      <c r="P779" s="9"/>
      <c r="Q779" s="2"/>
      <c r="R779" s="9"/>
      <c r="S779" s="2"/>
      <c r="T779" s="9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3.2" x14ac:dyDescent="0.25">
      <c r="A780" s="10"/>
      <c r="B780" s="1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9"/>
      <c r="N780" s="2"/>
      <c r="O780" s="9"/>
      <c r="P780" s="9"/>
      <c r="Q780" s="2"/>
      <c r="R780" s="9"/>
      <c r="S780" s="2"/>
      <c r="T780" s="9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3.2" x14ac:dyDescent="0.25">
      <c r="A781" s="10"/>
      <c r="B781" s="10"/>
      <c r="C781" s="2"/>
      <c r="D781" s="2"/>
      <c r="E781" s="2"/>
      <c r="F781" s="16"/>
      <c r="G781" s="2"/>
      <c r="H781" s="2"/>
      <c r="I781" s="2"/>
      <c r="J781" s="2"/>
      <c r="K781" s="2"/>
      <c r="L781" s="2"/>
      <c r="M781" s="9"/>
      <c r="N781" s="2"/>
      <c r="O781" s="9"/>
      <c r="P781" s="9"/>
      <c r="Q781" s="2"/>
      <c r="R781" s="9"/>
      <c r="S781" s="2"/>
      <c r="T781" s="9"/>
      <c r="U781" s="2"/>
      <c r="V781" s="2"/>
      <c r="W781" s="2"/>
      <c r="X781" s="2"/>
      <c r="Y781" s="2"/>
      <c r="Z781" s="9"/>
      <c r="AA781" s="2"/>
      <c r="AB781" s="2"/>
      <c r="AC781" s="2"/>
      <c r="AD781" s="2"/>
    </row>
    <row r="782" spans="1:30" ht="13.2" x14ac:dyDescent="0.25">
      <c r="A782" s="10"/>
      <c r="B782" s="1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9"/>
      <c r="N782" s="2"/>
      <c r="O782" s="9"/>
      <c r="P782" s="9"/>
      <c r="Q782" s="2"/>
      <c r="R782" s="9"/>
      <c r="S782" s="2"/>
      <c r="T782" s="9"/>
      <c r="U782" s="2"/>
      <c r="V782" s="2"/>
      <c r="W782" s="2"/>
      <c r="X782" s="2"/>
      <c r="Y782" s="2"/>
      <c r="Z782" s="9"/>
      <c r="AA782" s="2"/>
      <c r="AB782" s="2"/>
      <c r="AC782" s="2"/>
      <c r="AD782" s="2"/>
    </row>
    <row r="783" spans="1:30" ht="13.2" x14ac:dyDescent="0.25">
      <c r="A783" s="10"/>
      <c r="B783" s="10"/>
      <c r="C783" s="2"/>
      <c r="D783" s="2"/>
      <c r="E783" s="2"/>
      <c r="F783" s="16"/>
      <c r="G783" s="2"/>
      <c r="H783" s="2"/>
      <c r="I783" s="2"/>
      <c r="J783" s="2"/>
      <c r="K783" s="2"/>
      <c r="L783" s="2"/>
      <c r="M783" s="9"/>
      <c r="N783" s="2"/>
      <c r="O783" s="9"/>
      <c r="P783" s="9"/>
      <c r="Q783" s="2"/>
      <c r="R783" s="9"/>
      <c r="S783" s="2"/>
      <c r="T783" s="9"/>
      <c r="U783" s="2"/>
      <c r="V783" s="2"/>
      <c r="W783" s="2"/>
      <c r="X783" s="2"/>
      <c r="Y783" s="2"/>
      <c r="Z783" s="9"/>
      <c r="AA783" s="2"/>
      <c r="AB783" s="2"/>
      <c r="AC783" s="2"/>
      <c r="AD783" s="2"/>
    </row>
    <row r="784" spans="1:30" ht="13.2" x14ac:dyDescent="0.25">
      <c r="A784" s="10"/>
      <c r="B784" s="1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9"/>
      <c r="N784" s="2"/>
      <c r="O784" s="9"/>
      <c r="P784" s="9"/>
      <c r="Q784" s="2"/>
      <c r="R784" s="9"/>
      <c r="S784" s="2"/>
      <c r="T784" s="9"/>
      <c r="U784" s="2"/>
      <c r="V784" s="2"/>
      <c r="W784" s="2"/>
      <c r="X784" s="2"/>
      <c r="Y784" s="2"/>
      <c r="Z784" s="9"/>
      <c r="AA784" s="2"/>
      <c r="AB784" s="2"/>
      <c r="AC784" s="2"/>
      <c r="AD784" s="2"/>
    </row>
    <row r="785" spans="1:30" ht="13.2" x14ac:dyDescent="0.25">
      <c r="A785" s="10"/>
      <c r="B785" s="1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9"/>
      <c r="N785" s="2"/>
      <c r="O785" s="9"/>
      <c r="P785" s="9"/>
      <c r="Q785" s="2"/>
      <c r="R785" s="9"/>
      <c r="S785" s="2"/>
      <c r="T785" s="9"/>
      <c r="U785" s="2"/>
      <c r="V785" s="2"/>
      <c r="W785" s="2"/>
      <c r="X785" s="2"/>
      <c r="Y785" s="2"/>
      <c r="Z785" s="9"/>
      <c r="AA785" s="2"/>
      <c r="AB785" s="2"/>
      <c r="AC785" s="2"/>
      <c r="AD785" s="2"/>
    </row>
    <row r="786" spans="1:30" ht="13.2" x14ac:dyDescent="0.25">
      <c r="A786" s="10"/>
      <c r="B786" s="1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9"/>
      <c r="N786" s="2"/>
      <c r="O786" s="9"/>
      <c r="P786" s="9"/>
      <c r="Q786" s="2"/>
      <c r="R786" s="9"/>
      <c r="S786" s="2"/>
      <c r="T786" s="9"/>
      <c r="U786" s="2"/>
      <c r="V786" s="2"/>
      <c r="W786" s="2"/>
      <c r="X786" s="2"/>
      <c r="Y786" s="2"/>
      <c r="Z786" s="9"/>
      <c r="AA786" s="2"/>
      <c r="AB786" s="2"/>
      <c r="AC786" s="2"/>
      <c r="AD786" s="2"/>
    </row>
    <row r="787" spans="1:30" ht="13.2" x14ac:dyDescent="0.25">
      <c r="A787" s="10"/>
      <c r="B787" s="1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9"/>
      <c r="N787" s="2"/>
      <c r="O787" s="9"/>
      <c r="P787" s="9"/>
      <c r="Q787" s="2"/>
      <c r="R787" s="9"/>
      <c r="S787" s="2"/>
      <c r="T787" s="9"/>
      <c r="U787" s="2"/>
      <c r="V787" s="2"/>
      <c r="W787" s="2"/>
      <c r="X787" s="2"/>
      <c r="Y787" s="2"/>
      <c r="Z787" s="9"/>
      <c r="AA787" s="2"/>
      <c r="AB787" s="2"/>
      <c r="AC787" s="2"/>
      <c r="AD787" s="2"/>
    </row>
    <row r="788" spans="1:30" ht="13.2" x14ac:dyDescent="0.25">
      <c r="A788" s="10"/>
      <c r="B788" s="10"/>
      <c r="C788" s="2"/>
      <c r="D788" s="2"/>
      <c r="E788" s="2"/>
      <c r="F788" s="2"/>
      <c r="G788" s="19"/>
      <c r="H788" s="2"/>
      <c r="I788" s="2"/>
      <c r="J788" s="2"/>
      <c r="K788" s="2"/>
      <c r="L788" s="2"/>
      <c r="M788" s="9"/>
      <c r="N788" s="2"/>
      <c r="O788" s="9"/>
      <c r="P788" s="9"/>
      <c r="Q788" s="2"/>
      <c r="R788" s="9"/>
      <c r="S788" s="2"/>
      <c r="T788" s="9"/>
      <c r="U788" s="2"/>
      <c r="V788" s="9"/>
      <c r="W788" s="9"/>
      <c r="X788" s="2"/>
      <c r="Y788" s="2"/>
      <c r="Z788" s="2"/>
      <c r="AA788" s="2"/>
      <c r="AB788" s="2"/>
      <c r="AC788" s="2"/>
      <c r="AD788" s="2"/>
    </row>
    <row r="789" spans="1:30" ht="13.2" x14ac:dyDescent="0.25">
      <c r="A789" s="10"/>
      <c r="B789" s="1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9"/>
      <c r="N789" s="2"/>
      <c r="O789" s="9"/>
      <c r="P789" s="9"/>
      <c r="Q789" s="2"/>
      <c r="R789" s="9"/>
      <c r="S789" s="2"/>
      <c r="T789" s="9"/>
      <c r="U789" s="2"/>
      <c r="V789" s="9"/>
      <c r="W789" s="9"/>
      <c r="X789" s="2"/>
      <c r="Y789" s="2"/>
      <c r="Z789" s="2"/>
      <c r="AA789" s="2"/>
      <c r="AB789" s="2"/>
      <c r="AC789" s="2"/>
      <c r="AD789" s="2"/>
    </row>
    <row r="790" spans="1:30" ht="13.2" x14ac:dyDescent="0.25">
      <c r="A790" s="10"/>
      <c r="B790" s="1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9"/>
      <c r="N790" s="2"/>
      <c r="O790" s="9"/>
      <c r="P790" s="9"/>
      <c r="Q790" s="2"/>
      <c r="R790" s="9"/>
      <c r="S790" s="2"/>
      <c r="T790" s="9"/>
      <c r="U790" s="2"/>
      <c r="V790" s="9"/>
      <c r="W790" s="9"/>
      <c r="X790" s="2"/>
      <c r="Y790" s="2"/>
      <c r="Z790" s="2"/>
      <c r="AA790" s="2"/>
      <c r="AB790" s="2"/>
      <c r="AC790" s="2"/>
      <c r="AD790" s="2"/>
    </row>
    <row r="791" spans="1:30" ht="13.2" x14ac:dyDescent="0.25">
      <c r="A791" s="10"/>
      <c r="B791" s="1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9"/>
      <c r="N791" s="2"/>
      <c r="O791" s="9"/>
      <c r="P791" s="9"/>
      <c r="Q791" s="2"/>
      <c r="R791" s="9"/>
      <c r="S791" s="2"/>
      <c r="T791" s="9"/>
      <c r="U791" s="2"/>
      <c r="V791" s="2"/>
      <c r="W791" s="2"/>
      <c r="X791" s="2"/>
      <c r="Y791" s="2"/>
      <c r="Z791" s="9"/>
      <c r="AA791" s="2"/>
      <c r="AB791" s="2"/>
      <c r="AC791" s="2"/>
      <c r="AD791" s="2"/>
    </row>
    <row r="792" spans="1:30" ht="13.2" x14ac:dyDescent="0.25">
      <c r="A792" s="10"/>
      <c r="B792" s="10"/>
      <c r="C792" s="2"/>
      <c r="D792" s="2"/>
      <c r="E792" s="2"/>
      <c r="F792" s="2"/>
      <c r="G792" s="19"/>
      <c r="H792" s="2"/>
      <c r="I792" s="2"/>
      <c r="J792" s="2"/>
      <c r="K792" s="2"/>
      <c r="L792" s="2"/>
      <c r="M792" s="9"/>
      <c r="N792" s="2"/>
      <c r="O792" s="9"/>
      <c r="P792" s="9"/>
      <c r="Q792" s="2"/>
      <c r="R792" s="9"/>
      <c r="S792" s="2"/>
      <c r="T792" s="9"/>
      <c r="U792" s="2"/>
      <c r="V792" s="9"/>
      <c r="W792" s="9"/>
      <c r="X792" s="2"/>
      <c r="Y792" s="2"/>
      <c r="Z792" s="2"/>
      <c r="AA792" s="2"/>
      <c r="AB792" s="2"/>
      <c r="AC792" s="2"/>
      <c r="AD792" s="2"/>
    </row>
    <row r="793" spans="1:30" ht="13.2" x14ac:dyDescent="0.25">
      <c r="A793" s="10"/>
      <c r="B793" s="1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9"/>
      <c r="N793" s="2"/>
      <c r="O793" s="9"/>
      <c r="P793" s="9"/>
      <c r="Q793" s="2"/>
      <c r="R793" s="9"/>
      <c r="S793" s="2"/>
      <c r="T793" s="9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3.2" x14ac:dyDescent="0.25">
      <c r="A794" s="10"/>
      <c r="B794" s="1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9"/>
      <c r="N794" s="2"/>
      <c r="O794" s="9"/>
      <c r="P794" s="9"/>
      <c r="Q794" s="2"/>
      <c r="R794" s="9"/>
      <c r="S794" s="2"/>
      <c r="T794" s="9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3.2" x14ac:dyDescent="0.25">
      <c r="A795" s="10"/>
      <c r="B795" s="1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9"/>
      <c r="N795" s="2"/>
      <c r="O795" s="9"/>
      <c r="P795" s="9"/>
      <c r="Q795" s="2"/>
      <c r="R795" s="9"/>
      <c r="S795" s="2"/>
      <c r="T795" s="9"/>
      <c r="U795" s="2"/>
      <c r="V795" s="9"/>
      <c r="W795" s="9"/>
      <c r="X795" s="2"/>
      <c r="Y795" s="2"/>
      <c r="Z795" s="2"/>
      <c r="AA795" s="2"/>
      <c r="AB795" s="2"/>
      <c r="AC795" s="2"/>
      <c r="AD795" s="2"/>
    </row>
    <row r="796" spans="1:30" ht="13.2" x14ac:dyDescent="0.25">
      <c r="A796" s="10"/>
      <c r="B796" s="1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9"/>
      <c r="N796" s="2"/>
      <c r="O796" s="9"/>
      <c r="P796" s="9"/>
      <c r="Q796" s="2"/>
      <c r="R796" s="9"/>
      <c r="S796" s="2"/>
      <c r="T796" s="9"/>
      <c r="U796" s="2"/>
      <c r="V796" s="2"/>
      <c r="W796" s="2"/>
      <c r="X796" s="2"/>
      <c r="Y796" s="2"/>
      <c r="Z796" s="9"/>
      <c r="AA796" s="2"/>
      <c r="AB796" s="2"/>
      <c r="AC796" s="2"/>
      <c r="AD796" s="2"/>
    </row>
    <row r="797" spans="1:30" ht="13.2" x14ac:dyDescent="0.25">
      <c r="A797" s="10"/>
      <c r="B797" s="1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9"/>
      <c r="N797" s="2"/>
      <c r="O797" s="9"/>
      <c r="P797" s="9"/>
      <c r="Q797" s="2"/>
      <c r="R797" s="9"/>
      <c r="S797" s="2"/>
      <c r="T797" s="9"/>
      <c r="U797" s="2"/>
      <c r="V797" s="2"/>
      <c r="W797" s="2"/>
      <c r="X797" s="2"/>
      <c r="Y797" s="2"/>
      <c r="Z797" s="9"/>
      <c r="AA797" s="2"/>
      <c r="AB797" s="2"/>
      <c r="AC797" s="2"/>
      <c r="AD797" s="2"/>
    </row>
    <row r="798" spans="1:30" ht="13.2" x14ac:dyDescent="0.25">
      <c r="A798" s="10"/>
      <c r="B798" s="1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9"/>
      <c r="N798" s="2"/>
      <c r="O798" s="9"/>
      <c r="P798" s="9"/>
      <c r="Q798" s="2"/>
      <c r="R798" s="9"/>
      <c r="S798" s="2"/>
      <c r="T798" s="9"/>
      <c r="U798" s="2"/>
      <c r="V798" s="2"/>
      <c r="W798" s="2"/>
      <c r="X798" s="2"/>
      <c r="Y798" s="2"/>
      <c r="Z798" s="9"/>
      <c r="AA798" s="2"/>
      <c r="AB798" s="2"/>
      <c r="AC798" s="2"/>
      <c r="AD798" s="2"/>
    </row>
    <row r="799" spans="1:30" ht="13.2" x14ac:dyDescent="0.25">
      <c r="A799" s="10"/>
      <c r="B799" s="1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9"/>
      <c r="N799" s="2"/>
      <c r="O799" s="9"/>
      <c r="P799" s="9"/>
      <c r="Q799" s="2"/>
      <c r="R799" s="9"/>
      <c r="S799" s="2"/>
      <c r="T799" s="9"/>
      <c r="U799" s="2"/>
      <c r="V799" s="2"/>
      <c r="W799" s="2"/>
      <c r="X799" s="2"/>
      <c r="Y799" s="2"/>
      <c r="Z799" s="9"/>
      <c r="AA799" s="2"/>
      <c r="AB799" s="2"/>
      <c r="AC799" s="2"/>
      <c r="AD799" s="2"/>
    </row>
    <row r="800" spans="1:30" ht="13.2" x14ac:dyDescent="0.25">
      <c r="A800" s="10"/>
      <c r="B800" s="1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9"/>
      <c r="N800" s="2"/>
      <c r="O800" s="9"/>
      <c r="P800" s="9"/>
      <c r="Q800" s="2"/>
      <c r="R800" s="9"/>
      <c r="S800" s="2"/>
      <c r="T800" s="9"/>
      <c r="U800" s="2"/>
      <c r="V800" s="9"/>
      <c r="W800" s="9"/>
      <c r="X800" s="2"/>
      <c r="Y800" s="2"/>
      <c r="Z800" s="2"/>
      <c r="AA800" s="2"/>
      <c r="AB800" s="2"/>
      <c r="AC800" s="2"/>
      <c r="AD800" s="2"/>
    </row>
    <row r="801" spans="1:30" ht="13.2" x14ac:dyDescent="0.25">
      <c r="A801" s="10"/>
      <c r="B801" s="1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9"/>
      <c r="N801" s="2"/>
      <c r="O801" s="9"/>
      <c r="P801" s="9"/>
      <c r="Q801" s="2"/>
      <c r="R801" s="9"/>
      <c r="S801" s="2"/>
      <c r="T801" s="9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3.2" x14ac:dyDescent="0.25">
      <c r="A802" s="10"/>
      <c r="B802" s="1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9"/>
      <c r="N802" s="2"/>
      <c r="O802" s="9"/>
      <c r="P802" s="9"/>
      <c r="Q802" s="2"/>
      <c r="R802" s="9"/>
      <c r="S802" s="2"/>
      <c r="T802" s="9"/>
      <c r="U802" s="2"/>
      <c r="V802" s="9"/>
      <c r="W802" s="9"/>
      <c r="X802" s="2"/>
      <c r="Y802" s="2"/>
      <c r="Z802" s="2"/>
      <c r="AA802" s="2"/>
      <c r="AB802" s="2"/>
      <c r="AC802" s="2"/>
      <c r="AD802" s="2"/>
    </row>
    <row r="803" spans="1:30" ht="13.2" x14ac:dyDescent="0.25">
      <c r="A803" s="10"/>
      <c r="B803" s="1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9"/>
      <c r="N803" s="2"/>
      <c r="O803" s="9"/>
      <c r="P803" s="9"/>
      <c r="Q803" s="2"/>
      <c r="R803" s="9"/>
      <c r="S803" s="2"/>
      <c r="T803" s="9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3.2" x14ac:dyDescent="0.25">
      <c r="A804" s="10"/>
      <c r="B804" s="1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9"/>
      <c r="N804" s="2"/>
      <c r="O804" s="9"/>
      <c r="P804" s="9"/>
      <c r="Q804" s="2"/>
      <c r="R804" s="9"/>
      <c r="S804" s="2"/>
      <c r="T804" s="9"/>
      <c r="U804" s="2"/>
      <c r="V804" s="2"/>
      <c r="W804" s="2"/>
      <c r="X804" s="2"/>
      <c r="Y804" s="2"/>
      <c r="Z804" s="9"/>
      <c r="AA804" s="2"/>
      <c r="AB804" s="2"/>
      <c r="AC804" s="2"/>
      <c r="AD804" s="2"/>
    </row>
    <row r="805" spans="1:30" ht="13.2" x14ac:dyDescent="0.25">
      <c r="A805" s="10"/>
      <c r="B805" s="1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9"/>
      <c r="N805" s="2"/>
      <c r="O805" s="9"/>
      <c r="P805" s="9"/>
      <c r="Q805" s="2"/>
      <c r="R805" s="9"/>
      <c r="S805" s="2"/>
      <c r="T805" s="9"/>
      <c r="U805" s="2"/>
      <c r="V805" s="2"/>
      <c r="W805" s="2"/>
      <c r="X805" s="2"/>
      <c r="Y805" s="2"/>
      <c r="Z805" s="9"/>
      <c r="AA805" s="2"/>
      <c r="AB805" s="2"/>
      <c r="AC805" s="2"/>
      <c r="AD805" s="2"/>
    </row>
    <row r="806" spans="1:30" ht="13.2" x14ac:dyDescent="0.25">
      <c r="A806" s="10"/>
      <c r="B806" s="1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9"/>
      <c r="N806" s="2"/>
      <c r="O806" s="9"/>
      <c r="P806" s="9"/>
      <c r="Q806" s="2"/>
      <c r="R806" s="9"/>
      <c r="S806" s="2"/>
      <c r="T806" s="9"/>
      <c r="U806" s="2"/>
      <c r="V806" s="2"/>
      <c r="W806" s="2"/>
      <c r="X806" s="2"/>
      <c r="Y806" s="2"/>
      <c r="Z806" s="9"/>
      <c r="AA806" s="2"/>
      <c r="AB806" s="2"/>
      <c r="AC806" s="2"/>
      <c r="AD806" s="2"/>
    </row>
    <row r="807" spans="1:30" ht="13.2" x14ac:dyDescent="0.25">
      <c r="A807" s="10"/>
      <c r="B807" s="1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9"/>
      <c r="N807" s="2"/>
      <c r="O807" s="9"/>
      <c r="P807" s="9"/>
      <c r="Q807" s="2"/>
      <c r="R807" s="9"/>
      <c r="S807" s="2"/>
      <c r="T807" s="9"/>
      <c r="U807" s="2"/>
      <c r="V807" s="2"/>
      <c r="W807" s="2"/>
      <c r="X807" s="2"/>
      <c r="Y807" s="2"/>
      <c r="Z807" s="9"/>
      <c r="AA807" s="2"/>
      <c r="AB807" s="2"/>
      <c r="AC807" s="2"/>
      <c r="AD807" s="2"/>
    </row>
    <row r="808" spans="1:30" ht="13.2" x14ac:dyDescent="0.25">
      <c r="A808" s="10"/>
      <c r="B808" s="1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9"/>
      <c r="N808" s="2"/>
      <c r="O808" s="9"/>
      <c r="P808" s="9"/>
      <c r="Q808" s="2"/>
      <c r="R808" s="9"/>
      <c r="S808" s="2"/>
      <c r="T808" s="9"/>
      <c r="U808" s="2"/>
      <c r="V808" s="2"/>
      <c r="W808" s="2"/>
      <c r="X808" s="2"/>
      <c r="Y808" s="2"/>
      <c r="Z808" s="9"/>
      <c r="AA808" s="2"/>
      <c r="AB808" s="2"/>
      <c r="AC808" s="2"/>
      <c r="AD808" s="2"/>
    </row>
    <row r="809" spans="1:30" ht="13.2" x14ac:dyDescent="0.25">
      <c r="A809" s="10"/>
      <c r="B809" s="1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9"/>
      <c r="N809" s="2"/>
      <c r="O809" s="9"/>
      <c r="P809" s="9"/>
      <c r="Q809" s="2"/>
      <c r="R809" s="9"/>
      <c r="S809" s="2"/>
      <c r="T809" s="9"/>
      <c r="U809" s="2"/>
      <c r="V809" s="2"/>
      <c r="W809" s="2"/>
      <c r="X809" s="2"/>
      <c r="Y809" s="2"/>
      <c r="Z809" s="9"/>
      <c r="AA809" s="2"/>
      <c r="AB809" s="2"/>
      <c r="AC809" s="2"/>
      <c r="AD809" s="2"/>
    </row>
    <row r="810" spans="1:30" ht="13.2" x14ac:dyDescent="0.25">
      <c r="A810" s="10"/>
      <c r="B810" s="1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9"/>
      <c r="N810" s="2"/>
      <c r="O810" s="9"/>
      <c r="P810" s="9"/>
      <c r="Q810" s="2"/>
      <c r="R810" s="9"/>
      <c r="S810" s="2"/>
      <c r="T810" s="9"/>
      <c r="U810" s="2"/>
      <c r="V810" s="2"/>
      <c r="W810" s="2"/>
      <c r="X810" s="2"/>
      <c r="Y810" s="2"/>
      <c r="Z810" s="9"/>
      <c r="AA810" s="2"/>
      <c r="AB810" s="2"/>
      <c r="AC810" s="2"/>
      <c r="AD810" s="2"/>
    </row>
    <row r="811" spans="1:30" ht="13.2" x14ac:dyDescent="0.25">
      <c r="A811" s="10"/>
      <c r="B811" s="1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9"/>
      <c r="N811" s="2"/>
      <c r="O811" s="9"/>
      <c r="P811" s="9"/>
      <c r="Q811" s="2"/>
      <c r="R811" s="9"/>
      <c r="S811" s="2"/>
      <c r="T811" s="9"/>
      <c r="U811" s="2"/>
      <c r="V811" s="2"/>
      <c r="W811" s="2"/>
      <c r="X811" s="2"/>
      <c r="Y811" s="2"/>
      <c r="Z811" s="9"/>
      <c r="AA811" s="2"/>
      <c r="AB811" s="2"/>
      <c r="AC811" s="2"/>
      <c r="AD811" s="2"/>
    </row>
    <row r="812" spans="1:30" ht="13.2" x14ac:dyDescent="0.25">
      <c r="A812" s="10"/>
      <c r="B812" s="1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9"/>
      <c r="N812" s="2"/>
      <c r="O812" s="9"/>
      <c r="P812" s="9"/>
      <c r="Q812" s="2"/>
      <c r="R812" s="9"/>
      <c r="S812" s="2"/>
      <c r="T812" s="9"/>
      <c r="U812" s="2"/>
      <c r="V812" s="9"/>
      <c r="W812" s="9"/>
      <c r="X812" s="2"/>
      <c r="Y812" s="2"/>
      <c r="Z812" s="2"/>
      <c r="AA812" s="2"/>
      <c r="AB812" s="2"/>
      <c r="AC812" s="2"/>
      <c r="AD812" s="2"/>
    </row>
    <row r="813" spans="1:30" ht="13.2" x14ac:dyDescent="0.25">
      <c r="A813" s="10"/>
      <c r="B813" s="1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9"/>
      <c r="N813" s="2"/>
      <c r="O813" s="9"/>
      <c r="P813" s="9"/>
      <c r="Q813" s="2"/>
      <c r="R813" s="9"/>
      <c r="S813" s="2"/>
      <c r="T813" s="9"/>
      <c r="U813" s="2"/>
      <c r="V813" s="2"/>
      <c r="W813" s="2"/>
      <c r="X813" s="2"/>
      <c r="Y813" s="2"/>
      <c r="Z813" s="9"/>
      <c r="AA813" s="2"/>
      <c r="AB813" s="2"/>
      <c r="AC813" s="2"/>
      <c r="AD813" s="2"/>
    </row>
    <row r="814" spans="1:30" ht="13.2" x14ac:dyDescent="0.25">
      <c r="A814" s="10"/>
      <c r="B814" s="1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9"/>
      <c r="N814" s="2"/>
      <c r="O814" s="9"/>
      <c r="P814" s="9"/>
      <c r="Q814" s="2"/>
      <c r="R814" s="9"/>
      <c r="S814" s="2"/>
      <c r="T814" s="9"/>
      <c r="U814" s="2"/>
      <c r="V814" s="2"/>
      <c r="W814" s="2"/>
      <c r="X814" s="2"/>
      <c r="Y814" s="2"/>
      <c r="Z814" s="9"/>
      <c r="AA814" s="2"/>
      <c r="AB814" s="2"/>
      <c r="AC814" s="2"/>
      <c r="AD814" s="2"/>
    </row>
    <row r="815" spans="1:30" ht="13.2" x14ac:dyDescent="0.25">
      <c r="A815" s="10"/>
      <c r="B815" s="1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9"/>
      <c r="N815" s="2"/>
      <c r="O815" s="9"/>
      <c r="P815" s="9"/>
      <c r="Q815" s="2"/>
      <c r="R815" s="9"/>
      <c r="S815" s="2"/>
      <c r="T815" s="9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3.2" x14ac:dyDescent="0.25">
      <c r="A816" s="10"/>
      <c r="B816" s="1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9"/>
      <c r="N816" s="2"/>
      <c r="O816" s="9"/>
      <c r="P816" s="9"/>
      <c r="Q816" s="2"/>
      <c r="R816" s="9"/>
      <c r="S816" s="2"/>
      <c r="T816" s="9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3.2" x14ac:dyDescent="0.25">
      <c r="A817" s="10"/>
      <c r="B817" s="1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9"/>
      <c r="N817" s="2"/>
      <c r="O817" s="9"/>
      <c r="P817" s="9"/>
      <c r="Q817" s="2"/>
      <c r="R817" s="9"/>
      <c r="S817" s="2"/>
      <c r="T817" s="9"/>
      <c r="U817" s="2"/>
      <c r="V817" s="2"/>
      <c r="W817" s="2"/>
      <c r="X817" s="2"/>
      <c r="Y817" s="2"/>
      <c r="Z817" s="9"/>
      <c r="AA817" s="2"/>
      <c r="AB817" s="2"/>
      <c r="AC817" s="2"/>
      <c r="AD817" s="2"/>
    </row>
    <row r="818" spans="1:30" ht="13.2" x14ac:dyDescent="0.25">
      <c r="A818" s="10"/>
      <c r="B818" s="1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9"/>
      <c r="N818" s="2"/>
      <c r="O818" s="9"/>
      <c r="P818" s="9"/>
      <c r="Q818" s="2"/>
      <c r="R818" s="9"/>
      <c r="S818" s="2"/>
      <c r="T818" s="9"/>
      <c r="U818" s="2"/>
      <c r="V818" s="9"/>
      <c r="W818" s="9"/>
      <c r="X818" s="2"/>
      <c r="Y818" s="2"/>
      <c r="Z818" s="2"/>
      <c r="AA818" s="2"/>
      <c r="AB818" s="2"/>
      <c r="AC818" s="2"/>
      <c r="AD818" s="2"/>
    </row>
    <row r="819" spans="1:30" ht="13.2" x14ac:dyDescent="0.25">
      <c r="A819" s="10"/>
      <c r="B819" s="1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9"/>
      <c r="N819" s="2"/>
      <c r="O819" s="9"/>
      <c r="P819" s="9"/>
      <c r="Q819" s="2"/>
      <c r="R819" s="9"/>
      <c r="S819" s="2"/>
      <c r="T819" s="9"/>
      <c r="U819" s="2"/>
      <c r="V819" s="9"/>
      <c r="W819" s="9"/>
      <c r="X819" s="2"/>
      <c r="Y819" s="2"/>
      <c r="Z819" s="2"/>
      <c r="AA819" s="2"/>
      <c r="AB819" s="2"/>
      <c r="AC819" s="2"/>
      <c r="AD819" s="2"/>
    </row>
    <row r="820" spans="1:30" ht="13.2" x14ac:dyDescent="0.25">
      <c r="A820" s="10"/>
      <c r="B820" s="1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9"/>
      <c r="N820" s="2"/>
      <c r="O820" s="9"/>
      <c r="P820" s="9"/>
      <c r="Q820" s="2"/>
      <c r="R820" s="9"/>
      <c r="S820" s="2"/>
      <c r="T820" s="9"/>
      <c r="U820" s="2"/>
      <c r="V820" s="9"/>
      <c r="W820" s="9"/>
      <c r="X820" s="2"/>
      <c r="Y820" s="2"/>
      <c r="Z820" s="2"/>
      <c r="AA820" s="2"/>
      <c r="AB820" s="2"/>
      <c r="AC820" s="2"/>
      <c r="AD820" s="2"/>
    </row>
    <row r="821" spans="1:30" ht="13.2" x14ac:dyDescent="0.25">
      <c r="A821" s="10"/>
      <c r="B821" s="1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9"/>
      <c r="N821" s="2"/>
      <c r="O821" s="9"/>
      <c r="P821" s="9"/>
      <c r="Q821" s="2"/>
      <c r="R821" s="9"/>
      <c r="S821" s="2"/>
      <c r="T821" s="9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3.2" x14ac:dyDescent="0.25">
      <c r="A822" s="10"/>
      <c r="B822" s="1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9"/>
      <c r="N822" s="2"/>
      <c r="O822" s="9"/>
      <c r="P822" s="9"/>
      <c r="Q822" s="2"/>
      <c r="R822" s="9"/>
      <c r="S822" s="2"/>
      <c r="T822" s="9"/>
      <c r="U822" s="2"/>
      <c r="V822" s="2"/>
      <c r="W822" s="2"/>
      <c r="X822" s="2"/>
      <c r="Y822" s="2"/>
      <c r="Z822" s="9"/>
      <c r="AA822" s="2"/>
      <c r="AB822" s="2"/>
      <c r="AC822" s="2"/>
      <c r="AD822" s="2"/>
    </row>
    <row r="823" spans="1:30" ht="13.2" x14ac:dyDescent="0.25">
      <c r="A823" s="10"/>
      <c r="B823" s="1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9"/>
      <c r="N823" s="2"/>
      <c r="O823" s="9"/>
      <c r="P823" s="9"/>
      <c r="Q823" s="2"/>
      <c r="R823" s="9"/>
      <c r="S823" s="2"/>
      <c r="T823" s="9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3.2" x14ac:dyDescent="0.25">
      <c r="A824" s="10"/>
      <c r="B824" s="1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9"/>
      <c r="N824" s="2"/>
      <c r="O824" s="9"/>
      <c r="P824" s="9"/>
      <c r="Q824" s="2"/>
      <c r="R824" s="9"/>
      <c r="S824" s="2"/>
      <c r="T824" s="9"/>
      <c r="U824" s="2"/>
      <c r="V824" s="2"/>
      <c r="W824" s="2"/>
      <c r="X824" s="2"/>
      <c r="Y824" s="2"/>
      <c r="Z824" s="9"/>
      <c r="AA824" s="2"/>
      <c r="AB824" s="2"/>
      <c r="AC824" s="2"/>
      <c r="AD824" s="2"/>
    </row>
    <row r="825" spans="1:30" ht="13.2" x14ac:dyDescent="0.25">
      <c r="A825" s="10"/>
      <c r="B825" s="1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9"/>
      <c r="N825" s="2"/>
      <c r="O825" s="9"/>
      <c r="P825" s="9"/>
      <c r="Q825" s="2"/>
      <c r="R825" s="9"/>
      <c r="S825" s="2"/>
      <c r="T825" s="9"/>
      <c r="U825" s="2"/>
      <c r="V825" s="2"/>
      <c r="W825" s="2"/>
      <c r="X825" s="2"/>
      <c r="Y825" s="2"/>
      <c r="Z825" s="9"/>
      <c r="AA825" s="2"/>
      <c r="AB825" s="2"/>
      <c r="AC825" s="2"/>
      <c r="AD825" s="2"/>
    </row>
    <row r="826" spans="1:30" ht="13.2" x14ac:dyDescent="0.25">
      <c r="A826" s="10"/>
      <c r="B826" s="1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9"/>
      <c r="N826" s="2"/>
      <c r="O826" s="9"/>
      <c r="P826" s="9"/>
      <c r="Q826" s="2"/>
      <c r="R826" s="9"/>
      <c r="S826" s="2"/>
      <c r="T826" s="9"/>
      <c r="U826" s="2"/>
      <c r="V826" s="2"/>
      <c r="W826" s="2"/>
      <c r="X826" s="2"/>
      <c r="Y826" s="2"/>
      <c r="Z826" s="9"/>
      <c r="AA826" s="2"/>
      <c r="AB826" s="2"/>
      <c r="AC826" s="2"/>
      <c r="AD826" s="2"/>
    </row>
    <row r="827" spans="1:30" ht="13.2" x14ac:dyDescent="0.25">
      <c r="A827" s="10"/>
      <c r="B827" s="1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9"/>
      <c r="N827" s="2"/>
      <c r="O827" s="9"/>
      <c r="P827" s="9"/>
      <c r="Q827" s="2"/>
      <c r="R827" s="9"/>
      <c r="S827" s="2"/>
      <c r="T827" s="9"/>
      <c r="U827" s="2"/>
      <c r="V827" s="2"/>
      <c r="W827" s="2"/>
      <c r="X827" s="2"/>
      <c r="Y827" s="2"/>
      <c r="Z827" s="9"/>
      <c r="AA827" s="2"/>
      <c r="AB827" s="2"/>
      <c r="AC827" s="2"/>
      <c r="AD827" s="2"/>
    </row>
    <row r="828" spans="1:30" ht="13.2" x14ac:dyDescent="0.25">
      <c r="A828" s="10"/>
      <c r="B828" s="1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9"/>
      <c r="N828" s="2"/>
      <c r="O828" s="9"/>
      <c r="P828" s="9"/>
      <c r="Q828" s="2"/>
      <c r="R828" s="9"/>
      <c r="S828" s="2"/>
      <c r="T828" s="9"/>
      <c r="U828" s="2"/>
      <c r="V828" s="9"/>
      <c r="W828" s="9"/>
      <c r="X828" s="2"/>
      <c r="Y828" s="2"/>
      <c r="Z828" s="2"/>
      <c r="AA828" s="2"/>
      <c r="AB828" s="2"/>
      <c r="AC828" s="2"/>
      <c r="AD828" s="2"/>
    </row>
    <row r="829" spans="1:30" ht="13.2" x14ac:dyDescent="0.25">
      <c r="A829" s="10"/>
      <c r="B829" s="1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9"/>
      <c r="N829" s="2"/>
      <c r="O829" s="9"/>
      <c r="P829" s="9"/>
      <c r="Q829" s="2"/>
      <c r="R829" s="9"/>
      <c r="S829" s="2"/>
      <c r="T829" s="9"/>
      <c r="U829" s="2"/>
      <c r="V829" s="2"/>
      <c r="W829" s="2"/>
      <c r="X829" s="2"/>
      <c r="Y829" s="2"/>
      <c r="Z829" s="9"/>
      <c r="AA829" s="2"/>
      <c r="AB829" s="2"/>
      <c r="AC829" s="2"/>
      <c r="AD829" s="2"/>
    </row>
    <row r="830" spans="1:30" ht="13.2" x14ac:dyDescent="0.25">
      <c r="A830" s="10"/>
      <c r="B830" s="1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9"/>
      <c r="N830" s="2"/>
      <c r="O830" s="9"/>
      <c r="P830" s="9"/>
      <c r="Q830" s="2"/>
      <c r="R830" s="9"/>
      <c r="S830" s="2"/>
      <c r="T830" s="9"/>
      <c r="U830" s="2"/>
      <c r="V830" s="2"/>
      <c r="W830" s="2"/>
      <c r="X830" s="2"/>
      <c r="Y830" s="2"/>
      <c r="Z830" s="9"/>
      <c r="AA830" s="2"/>
      <c r="AB830" s="2"/>
      <c r="AC830" s="2"/>
      <c r="AD830" s="2"/>
    </row>
    <row r="831" spans="1:30" ht="13.2" x14ac:dyDescent="0.25">
      <c r="A831" s="10"/>
      <c r="B831" s="1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9"/>
      <c r="N831" s="2"/>
      <c r="O831" s="9"/>
      <c r="P831" s="9"/>
      <c r="Q831" s="2"/>
      <c r="R831" s="9"/>
      <c r="S831" s="2"/>
      <c r="T831" s="9"/>
      <c r="U831" s="2"/>
      <c r="V831" s="2"/>
      <c r="W831" s="2"/>
      <c r="X831" s="2"/>
      <c r="Y831" s="2"/>
      <c r="Z831" s="9"/>
      <c r="AA831" s="2"/>
      <c r="AB831" s="2"/>
      <c r="AC831" s="2"/>
      <c r="AD831" s="2"/>
    </row>
    <row r="832" spans="1:30" ht="13.2" x14ac:dyDescent="0.25">
      <c r="A832" s="10"/>
      <c r="B832" s="1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9"/>
      <c r="N832" s="2"/>
      <c r="O832" s="9"/>
      <c r="P832" s="9"/>
      <c r="Q832" s="2"/>
      <c r="R832" s="9"/>
      <c r="S832" s="2"/>
      <c r="T832" s="9"/>
      <c r="U832" s="2"/>
      <c r="V832" s="2"/>
      <c r="W832" s="2"/>
      <c r="X832" s="2"/>
      <c r="Y832" s="2"/>
      <c r="Z832" s="9"/>
      <c r="AA832" s="2"/>
      <c r="AB832" s="2"/>
      <c r="AC832" s="2"/>
      <c r="AD832" s="2"/>
    </row>
    <row r="833" spans="1:30" ht="13.2" x14ac:dyDescent="0.25">
      <c r="A833" s="10"/>
      <c r="B833" s="1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9"/>
      <c r="N833" s="2"/>
      <c r="O833" s="9"/>
      <c r="P833" s="9"/>
      <c r="Q833" s="2"/>
      <c r="R833" s="9"/>
      <c r="S833" s="2"/>
      <c r="T833" s="9"/>
      <c r="U833" s="2"/>
      <c r="V833" s="2"/>
      <c r="W833" s="2"/>
      <c r="X833" s="2"/>
      <c r="Y833" s="2"/>
      <c r="Z833" s="9"/>
      <c r="AA833" s="2"/>
      <c r="AB833" s="2"/>
      <c r="AC833" s="2"/>
      <c r="AD833" s="2"/>
    </row>
    <row r="834" spans="1:30" ht="13.2" x14ac:dyDescent="0.25">
      <c r="A834" s="10"/>
      <c r="B834" s="1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9"/>
      <c r="N834" s="2"/>
      <c r="O834" s="9"/>
      <c r="P834" s="9"/>
      <c r="Q834" s="2"/>
      <c r="R834" s="9"/>
      <c r="S834" s="2"/>
      <c r="T834" s="9"/>
      <c r="U834" s="2"/>
      <c r="V834" s="2"/>
      <c r="W834" s="2"/>
      <c r="X834" s="2"/>
      <c r="Y834" s="2"/>
      <c r="Z834" s="9"/>
      <c r="AA834" s="2"/>
      <c r="AB834" s="2"/>
      <c r="AC834" s="2"/>
      <c r="AD834" s="2"/>
    </row>
    <row r="835" spans="1:30" ht="13.2" x14ac:dyDescent="0.25">
      <c r="A835" s="10"/>
      <c r="B835" s="1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9"/>
      <c r="N835" s="2"/>
      <c r="O835" s="9"/>
      <c r="P835" s="9"/>
      <c r="Q835" s="2"/>
      <c r="R835" s="9"/>
      <c r="S835" s="2"/>
      <c r="T835" s="9"/>
      <c r="U835" s="2"/>
      <c r="V835" s="2"/>
      <c r="W835" s="2"/>
      <c r="X835" s="2"/>
      <c r="Y835" s="2"/>
      <c r="Z835" s="9"/>
      <c r="AA835" s="2"/>
      <c r="AB835" s="2"/>
      <c r="AC835" s="2"/>
      <c r="AD835" s="2"/>
    </row>
    <row r="836" spans="1:30" ht="13.2" x14ac:dyDescent="0.25">
      <c r="A836" s="10"/>
      <c r="B836" s="1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9"/>
      <c r="N836" s="2"/>
      <c r="O836" s="9"/>
      <c r="P836" s="9"/>
      <c r="Q836" s="2"/>
      <c r="R836" s="9"/>
      <c r="S836" s="2"/>
      <c r="T836" s="9"/>
      <c r="U836" s="2"/>
      <c r="V836" s="2"/>
      <c r="W836" s="2"/>
      <c r="X836" s="2"/>
      <c r="Y836" s="2"/>
      <c r="Z836" s="9"/>
      <c r="AA836" s="2"/>
      <c r="AB836" s="2"/>
      <c r="AC836" s="2"/>
      <c r="AD836" s="2"/>
    </row>
    <row r="837" spans="1:30" ht="13.2" x14ac:dyDescent="0.25">
      <c r="A837" s="10"/>
      <c r="B837" s="1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9"/>
      <c r="N837" s="2"/>
      <c r="O837" s="9"/>
      <c r="P837" s="9"/>
      <c r="Q837" s="2"/>
      <c r="R837" s="9"/>
      <c r="S837" s="2"/>
      <c r="T837" s="9"/>
      <c r="U837" s="2"/>
      <c r="V837" s="2"/>
      <c r="W837" s="2"/>
      <c r="X837" s="2"/>
      <c r="Y837" s="2"/>
      <c r="Z837" s="9"/>
      <c r="AA837" s="2"/>
      <c r="AB837" s="2"/>
      <c r="AC837" s="2"/>
      <c r="AD837" s="2"/>
    </row>
    <row r="838" spans="1:30" ht="13.2" x14ac:dyDescent="0.25">
      <c r="A838" s="10"/>
      <c r="B838" s="1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9"/>
      <c r="N838" s="2"/>
      <c r="O838" s="9"/>
      <c r="P838" s="9"/>
      <c r="Q838" s="2"/>
      <c r="R838" s="9"/>
      <c r="S838" s="2"/>
      <c r="T838" s="9"/>
      <c r="U838" s="2"/>
      <c r="V838" s="2"/>
      <c r="W838" s="2"/>
      <c r="X838" s="2"/>
      <c r="Y838" s="2"/>
      <c r="Z838" s="9"/>
      <c r="AA838" s="2"/>
      <c r="AB838" s="2"/>
      <c r="AC838" s="2"/>
      <c r="AD838" s="2"/>
    </row>
    <row r="839" spans="1:30" ht="13.2" x14ac:dyDescent="0.25">
      <c r="A839" s="10"/>
      <c r="B839" s="1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9"/>
      <c r="N839" s="2"/>
      <c r="O839" s="9"/>
      <c r="P839" s="9"/>
      <c r="Q839" s="2"/>
      <c r="R839" s="9"/>
      <c r="S839" s="2"/>
      <c r="T839" s="9"/>
      <c r="U839" s="2"/>
      <c r="V839" s="2"/>
      <c r="W839" s="2"/>
      <c r="X839" s="2"/>
      <c r="Y839" s="2"/>
      <c r="Z839" s="9"/>
      <c r="AA839" s="2"/>
      <c r="AB839" s="2"/>
      <c r="AC839" s="2"/>
      <c r="AD839" s="2"/>
    </row>
    <row r="840" spans="1:30" ht="13.2" x14ac:dyDescent="0.25">
      <c r="A840" s="10"/>
      <c r="B840" s="1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9"/>
      <c r="N840" s="2"/>
      <c r="O840" s="9"/>
      <c r="P840" s="9"/>
      <c r="Q840" s="2"/>
      <c r="R840" s="9"/>
      <c r="S840" s="2"/>
      <c r="T840" s="9"/>
      <c r="U840" s="2"/>
      <c r="V840" s="2"/>
      <c r="W840" s="2"/>
      <c r="X840" s="2"/>
      <c r="Y840" s="2"/>
      <c r="Z840" s="9"/>
      <c r="AA840" s="2"/>
      <c r="AB840" s="2"/>
      <c r="AC840" s="2"/>
      <c r="AD840" s="2"/>
    </row>
    <row r="841" spans="1:30" ht="13.2" x14ac:dyDescent="0.25">
      <c r="A841" s="10"/>
      <c r="B841" s="1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9"/>
      <c r="N841" s="2"/>
      <c r="O841" s="9"/>
      <c r="P841" s="9"/>
      <c r="Q841" s="2"/>
      <c r="R841" s="9"/>
      <c r="S841" s="2"/>
      <c r="T841" s="9"/>
      <c r="U841" s="2"/>
      <c r="V841" s="9"/>
      <c r="W841" s="9"/>
      <c r="X841" s="2"/>
      <c r="Y841" s="2"/>
      <c r="Z841" s="2"/>
      <c r="AA841" s="2"/>
      <c r="AB841" s="2"/>
      <c r="AC841" s="2"/>
      <c r="AD841" s="2"/>
    </row>
    <row r="842" spans="1:30" ht="13.2" x14ac:dyDescent="0.25">
      <c r="A842" s="10"/>
      <c r="B842" s="1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9"/>
      <c r="N842" s="2"/>
      <c r="O842" s="9"/>
      <c r="P842" s="9"/>
      <c r="Q842" s="2"/>
      <c r="R842" s="9"/>
      <c r="S842" s="2"/>
      <c r="T842" s="9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3.2" x14ac:dyDescent="0.25">
      <c r="A843" s="10"/>
      <c r="B843" s="1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9"/>
      <c r="N843" s="2"/>
      <c r="O843" s="9"/>
      <c r="P843" s="9"/>
      <c r="Q843" s="2"/>
      <c r="R843" s="9"/>
      <c r="S843" s="2"/>
      <c r="T843" s="9"/>
      <c r="U843" s="2"/>
      <c r="V843" s="9"/>
      <c r="W843" s="9"/>
      <c r="X843" s="2"/>
      <c r="Y843" s="2"/>
      <c r="Z843" s="2"/>
      <c r="AA843" s="2"/>
      <c r="AB843" s="2"/>
      <c r="AC843" s="2"/>
      <c r="AD843" s="2"/>
    </row>
    <row r="844" spans="1:30" ht="13.2" x14ac:dyDescent="0.25">
      <c r="A844" s="10"/>
      <c r="B844" s="1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9"/>
      <c r="N844" s="2"/>
      <c r="O844" s="9"/>
      <c r="P844" s="9"/>
      <c r="Q844" s="2"/>
      <c r="R844" s="9"/>
      <c r="S844" s="2"/>
      <c r="T844" s="9"/>
      <c r="U844" s="2"/>
      <c r="V844" s="9"/>
      <c r="W844" s="9"/>
      <c r="X844" s="2"/>
      <c r="Y844" s="2"/>
      <c r="Z844" s="2"/>
      <c r="AA844" s="2"/>
      <c r="AB844" s="2"/>
      <c r="AC844" s="2"/>
      <c r="AD844" s="2"/>
    </row>
    <row r="845" spans="1:30" ht="13.2" x14ac:dyDescent="0.25">
      <c r="A845" s="10"/>
      <c r="B845" s="1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9"/>
      <c r="N845" s="2"/>
      <c r="O845" s="9"/>
      <c r="P845" s="9"/>
      <c r="Q845" s="2"/>
      <c r="R845" s="9"/>
      <c r="S845" s="2"/>
      <c r="T845" s="9"/>
      <c r="U845" s="2"/>
      <c r="V845" s="9"/>
      <c r="W845" s="9"/>
      <c r="X845" s="2"/>
      <c r="Y845" s="2"/>
      <c r="Z845" s="2"/>
      <c r="AA845" s="2"/>
      <c r="AB845" s="2"/>
      <c r="AC845" s="2"/>
      <c r="AD845" s="2"/>
    </row>
    <row r="846" spans="1:30" ht="13.2" x14ac:dyDescent="0.25">
      <c r="A846" s="10"/>
      <c r="B846" s="1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9"/>
      <c r="N846" s="2"/>
      <c r="O846" s="9"/>
      <c r="P846" s="9"/>
      <c r="Q846" s="2"/>
      <c r="R846" s="9"/>
      <c r="S846" s="2"/>
      <c r="T846" s="9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3.2" x14ac:dyDescent="0.25">
      <c r="A847" s="10"/>
      <c r="B847" s="1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9"/>
      <c r="N847" s="2"/>
      <c r="O847" s="9"/>
      <c r="P847" s="9"/>
      <c r="Q847" s="2"/>
      <c r="R847" s="9"/>
      <c r="S847" s="2"/>
      <c r="T847" s="9"/>
      <c r="U847" s="2"/>
      <c r="V847" s="2"/>
      <c r="W847" s="2"/>
      <c r="X847" s="2"/>
      <c r="Y847" s="2"/>
      <c r="Z847" s="9"/>
      <c r="AA847" s="2"/>
      <c r="AB847" s="2"/>
      <c r="AC847" s="2"/>
      <c r="AD847" s="2"/>
    </row>
    <row r="848" spans="1:30" ht="13.2" x14ac:dyDescent="0.25">
      <c r="A848" s="10"/>
      <c r="B848" s="1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9"/>
      <c r="N848" s="2"/>
      <c r="O848" s="9"/>
      <c r="P848" s="9"/>
      <c r="Q848" s="2"/>
      <c r="R848" s="9"/>
      <c r="S848" s="2"/>
      <c r="T848" s="9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3.2" x14ac:dyDescent="0.25">
      <c r="A849" s="10"/>
      <c r="B849" s="1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9"/>
      <c r="N849" s="2"/>
      <c r="O849" s="9"/>
      <c r="P849" s="9"/>
      <c r="Q849" s="2"/>
      <c r="R849" s="9"/>
      <c r="S849" s="2"/>
      <c r="T849" s="9"/>
      <c r="U849" s="2"/>
      <c r="V849" s="9"/>
      <c r="W849" s="9"/>
      <c r="X849" s="2"/>
      <c r="Y849" s="2"/>
      <c r="Z849" s="2"/>
      <c r="AA849" s="2"/>
      <c r="AB849" s="2"/>
      <c r="AC849" s="2"/>
      <c r="AD849" s="2"/>
    </row>
    <row r="850" spans="1:30" ht="13.2" x14ac:dyDescent="0.25">
      <c r="A850" s="10"/>
      <c r="B850" s="1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9"/>
      <c r="N850" s="2"/>
      <c r="O850" s="9"/>
      <c r="P850" s="9"/>
      <c r="Q850" s="2"/>
      <c r="R850" s="9"/>
      <c r="S850" s="2"/>
      <c r="T850" s="9"/>
      <c r="U850" s="2"/>
      <c r="V850" s="9"/>
      <c r="W850" s="9"/>
      <c r="X850" s="2"/>
      <c r="Y850" s="2"/>
      <c r="Z850" s="2"/>
      <c r="AA850" s="2"/>
      <c r="AB850" s="2"/>
      <c r="AC850" s="2"/>
      <c r="AD850" s="2"/>
    </row>
    <row r="851" spans="1:30" ht="13.2" x14ac:dyDescent="0.25">
      <c r="A851" s="10"/>
      <c r="B851" s="1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9"/>
      <c r="N851" s="2"/>
      <c r="O851" s="9"/>
      <c r="P851" s="9"/>
      <c r="Q851" s="2"/>
      <c r="R851" s="9"/>
      <c r="S851" s="2"/>
      <c r="T851" s="9"/>
      <c r="U851" s="2"/>
      <c r="V851" s="9"/>
      <c r="W851" s="9"/>
      <c r="X851" s="2"/>
      <c r="Y851" s="2"/>
      <c r="Z851" s="2"/>
      <c r="AA851" s="2"/>
      <c r="AB851" s="2"/>
      <c r="AC851" s="2"/>
      <c r="AD851" s="2"/>
    </row>
    <row r="852" spans="1:30" ht="13.2" x14ac:dyDescent="0.25">
      <c r="A852" s="10"/>
      <c r="B852" s="1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9"/>
      <c r="N852" s="2"/>
      <c r="O852" s="9"/>
      <c r="P852" s="9"/>
      <c r="Q852" s="2"/>
      <c r="R852" s="9"/>
      <c r="S852" s="2"/>
      <c r="T852" s="9"/>
      <c r="U852" s="2"/>
      <c r="V852" s="9"/>
      <c r="W852" s="9"/>
      <c r="X852" s="2"/>
      <c r="Y852" s="2"/>
      <c r="Z852" s="2"/>
      <c r="AA852" s="2"/>
      <c r="AB852" s="2"/>
      <c r="AC852" s="2"/>
      <c r="AD852" s="2"/>
    </row>
    <row r="853" spans="1:30" ht="13.2" x14ac:dyDescent="0.25">
      <c r="A853" s="10"/>
      <c r="B853" s="1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9"/>
      <c r="N853" s="2"/>
      <c r="O853" s="9"/>
      <c r="P853" s="9"/>
      <c r="Q853" s="2"/>
      <c r="R853" s="9"/>
      <c r="S853" s="2"/>
      <c r="T853" s="9"/>
      <c r="U853" s="2"/>
      <c r="V853" s="2"/>
      <c r="W853" s="2"/>
      <c r="X853" s="2"/>
      <c r="Y853" s="2"/>
      <c r="Z853" s="9"/>
      <c r="AA853" s="2"/>
      <c r="AB853" s="2"/>
      <c r="AC853" s="2"/>
      <c r="AD853" s="2"/>
    </row>
    <row r="854" spans="1:30" ht="13.2" x14ac:dyDescent="0.25">
      <c r="A854" s="10"/>
      <c r="B854" s="1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9"/>
      <c r="N854" s="2"/>
      <c r="O854" s="9"/>
      <c r="P854" s="9"/>
      <c r="Q854" s="2"/>
      <c r="R854" s="9"/>
      <c r="S854" s="2"/>
      <c r="T854" s="9"/>
      <c r="U854" s="2"/>
      <c r="V854" s="2"/>
      <c r="W854" s="2"/>
      <c r="X854" s="2"/>
      <c r="Y854" s="2"/>
      <c r="Z854" s="9"/>
      <c r="AA854" s="2"/>
      <c r="AB854" s="2"/>
      <c r="AC854" s="2"/>
      <c r="AD854" s="2"/>
    </row>
    <row r="855" spans="1:30" ht="13.2" x14ac:dyDescent="0.25">
      <c r="A855" s="10"/>
      <c r="B855" s="1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9"/>
      <c r="N855" s="2"/>
      <c r="O855" s="9"/>
      <c r="P855" s="9"/>
      <c r="Q855" s="2"/>
      <c r="R855" s="9"/>
      <c r="S855" s="2"/>
      <c r="T855" s="9"/>
      <c r="U855" s="2"/>
      <c r="V855" s="2"/>
      <c r="W855" s="2"/>
      <c r="X855" s="2"/>
      <c r="Y855" s="2"/>
      <c r="Z855" s="9"/>
      <c r="AA855" s="2"/>
      <c r="AB855" s="2"/>
      <c r="AC855" s="2"/>
      <c r="AD855" s="2"/>
    </row>
    <row r="856" spans="1:30" ht="13.2" x14ac:dyDescent="0.25">
      <c r="A856" s="10"/>
      <c r="B856" s="1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9"/>
      <c r="N856" s="2"/>
      <c r="O856" s="9"/>
      <c r="P856" s="9"/>
      <c r="Q856" s="2"/>
      <c r="R856" s="9"/>
      <c r="S856" s="2"/>
      <c r="T856" s="9"/>
      <c r="U856" s="2"/>
      <c r="V856" s="2"/>
      <c r="W856" s="2"/>
      <c r="X856" s="2"/>
      <c r="Y856" s="2"/>
      <c r="Z856" s="9"/>
      <c r="AA856" s="2"/>
      <c r="AB856" s="2"/>
      <c r="AC856" s="2"/>
      <c r="AD856" s="2"/>
    </row>
    <row r="857" spans="1:30" ht="13.2" x14ac:dyDescent="0.25">
      <c r="A857" s="10"/>
      <c r="B857" s="1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9"/>
      <c r="N857" s="2"/>
      <c r="O857" s="9"/>
      <c r="P857" s="9"/>
      <c r="Q857" s="2"/>
      <c r="R857" s="9"/>
      <c r="S857" s="2"/>
      <c r="T857" s="9"/>
      <c r="U857" s="2"/>
      <c r="V857" s="9"/>
      <c r="W857" s="9"/>
      <c r="X857" s="2"/>
      <c r="Y857" s="2"/>
      <c r="Z857" s="2"/>
      <c r="AA857" s="2"/>
      <c r="AB857" s="2"/>
      <c r="AC857" s="2"/>
      <c r="AD857" s="2"/>
    </row>
    <row r="858" spans="1:30" ht="13.2" x14ac:dyDescent="0.25">
      <c r="A858" s="10"/>
      <c r="B858" s="1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9"/>
      <c r="N858" s="2"/>
      <c r="O858" s="9"/>
      <c r="P858" s="9"/>
      <c r="Q858" s="2"/>
      <c r="R858" s="9"/>
      <c r="S858" s="2"/>
      <c r="T858" s="9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3.2" x14ac:dyDescent="0.25">
      <c r="A859" s="10"/>
      <c r="B859" s="1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9"/>
      <c r="N859" s="2"/>
      <c r="O859" s="9"/>
      <c r="P859" s="9"/>
      <c r="Q859" s="2"/>
      <c r="R859" s="9"/>
      <c r="S859" s="2"/>
      <c r="T859" s="9"/>
      <c r="U859" s="2"/>
      <c r="V859" s="2"/>
      <c r="W859" s="2"/>
      <c r="X859" s="2"/>
      <c r="Y859" s="2"/>
      <c r="Z859" s="9"/>
      <c r="AA859" s="2"/>
      <c r="AB859" s="2"/>
      <c r="AC859" s="2"/>
      <c r="AD859" s="2"/>
    </row>
    <row r="860" spans="1:30" ht="13.2" x14ac:dyDescent="0.25">
      <c r="A860" s="10"/>
      <c r="B860" s="1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9"/>
      <c r="N860" s="2"/>
      <c r="O860" s="9"/>
      <c r="P860" s="9"/>
      <c r="Q860" s="2"/>
      <c r="R860" s="9"/>
      <c r="S860" s="2"/>
      <c r="T860" s="9"/>
      <c r="U860" s="2"/>
      <c r="V860" s="2"/>
      <c r="W860" s="2"/>
      <c r="X860" s="2"/>
      <c r="Y860" s="2"/>
      <c r="Z860" s="9"/>
      <c r="AA860" s="2"/>
      <c r="AB860" s="2"/>
      <c r="AC860" s="2"/>
      <c r="AD860" s="2"/>
    </row>
    <row r="861" spans="1:30" ht="13.2" x14ac:dyDescent="0.25">
      <c r="A861" s="10"/>
      <c r="B861" s="1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9"/>
      <c r="N861" s="2"/>
      <c r="O861" s="9"/>
      <c r="P861" s="9"/>
      <c r="Q861" s="2"/>
      <c r="R861" s="9"/>
      <c r="S861" s="2"/>
      <c r="T861" s="9"/>
      <c r="U861" s="2"/>
      <c r="V861" s="2"/>
      <c r="W861" s="2"/>
      <c r="X861" s="2"/>
      <c r="Y861" s="2"/>
      <c r="Z861" s="9"/>
      <c r="AA861" s="2"/>
      <c r="AB861" s="2"/>
      <c r="AC861" s="2"/>
      <c r="AD861" s="2"/>
    </row>
    <row r="862" spans="1:30" ht="13.2" x14ac:dyDescent="0.25">
      <c r="A862" s="10"/>
      <c r="B862" s="1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9"/>
      <c r="N862" s="2"/>
      <c r="O862" s="9"/>
      <c r="P862" s="9"/>
      <c r="Q862" s="2"/>
      <c r="R862" s="9"/>
      <c r="S862" s="2"/>
      <c r="T862" s="9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3.2" x14ac:dyDescent="0.25">
      <c r="A863" s="10"/>
      <c r="B863" s="1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9"/>
      <c r="N863" s="2"/>
      <c r="O863" s="9"/>
      <c r="P863" s="9"/>
      <c r="Q863" s="2"/>
      <c r="R863" s="9"/>
      <c r="S863" s="2"/>
      <c r="T863" s="9"/>
      <c r="U863" s="2"/>
      <c r="V863" s="2"/>
      <c r="W863" s="2"/>
      <c r="X863" s="2"/>
      <c r="Y863" s="2"/>
      <c r="Z863" s="9"/>
      <c r="AA863" s="2"/>
      <c r="AB863" s="2"/>
      <c r="AC863" s="2"/>
      <c r="AD863" s="2"/>
    </row>
    <row r="864" spans="1:30" ht="13.2" x14ac:dyDescent="0.25">
      <c r="A864" s="10"/>
      <c r="B864" s="1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9"/>
      <c r="N864" s="2"/>
      <c r="O864" s="9"/>
      <c r="P864" s="9"/>
      <c r="Q864" s="2"/>
      <c r="R864" s="9"/>
      <c r="S864" s="2"/>
      <c r="T864" s="9"/>
      <c r="U864" s="2"/>
      <c r="V864" s="9"/>
      <c r="W864" s="9"/>
      <c r="X864" s="2"/>
      <c r="Y864" s="2"/>
      <c r="Z864" s="2"/>
      <c r="AA864" s="2"/>
      <c r="AB864" s="2"/>
      <c r="AC864" s="2"/>
      <c r="AD864" s="2"/>
    </row>
    <row r="865" spans="1:30" ht="13.2" x14ac:dyDescent="0.25">
      <c r="A865" s="10"/>
      <c r="B865" s="1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9"/>
      <c r="N865" s="2"/>
      <c r="O865" s="9"/>
      <c r="P865" s="9"/>
      <c r="Q865" s="2"/>
      <c r="R865" s="9"/>
      <c r="S865" s="2"/>
      <c r="T865" s="9"/>
      <c r="U865" s="2"/>
      <c r="V865" s="2"/>
      <c r="W865" s="2"/>
      <c r="X865" s="2"/>
      <c r="Y865" s="2"/>
      <c r="Z865" s="9"/>
      <c r="AA865" s="2"/>
      <c r="AB865" s="2"/>
      <c r="AC865" s="2"/>
      <c r="AD865" s="2"/>
    </row>
    <row r="866" spans="1:30" ht="13.2" x14ac:dyDescent="0.25">
      <c r="A866" s="10"/>
      <c r="B866" s="1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9"/>
      <c r="N866" s="2"/>
      <c r="O866" s="9"/>
      <c r="P866" s="9"/>
      <c r="Q866" s="2"/>
      <c r="R866" s="9"/>
      <c r="S866" s="2"/>
      <c r="T866" s="9"/>
      <c r="U866" s="2"/>
      <c r="V866" s="2"/>
      <c r="W866" s="2"/>
      <c r="X866" s="2"/>
      <c r="Y866" s="2"/>
      <c r="Z866" s="9"/>
      <c r="AA866" s="2"/>
      <c r="AB866" s="2"/>
      <c r="AC866" s="2"/>
      <c r="AD866" s="2"/>
    </row>
    <row r="867" spans="1:30" ht="13.2" x14ac:dyDescent="0.25">
      <c r="A867" s="10"/>
      <c r="B867" s="1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9"/>
      <c r="N867" s="2"/>
      <c r="O867" s="9"/>
      <c r="P867" s="9"/>
      <c r="Q867" s="2"/>
      <c r="R867" s="9"/>
      <c r="S867" s="2"/>
      <c r="T867" s="9"/>
      <c r="U867" s="2"/>
      <c r="V867" s="2"/>
      <c r="W867" s="2"/>
      <c r="X867" s="2"/>
      <c r="Y867" s="2"/>
      <c r="Z867" s="9"/>
      <c r="AA867" s="2"/>
      <c r="AB867" s="2"/>
      <c r="AC867" s="2"/>
      <c r="AD867" s="2"/>
    </row>
    <row r="868" spans="1:30" ht="13.2" x14ac:dyDescent="0.25">
      <c r="A868" s="10"/>
      <c r="B868" s="1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9"/>
      <c r="N868" s="2"/>
      <c r="O868" s="9"/>
      <c r="P868" s="9"/>
      <c r="Q868" s="2"/>
      <c r="R868" s="9"/>
      <c r="S868" s="2"/>
      <c r="T868" s="9"/>
      <c r="U868" s="2"/>
      <c r="V868" s="2"/>
      <c r="W868" s="2"/>
      <c r="X868" s="2"/>
      <c r="Y868" s="2"/>
      <c r="Z868" s="9"/>
      <c r="AA868" s="2"/>
      <c r="AB868" s="2"/>
      <c r="AC868" s="2"/>
      <c r="AD868" s="2"/>
    </row>
    <row r="869" spans="1:30" ht="13.2" x14ac:dyDescent="0.25">
      <c r="A869" s="10"/>
      <c r="B869" s="1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9"/>
      <c r="N869" s="2"/>
      <c r="O869" s="9"/>
      <c r="P869" s="9"/>
      <c r="Q869" s="2"/>
      <c r="R869" s="9"/>
      <c r="S869" s="2"/>
      <c r="T869" s="9"/>
      <c r="U869" s="2"/>
      <c r="V869" s="2"/>
      <c r="W869" s="2"/>
      <c r="X869" s="2"/>
      <c r="Y869" s="2"/>
      <c r="Z869" s="9"/>
      <c r="AA869" s="2"/>
      <c r="AB869" s="2"/>
      <c r="AC869" s="2"/>
      <c r="AD869" s="2"/>
    </row>
    <row r="870" spans="1:30" ht="13.2" x14ac:dyDescent="0.25">
      <c r="A870" s="10"/>
      <c r="B870" s="1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9"/>
      <c r="N870" s="2"/>
      <c r="O870" s="9"/>
      <c r="P870" s="9"/>
      <c r="Q870" s="2"/>
      <c r="R870" s="9"/>
      <c r="S870" s="2"/>
      <c r="T870" s="9"/>
      <c r="U870" s="2"/>
      <c r="V870" s="2"/>
      <c r="W870" s="2"/>
      <c r="X870" s="2"/>
      <c r="Y870" s="2"/>
      <c r="Z870" s="9"/>
      <c r="AA870" s="2"/>
      <c r="AB870" s="2"/>
      <c r="AC870" s="2"/>
      <c r="AD870" s="2"/>
    </row>
    <row r="871" spans="1:30" ht="13.2" x14ac:dyDescent="0.25">
      <c r="A871" s="10"/>
      <c r="B871" s="1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9"/>
      <c r="N871" s="2"/>
      <c r="O871" s="9"/>
      <c r="P871" s="9"/>
      <c r="Q871" s="2"/>
      <c r="R871" s="9"/>
      <c r="S871" s="2"/>
      <c r="T871" s="9"/>
      <c r="U871" s="2"/>
      <c r="V871" s="2"/>
      <c r="W871" s="2"/>
      <c r="X871" s="2"/>
      <c r="Y871" s="2"/>
      <c r="Z871" s="9"/>
      <c r="AA871" s="2"/>
      <c r="AB871" s="2"/>
      <c r="AC871" s="2"/>
      <c r="AD871" s="2"/>
    </row>
    <row r="872" spans="1:30" ht="13.2" x14ac:dyDescent="0.25">
      <c r="A872" s="10"/>
      <c r="B872" s="1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9"/>
      <c r="N872" s="2"/>
      <c r="O872" s="9"/>
      <c r="P872" s="9"/>
      <c r="Q872" s="2"/>
      <c r="R872" s="9"/>
      <c r="S872" s="2"/>
      <c r="T872" s="9"/>
      <c r="U872" s="2"/>
      <c r="V872" s="2"/>
      <c r="W872" s="2"/>
      <c r="X872" s="2"/>
      <c r="Y872" s="2"/>
      <c r="Z872" s="9"/>
      <c r="AA872" s="2"/>
      <c r="AB872" s="2"/>
      <c r="AC872" s="2"/>
      <c r="AD872" s="2"/>
    </row>
    <row r="873" spans="1:30" ht="13.2" x14ac:dyDescent="0.25">
      <c r="A873" s="10"/>
      <c r="B873" s="1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9"/>
      <c r="N873" s="2"/>
      <c r="O873" s="9"/>
      <c r="P873" s="9"/>
      <c r="Q873" s="2"/>
      <c r="R873" s="9"/>
      <c r="S873" s="2"/>
      <c r="T873" s="9"/>
      <c r="U873" s="2"/>
      <c r="V873" s="2"/>
      <c r="W873" s="2"/>
      <c r="X873" s="2"/>
      <c r="Y873" s="2"/>
      <c r="Z873" s="9"/>
      <c r="AA873" s="2"/>
      <c r="AB873" s="2"/>
      <c r="AC873" s="2"/>
      <c r="AD873" s="2"/>
    </row>
    <row r="874" spans="1:30" ht="13.2" x14ac:dyDescent="0.25">
      <c r="A874" s="10"/>
      <c r="B874" s="1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9"/>
      <c r="N874" s="2"/>
      <c r="O874" s="9"/>
      <c r="P874" s="9"/>
      <c r="Q874" s="2"/>
      <c r="R874" s="9"/>
      <c r="S874" s="2"/>
      <c r="T874" s="9"/>
      <c r="U874" s="2"/>
      <c r="V874" s="2"/>
      <c r="W874" s="2"/>
      <c r="X874" s="2"/>
      <c r="Y874" s="2"/>
      <c r="Z874" s="9"/>
      <c r="AA874" s="2"/>
      <c r="AB874" s="2"/>
      <c r="AC874" s="2"/>
      <c r="AD874" s="2"/>
    </row>
    <row r="875" spans="1:30" ht="13.2" x14ac:dyDescent="0.25">
      <c r="A875" s="10"/>
      <c r="B875" s="1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9"/>
      <c r="N875" s="2"/>
      <c r="O875" s="9"/>
      <c r="P875" s="9"/>
      <c r="Q875" s="2"/>
      <c r="R875" s="9"/>
      <c r="S875" s="2"/>
      <c r="T875" s="9"/>
      <c r="U875" s="2"/>
      <c r="V875" s="2"/>
      <c r="W875" s="2"/>
      <c r="X875" s="2"/>
      <c r="Y875" s="2"/>
      <c r="Z875" s="9"/>
      <c r="AA875" s="2"/>
      <c r="AB875" s="2"/>
      <c r="AC875" s="2"/>
      <c r="AD875" s="2"/>
    </row>
    <row r="876" spans="1:30" ht="13.2" x14ac:dyDescent="0.25">
      <c r="A876" s="10"/>
      <c r="B876" s="1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9"/>
      <c r="N876" s="2"/>
      <c r="O876" s="9"/>
      <c r="P876" s="9"/>
      <c r="Q876" s="2"/>
      <c r="R876" s="9"/>
      <c r="S876" s="2"/>
      <c r="T876" s="9"/>
      <c r="U876" s="2"/>
      <c r="V876" s="2"/>
      <c r="W876" s="2"/>
      <c r="X876" s="2"/>
      <c r="Y876" s="2"/>
      <c r="Z876" s="9"/>
      <c r="AA876" s="2"/>
      <c r="AB876" s="2"/>
      <c r="AC876" s="2"/>
      <c r="AD876" s="2"/>
    </row>
    <row r="877" spans="1:30" ht="13.2" x14ac:dyDescent="0.25">
      <c r="A877" s="10"/>
      <c r="B877" s="1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9"/>
      <c r="N877" s="2"/>
      <c r="O877" s="9"/>
      <c r="P877" s="9"/>
      <c r="Q877" s="2"/>
      <c r="R877" s="9"/>
      <c r="S877" s="2"/>
      <c r="T877" s="9"/>
      <c r="U877" s="2"/>
      <c r="V877" s="2"/>
      <c r="W877" s="2"/>
      <c r="X877" s="2"/>
      <c r="Y877" s="2"/>
      <c r="Z877" s="9"/>
      <c r="AA877" s="2"/>
      <c r="AB877" s="2"/>
      <c r="AC877" s="2"/>
      <c r="AD877" s="2"/>
    </row>
    <row r="878" spans="1:30" ht="13.2" x14ac:dyDescent="0.25">
      <c r="A878" s="10"/>
      <c r="B878" s="1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9"/>
      <c r="N878" s="2"/>
      <c r="O878" s="9"/>
      <c r="P878" s="9"/>
      <c r="Q878" s="2"/>
      <c r="R878" s="9"/>
      <c r="S878" s="2"/>
      <c r="T878" s="9"/>
      <c r="U878" s="2"/>
      <c r="V878" s="2"/>
      <c r="W878" s="2"/>
      <c r="X878" s="2"/>
      <c r="Y878" s="2"/>
      <c r="Z878" s="9"/>
      <c r="AA878" s="2"/>
      <c r="AB878" s="2"/>
      <c r="AC878" s="2"/>
      <c r="AD878" s="2"/>
    </row>
    <row r="879" spans="1:30" ht="13.2" x14ac:dyDescent="0.25">
      <c r="A879" s="10"/>
      <c r="B879" s="1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9"/>
      <c r="N879" s="2"/>
      <c r="O879" s="9"/>
      <c r="P879" s="9"/>
      <c r="Q879" s="2"/>
      <c r="R879" s="9"/>
      <c r="S879" s="2"/>
      <c r="T879" s="9"/>
      <c r="U879" s="2"/>
      <c r="V879" s="9"/>
      <c r="W879" s="9"/>
      <c r="X879" s="2"/>
      <c r="Y879" s="2"/>
      <c r="Z879" s="2"/>
      <c r="AA879" s="2"/>
      <c r="AB879" s="2"/>
      <c r="AC879" s="2"/>
      <c r="AD879" s="2"/>
    </row>
    <row r="880" spans="1:30" ht="13.2" x14ac:dyDescent="0.25">
      <c r="A880" s="10"/>
      <c r="B880" s="1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9"/>
      <c r="N880" s="2"/>
      <c r="O880" s="9"/>
      <c r="P880" s="9"/>
      <c r="Q880" s="2"/>
      <c r="R880" s="9"/>
      <c r="S880" s="2"/>
      <c r="T880" s="9"/>
      <c r="U880" s="2"/>
      <c r="V880" s="2"/>
      <c r="W880" s="2"/>
      <c r="X880" s="2"/>
      <c r="Y880" s="2"/>
      <c r="Z880" s="9"/>
      <c r="AA880" s="2"/>
      <c r="AB880" s="2"/>
      <c r="AC880" s="2"/>
      <c r="AD880" s="2"/>
    </row>
    <row r="881" spans="1:30" ht="13.2" x14ac:dyDescent="0.25">
      <c r="A881" s="10"/>
      <c r="B881" s="1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9"/>
      <c r="N881" s="2"/>
      <c r="O881" s="9"/>
      <c r="P881" s="9"/>
      <c r="Q881" s="2"/>
      <c r="R881" s="9"/>
      <c r="S881" s="2"/>
      <c r="T881" s="9"/>
      <c r="U881" s="2"/>
      <c r="V881" s="2"/>
      <c r="W881" s="2"/>
      <c r="X881" s="2"/>
      <c r="Y881" s="2"/>
      <c r="Z881" s="9"/>
      <c r="AA881" s="2"/>
      <c r="AB881" s="2"/>
      <c r="AC881" s="2"/>
      <c r="AD881" s="2"/>
    </row>
    <row r="882" spans="1:30" ht="13.2" x14ac:dyDescent="0.25">
      <c r="A882" s="10"/>
      <c r="B882" s="1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9"/>
      <c r="N882" s="2"/>
      <c r="O882" s="9"/>
      <c r="P882" s="9"/>
      <c r="Q882" s="2"/>
      <c r="R882" s="9"/>
      <c r="S882" s="2"/>
      <c r="T882" s="9"/>
      <c r="U882" s="2"/>
      <c r="V882" s="2"/>
      <c r="W882" s="2"/>
      <c r="X882" s="2"/>
      <c r="Y882" s="2"/>
      <c r="Z882" s="9"/>
      <c r="AA882" s="2"/>
      <c r="AB882" s="2"/>
      <c r="AC882" s="2"/>
      <c r="AD882" s="2"/>
    </row>
    <row r="883" spans="1:30" ht="13.2" x14ac:dyDescent="0.25">
      <c r="A883" s="10"/>
      <c r="B883" s="1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9"/>
      <c r="N883" s="2"/>
      <c r="O883" s="9"/>
      <c r="P883" s="9"/>
      <c r="Q883" s="2"/>
      <c r="R883" s="9"/>
      <c r="S883" s="2"/>
      <c r="T883" s="9"/>
      <c r="U883" s="2"/>
      <c r="V883" s="2"/>
      <c r="W883" s="2"/>
      <c r="X883" s="2"/>
      <c r="Y883" s="2"/>
      <c r="Z883" s="9"/>
      <c r="AA883" s="2"/>
      <c r="AB883" s="2"/>
      <c r="AC883" s="2"/>
      <c r="AD883" s="2"/>
    </row>
    <row r="884" spans="1:30" ht="13.2" x14ac:dyDescent="0.25">
      <c r="A884" s="10"/>
      <c r="B884" s="1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9"/>
      <c r="N884" s="2"/>
      <c r="O884" s="9"/>
      <c r="P884" s="9"/>
      <c r="Q884" s="2"/>
      <c r="R884" s="9"/>
      <c r="S884" s="2"/>
      <c r="T884" s="9"/>
      <c r="U884" s="2"/>
      <c r="V884" s="2"/>
      <c r="W884" s="2"/>
      <c r="X884" s="2"/>
      <c r="Y884" s="2"/>
      <c r="Z884" s="9"/>
      <c r="AA884" s="2"/>
      <c r="AB884" s="2"/>
      <c r="AC884" s="2"/>
      <c r="AD884" s="2"/>
    </row>
    <row r="885" spans="1:30" ht="13.2" x14ac:dyDescent="0.25">
      <c r="A885" s="10"/>
      <c r="B885" s="1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9"/>
      <c r="N885" s="2"/>
      <c r="O885" s="9"/>
      <c r="P885" s="9"/>
      <c r="Q885" s="2"/>
      <c r="R885" s="9"/>
      <c r="S885" s="2"/>
      <c r="T885" s="9"/>
      <c r="U885" s="2"/>
      <c r="V885" s="2"/>
      <c r="W885" s="2"/>
      <c r="X885" s="2"/>
      <c r="Y885" s="2"/>
      <c r="Z885" s="9"/>
      <c r="AA885" s="2"/>
      <c r="AB885" s="2"/>
      <c r="AC885" s="2"/>
      <c r="AD885" s="2"/>
    </row>
    <row r="886" spans="1:30" ht="13.2" x14ac:dyDescent="0.25">
      <c r="A886" s="10"/>
      <c r="B886" s="1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9"/>
      <c r="N886" s="2"/>
      <c r="O886" s="9"/>
      <c r="P886" s="9"/>
      <c r="Q886" s="2"/>
      <c r="R886" s="9"/>
      <c r="S886" s="2"/>
      <c r="T886" s="9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3.2" x14ac:dyDescent="0.25">
      <c r="A887" s="10"/>
      <c r="B887" s="1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9"/>
      <c r="N887" s="2"/>
      <c r="O887" s="9"/>
      <c r="P887" s="9"/>
      <c r="Q887" s="2"/>
      <c r="R887" s="9"/>
      <c r="S887" s="2"/>
      <c r="T887" s="9"/>
      <c r="U887" s="2"/>
      <c r="V887" s="2"/>
      <c r="W887" s="2"/>
      <c r="X887" s="2"/>
      <c r="Y887" s="2"/>
      <c r="Z887" s="9"/>
      <c r="AA887" s="2"/>
      <c r="AB887" s="2"/>
      <c r="AC887" s="2"/>
      <c r="AD887" s="2"/>
    </row>
    <row r="888" spans="1:30" ht="13.2" x14ac:dyDescent="0.25">
      <c r="A888" s="10"/>
      <c r="B888" s="1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9"/>
      <c r="N888" s="2"/>
      <c r="O888" s="9"/>
      <c r="P888" s="9"/>
      <c r="Q888" s="2"/>
      <c r="R888" s="9"/>
      <c r="S888" s="2"/>
      <c r="T888" s="9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3.2" x14ac:dyDescent="0.25">
      <c r="A889" s="10"/>
      <c r="B889" s="1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9"/>
      <c r="N889" s="2"/>
      <c r="O889" s="9"/>
      <c r="P889" s="9"/>
      <c r="Q889" s="2"/>
      <c r="R889" s="9"/>
      <c r="S889" s="2"/>
      <c r="T889" s="9"/>
      <c r="U889" s="2"/>
      <c r="V889" s="9"/>
      <c r="W889" s="9"/>
      <c r="X889" s="2"/>
      <c r="Y889" s="2"/>
      <c r="Z889" s="2"/>
      <c r="AA889" s="2"/>
      <c r="AB889" s="2"/>
      <c r="AC889" s="2"/>
      <c r="AD889" s="2"/>
    </row>
    <row r="890" spans="1:30" ht="13.2" x14ac:dyDescent="0.25">
      <c r="A890" s="10"/>
      <c r="B890" s="1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9"/>
      <c r="N890" s="2"/>
      <c r="O890" s="9"/>
      <c r="P890" s="9"/>
      <c r="Q890" s="2"/>
      <c r="R890" s="9"/>
      <c r="S890" s="2"/>
      <c r="T890" s="9"/>
      <c r="U890" s="2"/>
      <c r="V890" s="2"/>
      <c r="W890" s="2"/>
      <c r="X890" s="2"/>
      <c r="Y890" s="2"/>
      <c r="Z890" s="9"/>
      <c r="AA890" s="2"/>
      <c r="AB890" s="2"/>
      <c r="AC890" s="2"/>
      <c r="AD890" s="2"/>
    </row>
    <row r="891" spans="1:30" ht="13.2" x14ac:dyDescent="0.25">
      <c r="A891" s="10"/>
      <c r="B891" s="1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9"/>
      <c r="N891" s="2"/>
      <c r="O891" s="9"/>
      <c r="P891" s="9"/>
      <c r="Q891" s="2"/>
      <c r="R891" s="9"/>
      <c r="S891" s="2"/>
      <c r="T891" s="9"/>
      <c r="U891" s="2"/>
      <c r="V891" s="2"/>
      <c r="W891" s="2"/>
      <c r="X891" s="2"/>
      <c r="Y891" s="2"/>
      <c r="Z891" s="9"/>
      <c r="AA891" s="2"/>
      <c r="AB891" s="2"/>
      <c r="AC891" s="2"/>
      <c r="AD891" s="2"/>
    </row>
    <row r="892" spans="1:30" ht="13.2" x14ac:dyDescent="0.25">
      <c r="A892" s="10"/>
      <c r="B892" s="1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9"/>
      <c r="N892" s="2"/>
      <c r="O892" s="9"/>
      <c r="P892" s="9"/>
      <c r="Q892" s="2"/>
      <c r="R892" s="9"/>
      <c r="S892" s="2"/>
      <c r="T892" s="9"/>
      <c r="U892" s="2"/>
      <c r="V892" s="2"/>
      <c r="W892" s="2"/>
      <c r="X892" s="2"/>
      <c r="Y892" s="2"/>
      <c r="Z892" s="9"/>
      <c r="AA892" s="2"/>
      <c r="AB892" s="2"/>
      <c r="AC892" s="2"/>
      <c r="AD892" s="2"/>
    </row>
    <row r="893" spans="1:30" ht="13.2" x14ac:dyDescent="0.25">
      <c r="A893" s="10"/>
      <c r="B893" s="1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9"/>
      <c r="N893" s="2"/>
      <c r="O893" s="9"/>
      <c r="P893" s="9"/>
      <c r="Q893" s="2"/>
      <c r="R893" s="9"/>
      <c r="S893" s="2"/>
      <c r="T893" s="9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3.2" x14ac:dyDescent="0.25">
      <c r="A894" s="10"/>
      <c r="B894" s="1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9"/>
      <c r="N894" s="2"/>
      <c r="O894" s="9"/>
      <c r="P894" s="9"/>
      <c r="Q894" s="2"/>
      <c r="R894" s="9"/>
      <c r="S894" s="2"/>
      <c r="T894" s="9"/>
      <c r="U894" s="2"/>
      <c r="V894" s="2"/>
      <c r="W894" s="2"/>
      <c r="X894" s="2"/>
      <c r="Y894" s="2"/>
      <c r="Z894" s="9"/>
      <c r="AA894" s="2"/>
      <c r="AB894" s="2"/>
      <c r="AC894" s="2"/>
      <c r="AD894" s="2"/>
    </row>
    <row r="895" spans="1:30" ht="13.2" x14ac:dyDescent="0.25">
      <c r="A895" s="10"/>
      <c r="B895" s="1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9"/>
      <c r="N895" s="2"/>
      <c r="O895" s="9"/>
      <c r="P895" s="9"/>
      <c r="Q895" s="2"/>
      <c r="R895" s="9"/>
      <c r="S895" s="2"/>
      <c r="T895" s="9"/>
      <c r="U895" s="2"/>
      <c r="V895" s="2"/>
      <c r="W895" s="2"/>
      <c r="X895" s="2"/>
      <c r="Y895" s="2"/>
      <c r="Z895" s="9"/>
      <c r="AA895" s="2"/>
      <c r="AB895" s="2"/>
      <c r="AC895" s="2"/>
      <c r="AD895" s="2"/>
    </row>
    <row r="896" spans="1:30" ht="13.2" x14ac:dyDescent="0.25">
      <c r="A896" s="10"/>
      <c r="B896" s="1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9"/>
      <c r="N896" s="2"/>
      <c r="O896" s="9"/>
      <c r="P896" s="9"/>
      <c r="Q896" s="2"/>
      <c r="R896" s="9"/>
      <c r="S896" s="2"/>
      <c r="T896" s="9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3.2" x14ac:dyDescent="0.25">
      <c r="A897" s="10"/>
      <c r="B897" s="1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9"/>
      <c r="N897" s="2"/>
      <c r="O897" s="9"/>
      <c r="P897" s="9"/>
      <c r="Q897" s="2"/>
      <c r="R897" s="9"/>
      <c r="S897" s="2"/>
      <c r="T897" s="9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3.2" x14ac:dyDescent="0.25">
      <c r="A898" s="10"/>
      <c r="B898" s="1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9"/>
      <c r="N898" s="2"/>
      <c r="O898" s="9"/>
      <c r="P898" s="9"/>
      <c r="Q898" s="2"/>
      <c r="R898" s="9"/>
      <c r="S898" s="2"/>
      <c r="T898" s="9"/>
      <c r="U898" s="2"/>
      <c r="V898" s="2"/>
      <c r="W898" s="2"/>
      <c r="X898" s="2"/>
      <c r="Y898" s="2"/>
      <c r="Z898" s="9"/>
      <c r="AA898" s="2"/>
      <c r="AB898" s="2"/>
      <c r="AC898" s="2"/>
      <c r="AD898" s="2"/>
    </row>
    <row r="899" spans="1:30" ht="13.2" x14ac:dyDescent="0.25">
      <c r="A899" s="10"/>
      <c r="B899" s="1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9"/>
      <c r="N899" s="2"/>
      <c r="O899" s="9"/>
      <c r="P899" s="9"/>
      <c r="Q899" s="2"/>
      <c r="R899" s="9"/>
      <c r="S899" s="2"/>
      <c r="T899" s="9"/>
      <c r="U899" s="2"/>
      <c r="V899" s="9"/>
      <c r="W899" s="9"/>
      <c r="X899" s="2"/>
      <c r="Y899" s="2"/>
      <c r="Z899" s="2"/>
      <c r="AA899" s="2"/>
      <c r="AB899" s="2"/>
      <c r="AC899" s="2"/>
      <c r="AD899" s="2"/>
    </row>
    <row r="900" spans="1:30" ht="13.2" x14ac:dyDescent="0.25">
      <c r="A900" s="10"/>
      <c r="B900" s="1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9"/>
      <c r="N900" s="2"/>
      <c r="O900" s="9"/>
      <c r="P900" s="9"/>
      <c r="Q900" s="2"/>
      <c r="R900" s="9"/>
      <c r="S900" s="2"/>
      <c r="T900" s="9"/>
      <c r="U900" s="2"/>
      <c r="V900" s="2"/>
      <c r="W900" s="2"/>
      <c r="X900" s="2"/>
      <c r="Y900" s="2"/>
      <c r="Z900" s="9"/>
      <c r="AA900" s="2"/>
      <c r="AB900" s="2"/>
      <c r="AC900" s="2"/>
      <c r="AD900" s="2"/>
    </row>
    <row r="901" spans="1:30" ht="13.2" x14ac:dyDescent="0.25">
      <c r="A901" s="10"/>
      <c r="B901" s="1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9"/>
      <c r="N901" s="2"/>
      <c r="O901" s="9"/>
      <c r="P901" s="9"/>
      <c r="Q901" s="2"/>
      <c r="R901" s="9"/>
      <c r="S901" s="2"/>
      <c r="T901" s="9"/>
      <c r="U901" s="2"/>
      <c r="V901" s="2"/>
      <c r="W901" s="2"/>
      <c r="X901" s="2"/>
      <c r="Y901" s="2"/>
      <c r="Z901" s="9"/>
      <c r="AA901" s="2"/>
      <c r="AB901" s="2"/>
      <c r="AC901" s="2"/>
      <c r="AD901" s="2"/>
    </row>
    <row r="902" spans="1:30" ht="13.2" x14ac:dyDescent="0.25">
      <c r="A902" s="10"/>
      <c r="B902" s="1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9"/>
      <c r="N902" s="2"/>
      <c r="O902" s="9"/>
      <c r="P902" s="9"/>
      <c r="Q902" s="2"/>
      <c r="R902" s="9"/>
      <c r="S902" s="2"/>
      <c r="T902" s="9"/>
      <c r="U902" s="2"/>
      <c r="V902" s="2"/>
      <c r="W902" s="2"/>
      <c r="X902" s="2"/>
      <c r="Y902" s="2"/>
      <c r="Z902" s="9"/>
      <c r="AA902" s="2"/>
      <c r="AB902" s="2"/>
      <c r="AC902" s="2"/>
      <c r="AD902" s="2"/>
    </row>
    <row r="903" spans="1:30" ht="13.2" x14ac:dyDescent="0.25">
      <c r="A903" s="10"/>
      <c r="B903" s="1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9"/>
      <c r="N903" s="2"/>
      <c r="O903" s="9"/>
      <c r="P903" s="9"/>
      <c r="Q903" s="2"/>
      <c r="R903" s="9"/>
      <c r="S903" s="2"/>
      <c r="T903" s="9"/>
      <c r="U903" s="2"/>
      <c r="V903" s="2"/>
      <c r="W903" s="2"/>
      <c r="X903" s="2"/>
      <c r="Y903" s="2"/>
      <c r="Z903" s="9"/>
      <c r="AA903" s="2"/>
      <c r="AB903" s="2"/>
      <c r="AC903" s="2"/>
      <c r="AD903" s="2"/>
    </row>
    <row r="904" spans="1:30" ht="13.2" x14ac:dyDescent="0.25">
      <c r="A904" s="10"/>
      <c r="B904" s="1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9"/>
      <c r="N904" s="2"/>
      <c r="O904" s="9"/>
      <c r="P904" s="9"/>
      <c r="Q904" s="2"/>
      <c r="R904" s="9"/>
      <c r="S904" s="2"/>
      <c r="T904" s="9"/>
      <c r="U904" s="2"/>
      <c r="V904" s="2"/>
      <c r="W904" s="2"/>
      <c r="X904" s="2"/>
      <c r="Y904" s="2"/>
      <c r="Z904" s="9"/>
      <c r="AA904" s="2"/>
      <c r="AB904" s="2"/>
      <c r="AC904" s="2"/>
      <c r="AD904" s="2"/>
    </row>
    <row r="905" spans="1:30" ht="13.2" x14ac:dyDescent="0.25">
      <c r="A905" s="10"/>
      <c r="B905" s="1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9"/>
      <c r="N905" s="2"/>
      <c r="O905" s="9"/>
      <c r="P905" s="9"/>
      <c r="Q905" s="2"/>
      <c r="R905" s="9"/>
      <c r="S905" s="2"/>
      <c r="T905" s="9"/>
      <c r="U905" s="2"/>
      <c r="V905" s="2"/>
      <c r="W905" s="2"/>
      <c r="X905" s="2"/>
      <c r="Y905" s="2"/>
      <c r="Z905" s="9"/>
      <c r="AA905" s="2"/>
      <c r="AB905" s="2"/>
      <c r="AC905" s="2"/>
      <c r="AD905" s="2"/>
    </row>
    <row r="906" spans="1:30" ht="13.2" x14ac:dyDescent="0.25">
      <c r="A906" s="10"/>
      <c r="B906" s="1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9"/>
      <c r="N906" s="2"/>
      <c r="O906" s="9"/>
      <c r="P906" s="9"/>
      <c r="Q906" s="2"/>
      <c r="R906" s="9"/>
      <c r="S906" s="2"/>
      <c r="T906" s="9"/>
      <c r="U906" s="2"/>
      <c r="V906" s="2"/>
      <c r="W906" s="2"/>
      <c r="X906" s="2"/>
      <c r="Y906" s="2"/>
      <c r="Z906" s="9"/>
      <c r="AA906" s="2"/>
      <c r="AB906" s="2"/>
      <c r="AC906" s="2"/>
      <c r="AD906" s="2"/>
    </row>
    <row r="907" spans="1:30" ht="13.2" x14ac:dyDescent="0.25">
      <c r="A907" s="10"/>
      <c r="B907" s="1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9"/>
      <c r="N907" s="2"/>
      <c r="O907" s="9"/>
      <c r="P907" s="9"/>
      <c r="Q907" s="2"/>
      <c r="R907" s="9"/>
      <c r="S907" s="2"/>
      <c r="T907" s="9"/>
      <c r="U907" s="2"/>
      <c r="V907" s="2"/>
      <c r="W907" s="2"/>
      <c r="X907" s="2"/>
      <c r="Y907" s="2"/>
      <c r="Z907" s="9"/>
      <c r="AA907" s="2"/>
      <c r="AB907" s="2"/>
      <c r="AC907" s="2"/>
      <c r="AD907" s="2"/>
    </row>
    <row r="908" spans="1:30" ht="13.2" x14ac:dyDescent="0.25">
      <c r="A908" s="10"/>
      <c r="B908" s="1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9"/>
      <c r="N908" s="2"/>
      <c r="O908" s="9"/>
      <c r="P908" s="9"/>
      <c r="Q908" s="2"/>
      <c r="R908" s="9"/>
      <c r="S908" s="2"/>
      <c r="T908" s="9"/>
      <c r="U908" s="2"/>
      <c r="V908" s="2"/>
      <c r="W908" s="2"/>
      <c r="X908" s="2"/>
      <c r="Y908" s="2"/>
      <c r="Z908" s="9"/>
      <c r="AA908" s="2"/>
      <c r="AB908" s="2"/>
      <c r="AC908" s="2"/>
      <c r="AD908" s="2"/>
    </row>
    <row r="909" spans="1:30" ht="13.2" x14ac:dyDescent="0.25">
      <c r="A909" s="10"/>
      <c r="B909" s="1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9"/>
      <c r="N909" s="2"/>
      <c r="O909" s="9"/>
      <c r="P909" s="9"/>
      <c r="Q909" s="2"/>
      <c r="R909" s="9"/>
      <c r="S909" s="2"/>
      <c r="T909" s="9"/>
      <c r="U909" s="2"/>
      <c r="V909" s="2"/>
      <c r="W909" s="2"/>
      <c r="X909" s="2"/>
      <c r="Y909" s="2"/>
      <c r="Z909" s="9"/>
      <c r="AA909" s="2"/>
      <c r="AB909" s="2"/>
      <c r="AC909" s="2"/>
      <c r="AD909" s="2"/>
    </row>
    <row r="910" spans="1:30" ht="13.2" x14ac:dyDescent="0.25">
      <c r="A910" s="10"/>
      <c r="B910" s="1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9"/>
      <c r="N910" s="2"/>
      <c r="O910" s="9"/>
      <c r="P910" s="9"/>
      <c r="Q910" s="2"/>
      <c r="R910" s="9"/>
      <c r="S910" s="2"/>
      <c r="T910" s="9"/>
      <c r="U910" s="2"/>
      <c r="V910" s="2"/>
      <c r="W910" s="2"/>
      <c r="X910" s="2"/>
      <c r="Y910" s="2"/>
      <c r="Z910" s="9"/>
      <c r="AA910" s="2"/>
      <c r="AB910" s="2"/>
      <c r="AC910" s="2"/>
      <c r="AD910" s="2"/>
    </row>
    <row r="911" spans="1:30" ht="13.2" x14ac:dyDescent="0.25">
      <c r="A911" s="10"/>
      <c r="B911" s="1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9"/>
      <c r="N911" s="2"/>
      <c r="O911" s="9"/>
      <c r="P911" s="9"/>
      <c r="Q911" s="2"/>
      <c r="R911" s="9"/>
      <c r="S911" s="2"/>
      <c r="T911" s="9"/>
      <c r="U911" s="2"/>
      <c r="V911" s="2"/>
      <c r="W911" s="2"/>
      <c r="X911" s="2"/>
      <c r="Y911" s="2"/>
      <c r="Z911" s="9"/>
      <c r="AA911" s="2"/>
      <c r="AB911" s="2"/>
      <c r="AC911" s="2"/>
      <c r="AD911" s="2"/>
    </row>
    <row r="912" spans="1:30" ht="13.2" x14ac:dyDescent="0.25">
      <c r="A912" s="10"/>
      <c r="B912" s="1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9"/>
      <c r="N912" s="2"/>
      <c r="O912" s="9"/>
      <c r="P912" s="9"/>
      <c r="Q912" s="2"/>
      <c r="R912" s="9"/>
      <c r="S912" s="2"/>
      <c r="T912" s="9"/>
      <c r="U912" s="2"/>
      <c r="V912" s="2"/>
      <c r="W912" s="2"/>
      <c r="X912" s="2"/>
      <c r="Y912" s="2"/>
      <c r="Z912" s="9"/>
      <c r="AA912" s="2"/>
      <c r="AB912" s="2"/>
      <c r="AC912" s="2"/>
      <c r="AD912" s="2"/>
    </row>
    <row r="913" spans="1:30" ht="13.2" x14ac:dyDescent="0.25">
      <c r="A913" s="10"/>
      <c r="B913" s="1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9"/>
      <c r="N913" s="2"/>
      <c r="O913" s="9"/>
      <c r="P913" s="9"/>
      <c r="Q913" s="2"/>
      <c r="R913" s="9"/>
      <c r="S913" s="2"/>
      <c r="T913" s="9"/>
      <c r="U913" s="2"/>
      <c r="V913" s="2"/>
      <c r="W913" s="2"/>
      <c r="X913" s="2"/>
      <c r="Y913" s="2"/>
      <c r="Z913" s="9"/>
      <c r="AA913" s="2"/>
      <c r="AB913" s="2"/>
      <c r="AC913" s="2"/>
      <c r="AD913" s="2"/>
    </row>
    <row r="914" spans="1:30" ht="13.2" x14ac:dyDescent="0.25">
      <c r="A914" s="10"/>
      <c r="B914" s="1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9"/>
      <c r="N914" s="2"/>
      <c r="O914" s="9"/>
      <c r="P914" s="9"/>
      <c r="Q914" s="2"/>
      <c r="R914" s="9"/>
      <c r="S914" s="2"/>
      <c r="T914" s="9"/>
      <c r="U914" s="2"/>
      <c r="V914" s="2"/>
      <c r="W914" s="2"/>
      <c r="X914" s="2"/>
      <c r="Y914" s="2"/>
      <c r="Z914" s="9"/>
      <c r="AA914" s="2"/>
      <c r="AB914" s="2"/>
      <c r="AC914" s="2"/>
      <c r="AD914" s="2"/>
    </row>
    <row r="915" spans="1:30" ht="13.2" x14ac:dyDescent="0.25">
      <c r="A915" s="10"/>
      <c r="B915" s="1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9"/>
      <c r="N915" s="2"/>
      <c r="O915" s="9"/>
      <c r="P915" s="9"/>
      <c r="Q915" s="2"/>
      <c r="R915" s="9"/>
      <c r="S915" s="2"/>
      <c r="T915" s="9"/>
      <c r="U915" s="2"/>
      <c r="V915" s="2"/>
      <c r="W915" s="2"/>
      <c r="X915" s="2"/>
      <c r="Y915" s="2"/>
      <c r="Z915" s="9"/>
      <c r="AA915" s="2"/>
      <c r="AB915" s="2"/>
      <c r="AC915" s="2"/>
      <c r="AD915" s="2"/>
    </row>
    <row r="916" spans="1:30" ht="13.2" x14ac:dyDescent="0.25">
      <c r="A916" s="10"/>
      <c r="B916" s="1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9"/>
      <c r="N916" s="2"/>
      <c r="O916" s="9"/>
      <c r="P916" s="9"/>
      <c r="Q916" s="2"/>
      <c r="R916" s="9"/>
      <c r="S916" s="2"/>
      <c r="T916" s="9"/>
      <c r="U916" s="2"/>
      <c r="V916" s="2"/>
      <c r="W916" s="2"/>
      <c r="X916" s="2"/>
      <c r="Y916" s="2"/>
      <c r="Z916" s="9"/>
      <c r="AA916" s="2"/>
      <c r="AB916" s="2"/>
      <c r="AC916" s="2"/>
      <c r="AD916" s="2"/>
    </row>
    <row r="917" spans="1:30" ht="13.2" x14ac:dyDescent="0.25">
      <c r="A917" s="10"/>
      <c r="B917" s="1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9"/>
      <c r="N917" s="2"/>
      <c r="O917" s="9"/>
      <c r="P917" s="9"/>
      <c r="Q917" s="2"/>
      <c r="R917" s="9"/>
      <c r="S917" s="2"/>
      <c r="T917" s="9"/>
      <c r="U917" s="2"/>
      <c r="V917" s="2"/>
      <c r="W917" s="2"/>
      <c r="X917" s="2"/>
      <c r="Y917" s="2"/>
      <c r="Z917" s="9"/>
      <c r="AA917" s="2"/>
      <c r="AB917" s="2"/>
      <c r="AC917" s="2"/>
      <c r="AD917" s="2"/>
    </row>
    <row r="918" spans="1:30" ht="13.2" x14ac:dyDescent="0.25">
      <c r="A918" s="10"/>
      <c r="B918" s="1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9"/>
      <c r="N918" s="2"/>
      <c r="O918" s="9"/>
      <c r="P918" s="9"/>
      <c r="Q918" s="2"/>
      <c r="R918" s="9"/>
      <c r="S918" s="2"/>
      <c r="T918" s="9"/>
      <c r="U918" s="2"/>
      <c r="V918" s="2"/>
      <c r="W918" s="2"/>
      <c r="X918" s="2"/>
      <c r="Y918" s="2"/>
      <c r="Z918" s="9"/>
      <c r="AA918" s="2"/>
      <c r="AB918" s="2"/>
      <c r="AC918" s="2"/>
      <c r="AD918" s="2"/>
    </row>
    <row r="919" spans="1:30" ht="13.2" x14ac:dyDescent="0.25">
      <c r="A919" s="10"/>
      <c r="B919" s="1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9"/>
      <c r="N919" s="2"/>
      <c r="O919" s="9"/>
      <c r="P919" s="9"/>
      <c r="Q919" s="2"/>
      <c r="R919" s="9"/>
      <c r="S919" s="2"/>
      <c r="T919" s="9"/>
      <c r="U919" s="2"/>
      <c r="V919" s="2"/>
      <c r="W919" s="2"/>
      <c r="X919" s="2"/>
      <c r="Y919" s="2"/>
      <c r="Z919" s="9"/>
      <c r="AA919" s="2"/>
      <c r="AB919" s="2"/>
      <c r="AC919" s="2"/>
      <c r="AD919" s="2"/>
    </row>
    <row r="920" spans="1:30" ht="13.2" x14ac:dyDescent="0.25">
      <c r="A920" s="10"/>
      <c r="B920" s="1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9"/>
      <c r="N920" s="2"/>
      <c r="O920" s="9"/>
      <c r="P920" s="9"/>
      <c r="Q920" s="2"/>
      <c r="R920" s="9"/>
      <c r="S920" s="2"/>
      <c r="T920" s="9"/>
      <c r="U920" s="2"/>
      <c r="V920" s="2"/>
      <c r="W920" s="2"/>
      <c r="X920" s="2"/>
      <c r="Y920" s="2"/>
      <c r="Z920" s="9"/>
      <c r="AA920" s="2"/>
      <c r="AB920" s="2"/>
      <c r="AC920" s="2"/>
      <c r="AD920" s="2"/>
    </row>
    <row r="921" spans="1:30" ht="13.2" x14ac:dyDescent="0.25">
      <c r="A921" s="10"/>
      <c r="B921" s="1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9"/>
      <c r="N921" s="2"/>
      <c r="O921" s="9"/>
      <c r="P921" s="9"/>
      <c r="Q921" s="2"/>
      <c r="R921" s="9"/>
      <c r="S921" s="2"/>
      <c r="T921" s="9"/>
      <c r="U921" s="2"/>
      <c r="V921" s="2"/>
      <c r="W921" s="2"/>
      <c r="X921" s="2"/>
      <c r="Y921" s="2"/>
      <c r="Z921" s="9"/>
      <c r="AA921" s="2"/>
      <c r="AB921" s="2"/>
      <c r="AC921" s="2"/>
      <c r="AD921" s="2"/>
    </row>
    <row r="922" spans="1:30" ht="13.2" x14ac:dyDescent="0.25">
      <c r="A922" s="10"/>
      <c r="B922" s="1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9"/>
      <c r="N922" s="2"/>
      <c r="O922" s="9"/>
      <c r="P922" s="9"/>
      <c r="Q922" s="2"/>
      <c r="R922" s="9"/>
      <c r="S922" s="2"/>
      <c r="T922" s="9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3.2" x14ac:dyDescent="0.25">
      <c r="A923" s="10"/>
      <c r="B923" s="1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9"/>
      <c r="N923" s="2"/>
      <c r="O923" s="9"/>
      <c r="P923" s="9"/>
      <c r="Q923" s="2"/>
      <c r="R923" s="9"/>
      <c r="S923" s="2"/>
      <c r="T923" s="9"/>
      <c r="U923" s="2"/>
      <c r="V923" s="9"/>
      <c r="W923" s="9"/>
      <c r="X923" s="2"/>
      <c r="Y923" s="2"/>
      <c r="Z923" s="2"/>
      <c r="AA923" s="2"/>
      <c r="AB923" s="2"/>
      <c r="AC923" s="2"/>
      <c r="AD923" s="2"/>
    </row>
    <row r="924" spans="1:30" ht="13.2" x14ac:dyDescent="0.25">
      <c r="A924" s="10"/>
      <c r="B924" s="1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9"/>
      <c r="N924" s="2"/>
      <c r="O924" s="9"/>
      <c r="P924" s="9"/>
      <c r="Q924" s="2"/>
      <c r="R924" s="9"/>
      <c r="S924" s="2"/>
      <c r="T924" s="9"/>
      <c r="U924" s="2"/>
      <c r="V924" s="2"/>
      <c r="W924" s="2"/>
      <c r="X924" s="2"/>
      <c r="Y924" s="2"/>
      <c r="Z924" s="9"/>
      <c r="AA924" s="2"/>
      <c r="AB924" s="2"/>
      <c r="AC924" s="2"/>
      <c r="AD924" s="2"/>
    </row>
    <row r="925" spans="1:30" ht="13.2" x14ac:dyDescent="0.25">
      <c r="A925" s="10"/>
      <c r="B925" s="1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9"/>
      <c r="N925" s="2"/>
      <c r="O925" s="9"/>
      <c r="P925" s="9"/>
      <c r="Q925" s="2"/>
      <c r="R925" s="9"/>
      <c r="S925" s="2"/>
      <c r="T925" s="9"/>
      <c r="U925" s="2"/>
      <c r="V925" s="9"/>
      <c r="W925" s="9"/>
      <c r="X925" s="2"/>
      <c r="Y925" s="2"/>
      <c r="Z925" s="2"/>
      <c r="AA925" s="2"/>
      <c r="AB925" s="2"/>
      <c r="AC925" s="2"/>
      <c r="AD925" s="2"/>
    </row>
    <row r="926" spans="1:30" ht="13.2" x14ac:dyDescent="0.25">
      <c r="A926" s="10"/>
      <c r="B926" s="1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9"/>
      <c r="N926" s="2"/>
      <c r="O926" s="9"/>
      <c r="P926" s="9"/>
      <c r="Q926" s="2"/>
      <c r="R926" s="9"/>
      <c r="S926" s="2"/>
      <c r="T926" s="9"/>
      <c r="U926" s="2"/>
      <c r="V926" s="2"/>
      <c r="W926" s="2"/>
      <c r="X926" s="2"/>
      <c r="Y926" s="2"/>
      <c r="Z926" s="9"/>
      <c r="AA926" s="2"/>
      <c r="AB926" s="2"/>
      <c r="AC926" s="2"/>
      <c r="AD926" s="2"/>
    </row>
    <row r="927" spans="1:30" ht="13.2" x14ac:dyDescent="0.25">
      <c r="A927" s="10"/>
      <c r="B927" s="1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9"/>
      <c r="N927" s="2"/>
      <c r="O927" s="9"/>
      <c r="P927" s="9"/>
      <c r="Q927" s="2"/>
      <c r="R927" s="9"/>
      <c r="S927" s="2"/>
      <c r="T927" s="9"/>
      <c r="U927" s="2"/>
      <c r="V927" s="2"/>
      <c r="W927" s="2"/>
      <c r="X927" s="2"/>
      <c r="Y927" s="2"/>
      <c r="Z927" s="9"/>
      <c r="AA927" s="2"/>
      <c r="AB927" s="2"/>
      <c r="AC927" s="2"/>
      <c r="AD927" s="2"/>
    </row>
    <row r="928" spans="1:30" ht="13.2" x14ac:dyDescent="0.25">
      <c r="A928" s="10"/>
      <c r="B928" s="1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9"/>
      <c r="N928" s="2"/>
      <c r="O928" s="9"/>
      <c r="P928" s="9"/>
      <c r="Q928" s="2"/>
      <c r="R928" s="9"/>
      <c r="S928" s="2"/>
      <c r="T928" s="9"/>
      <c r="U928" s="2"/>
      <c r="V928" s="2"/>
      <c r="W928" s="2"/>
      <c r="X928" s="2"/>
      <c r="Y928" s="2"/>
      <c r="Z928" s="9"/>
      <c r="AA928" s="2"/>
      <c r="AB928" s="2"/>
      <c r="AC928" s="2"/>
      <c r="AD928" s="2"/>
    </row>
    <row r="929" spans="1:30" ht="13.2" x14ac:dyDescent="0.25">
      <c r="A929" s="10"/>
      <c r="B929" s="1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9"/>
      <c r="N929" s="2"/>
      <c r="O929" s="9"/>
      <c r="P929" s="9"/>
      <c r="Q929" s="2"/>
      <c r="R929" s="9"/>
      <c r="S929" s="2"/>
      <c r="T929" s="9"/>
      <c r="U929" s="2"/>
      <c r="V929" s="2"/>
      <c r="W929" s="2"/>
      <c r="X929" s="2"/>
      <c r="Y929" s="2"/>
      <c r="Z929" s="9"/>
      <c r="AA929" s="2"/>
      <c r="AB929" s="2"/>
      <c r="AC929" s="2"/>
      <c r="AD929" s="2"/>
    </row>
    <row r="930" spans="1:30" ht="13.2" x14ac:dyDescent="0.25">
      <c r="A930" s="10"/>
      <c r="B930" s="1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9"/>
      <c r="N930" s="2"/>
      <c r="O930" s="9"/>
      <c r="P930" s="9"/>
      <c r="Q930" s="2"/>
      <c r="R930" s="9"/>
      <c r="S930" s="2"/>
      <c r="T930" s="9"/>
      <c r="U930" s="2"/>
      <c r="V930" s="9"/>
      <c r="W930" s="9"/>
      <c r="X930" s="2"/>
      <c r="Y930" s="2"/>
      <c r="Z930" s="2"/>
      <c r="AA930" s="2"/>
      <c r="AB930" s="2"/>
      <c r="AC930" s="2"/>
      <c r="AD930" s="2"/>
    </row>
    <row r="931" spans="1:30" ht="13.2" x14ac:dyDescent="0.25">
      <c r="A931" s="10"/>
      <c r="B931" s="1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9"/>
      <c r="N931" s="2"/>
      <c r="O931" s="9"/>
      <c r="P931" s="9"/>
      <c r="Q931" s="2"/>
      <c r="R931" s="9"/>
      <c r="S931" s="2"/>
      <c r="T931" s="9"/>
      <c r="U931" s="2"/>
      <c r="V931" s="9"/>
      <c r="W931" s="9"/>
      <c r="X931" s="2"/>
      <c r="Y931" s="2"/>
      <c r="Z931" s="2"/>
      <c r="AA931" s="2"/>
      <c r="AB931" s="2"/>
      <c r="AC931" s="2"/>
      <c r="AD931" s="2"/>
    </row>
    <row r="932" spans="1:30" ht="13.2" x14ac:dyDescent="0.25">
      <c r="A932" s="10"/>
      <c r="B932" s="1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9"/>
      <c r="N932" s="2"/>
      <c r="O932" s="9"/>
      <c r="P932" s="9"/>
      <c r="Q932" s="2"/>
      <c r="R932" s="9"/>
      <c r="S932" s="2"/>
      <c r="T932" s="9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3.2" x14ac:dyDescent="0.25">
      <c r="A933" s="10"/>
      <c r="B933" s="1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9"/>
      <c r="N933" s="2"/>
      <c r="O933" s="9"/>
      <c r="P933" s="9"/>
      <c r="Q933" s="2"/>
      <c r="R933" s="9"/>
      <c r="S933" s="2"/>
      <c r="T933" s="9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3.2" x14ac:dyDescent="0.25">
      <c r="A934" s="10"/>
      <c r="B934" s="1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9"/>
      <c r="N934" s="2"/>
      <c r="O934" s="9"/>
      <c r="P934" s="9"/>
      <c r="Q934" s="2"/>
      <c r="R934" s="9"/>
      <c r="S934" s="2"/>
      <c r="T934" s="9"/>
      <c r="U934" s="2"/>
      <c r="V934" s="9"/>
      <c r="W934" s="9"/>
      <c r="X934" s="2"/>
      <c r="Y934" s="2"/>
      <c r="Z934" s="2"/>
      <c r="AA934" s="2"/>
      <c r="AB934" s="2"/>
      <c r="AC934" s="2"/>
      <c r="AD934" s="2"/>
    </row>
    <row r="935" spans="1:30" ht="13.2" x14ac:dyDescent="0.25">
      <c r="A935" s="10"/>
      <c r="B935" s="1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9"/>
      <c r="N935" s="2"/>
      <c r="O935" s="9"/>
      <c r="P935" s="9"/>
      <c r="Q935" s="2"/>
      <c r="R935" s="9"/>
      <c r="S935" s="2"/>
      <c r="T935" s="9"/>
      <c r="U935" s="2"/>
      <c r="V935" s="9"/>
      <c r="W935" s="9"/>
      <c r="X935" s="2"/>
      <c r="Y935" s="2"/>
      <c r="Z935" s="2"/>
      <c r="AA935" s="2"/>
      <c r="AB935" s="2"/>
      <c r="AC935" s="2"/>
      <c r="AD935" s="2"/>
    </row>
    <row r="936" spans="1:30" ht="13.2" x14ac:dyDescent="0.25">
      <c r="A936" s="10"/>
      <c r="B936" s="1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9"/>
      <c r="N936" s="2"/>
      <c r="O936" s="9"/>
      <c r="P936" s="9"/>
      <c r="Q936" s="2"/>
      <c r="R936" s="9"/>
      <c r="S936" s="2"/>
      <c r="T936" s="9"/>
      <c r="U936" s="2"/>
      <c r="V936" s="2"/>
      <c r="W936" s="2"/>
      <c r="X936" s="2"/>
      <c r="Y936" s="2"/>
      <c r="Z936" s="9"/>
      <c r="AA936" s="2"/>
      <c r="AB936" s="2"/>
      <c r="AC936" s="2"/>
      <c r="AD936" s="2"/>
    </row>
    <row r="937" spans="1:30" ht="13.2" x14ac:dyDescent="0.25">
      <c r="A937" s="10"/>
      <c r="B937" s="1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9"/>
      <c r="N937" s="2"/>
      <c r="O937" s="9"/>
      <c r="P937" s="9"/>
      <c r="Q937" s="2"/>
      <c r="R937" s="9"/>
      <c r="S937" s="2"/>
      <c r="T937" s="9"/>
      <c r="U937" s="2"/>
      <c r="V937" s="2"/>
      <c r="W937" s="2"/>
      <c r="X937" s="2"/>
      <c r="Y937" s="2"/>
      <c r="Z937" s="9"/>
      <c r="AA937" s="2"/>
      <c r="AB937" s="2"/>
      <c r="AC937" s="2"/>
      <c r="AD937" s="2"/>
    </row>
    <row r="938" spans="1:30" ht="13.2" x14ac:dyDescent="0.25">
      <c r="A938" s="10"/>
      <c r="B938" s="1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9"/>
      <c r="N938" s="2"/>
      <c r="O938" s="9"/>
      <c r="P938" s="9"/>
      <c r="Q938" s="2"/>
      <c r="R938" s="9"/>
      <c r="S938" s="2"/>
      <c r="T938" s="9"/>
      <c r="U938" s="2"/>
      <c r="V938" s="9"/>
      <c r="W938" s="9"/>
      <c r="X938" s="2"/>
      <c r="Y938" s="2"/>
      <c r="Z938" s="2"/>
      <c r="AA938" s="2"/>
      <c r="AB938" s="2"/>
      <c r="AC938" s="2"/>
      <c r="AD938" s="2"/>
    </row>
    <row r="939" spans="1:30" ht="13.2" x14ac:dyDescent="0.25">
      <c r="A939" s="10"/>
      <c r="B939" s="1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9"/>
      <c r="N939" s="2"/>
      <c r="O939" s="9"/>
      <c r="P939" s="9"/>
      <c r="Q939" s="2"/>
      <c r="R939" s="9"/>
      <c r="S939" s="2"/>
      <c r="T939" s="9"/>
      <c r="U939" s="2"/>
      <c r="V939" s="2"/>
      <c r="W939" s="2"/>
      <c r="X939" s="2"/>
      <c r="Y939" s="2"/>
      <c r="Z939" s="9"/>
      <c r="AA939" s="2"/>
      <c r="AB939" s="2"/>
      <c r="AC939" s="2"/>
      <c r="AD939" s="2"/>
    </row>
    <row r="940" spans="1:30" ht="13.2" x14ac:dyDescent="0.25">
      <c r="A940" s="10"/>
      <c r="B940" s="1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9"/>
      <c r="N940" s="2"/>
      <c r="O940" s="9"/>
      <c r="P940" s="9"/>
      <c r="Q940" s="2"/>
      <c r="R940" s="9"/>
      <c r="S940" s="2"/>
      <c r="T940" s="9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3.2" x14ac:dyDescent="0.25">
      <c r="A941" s="10"/>
      <c r="B941" s="1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9"/>
      <c r="N941" s="2"/>
      <c r="O941" s="9"/>
      <c r="P941" s="9"/>
      <c r="Q941" s="2"/>
      <c r="R941" s="9"/>
      <c r="S941" s="2"/>
      <c r="T941" s="9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3.2" x14ac:dyDescent="0.25">
      <c r="A942" s="10"/>
      <c r="B942" s="1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9"/>
      <c r="N942" s="2"/>
      <c r="O942" s="9"/>
      <c r="P942" s="9"/>
      <c r="Q942" s="2"/>
      <c r="R942" s="9"/>
      <c r="S942" s="2"/>
      <c r="T942" s="9"/>
      <c r="U942" s="2"/>
      <c r="V942" s="9"/>
      <c r="W942" s="9"/>
      <c r="X942" s="2"/>
      <c r="Y942" s="2"/>
      <c r="Z942" s="2"/>
      <c r="AA942" s="2"/>
      <c r="AB942" s="2"/>
      <c r="AC942" s="2"/>
      <c r="AD942" s="2"/>
    </row>
    <row r="943" spans="1:30" ht="13.2" x14ac:dyDescent="0.25">
      <c r="A943" s="10"/>
      <c r="B943" s="1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9"/>
      <c r="N943" s="2"/>
      <c r="O943" s="9"/>
      <c r="P943" s="9"/>
      <c r="Q943" s="2"/>
      <c r="R943" s="9"/>
      <c r="S943" s="2"/>
      <c r="T943" s="9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3.2" x14ac:dyDescent="0.25">
      <c r="A944" s="10"/>
      <c r="B944" s="1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9"/>
      <c r="N944" s="2"/>
      <c r="O944" s="9"/>
      <c r="P944" s="9"/>
      <c r="Q944" s="2"/>
      <c r="R944" s="9"/>
      <c r="S944" s="2"/>
      <c r="T944" s="9"/>
      <c r="U944" s="2"/>
      <c r="V944" s="2"/>
      <c r="W944" s="2"/>
      <c r="X944" s="2"/>
      <c r="Y944" s="2"/>
      <c r="Z944" s="9"/>
      <c r="AA944" s="2"/>
      <c r="AB944" s="2"/>
      <c r="AC944" s="2"/>
      <c r="AD944" s="2"/>
    </row>
    <row r="945" spans="1:30" ht="13.2" x14ac:dyDescent="0.25">
      <c r="A945" s="10"/>
      <c r="B945" s="1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9"/>
      <c r="N945" s="2"/>
      <c r="O945" s="9"/>
      <c r="P945" s="9"/>
      <c r="Q945" s="2"/>
      <c r="R945" s="9"/>
      <c r="S945" s="2"/>
      <c r="T945" s="9"/>
      <c r="U945" s="2"/>
      <c r="V945" s="2"/>
      <c r="W945" s="2"/>
      <c r="X945" s="2"/>
      <c r="Y945" s="2"/>
      <c r="Z945" s="9"/>
      <c r="AA945" s="2"/>
      <c r="AB945" s="2"/>
      <c r="AC945" s="2"/>
      <c r="AD945" s="2"/>
    </row>
    <row r="946" spans="1:30" ht="13.2" x14ac:dyDescent="0.25">
      <c r="A946" s="10"/>
      <c r="B946" s="1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9"/>
      <c r="N946" s="2"/>
      <c r="O946" s="9"/>
      <c r="P946" s="9"/>
      <c r="Q946" s="2"/>
      <c r="R946" s="9"/>
      <c r="S946" s="2"/>
      <c r="T946" s="9"/>
      <c r="U946" s="2"/>
      <c r="V946" s="2"/>
      <c r="W946" s="2"/>
      <c r="X946" s="2"/>
      <c r="Y946" s="2"/>
      <c r="Z946" s="9"/>
      <c r="AA946" s="2"/>
      <c r="AB946" s="2"/>
      <c r="AC946" s="2"/>
      <c r="AD946" s="2"/>
    </row>
    <row r="947" spans="1:30" ht="13.2" x14ac:dyDescent="0.25">
      <c r="A947" s="10"/>
      <c r="B947" s="1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9"/>
      <c r="N947" s="2"/>
      <c r="O947" s="9"/>
      <c r="P947" s="9"/>
      <c r="Q947" s="2"/>
      <c r="R947" s="9"/>
      <c r="S947" s="2"/>
      <c r="T947" s="9"/>
      <c r="U947" s="2"/>
      <c r="V947" s="9"/>
      <c r="W947" s="9"/>
      <c r="X947" s="2"/>
      <c r="Y947" s="2"/>
      <c r="Z947" s="2"/>
      <c r="AA947" s="2"/>
      <c r="AB947" s="2"/>
      <c r="AC947" s="2"/>
      <c r="AD947" s="2"/>
    </row>
    <row r="948" spans="1:30" ht="13.2" x14ac:dyDescent="0.25">
      <c r="A948" s="10"/>
      <c r="B948" s="1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9"/>
      <c r="N948" s="2"/>
      <c r="O948" s="9"/>
      <c r="P948" s="9"/>
      <c r="Q948" s="2"/>
      <c r="R948" s="9"/>
      <c r="S948" s="2"/>
      <c r="T948" s="9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3.2" x14ac:dyDescent="0.25">
      <c r="A949" s="10"/>
      <c r="B949" s="1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9"/>
      <c r="N949" s="2"/>
      <c r="O949" s="9"/>
      <c r="P949" s="9"/>
      <c r="Q949" s="2"/>
      <c r="R949" s="9"/>
      <c r="S949" s="2"/>
      <c r="T949" s="9"/>
      <c r="U949" s="2"/>
      <c r="V949" s="2"/>
      <c r="W949" s="2"/>
      <c r="X949" s="2"/>
      <c r="Y949" s="2"/>
      <c r="Z949" s="9"/>
      <c r="AA949" s="2"/>
      <c r="AB949" s="2"/>
      <c r="AC949" s="2"/>
      <c r="AD949" s="2"/>
    </row>
    <row r="950" spans="1:30" ht="13.2" x14ac:dyDescent="0.25">
      <c r="A950" s="10"/>
      <c r="B950" s="1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9"/>
      <c r="N950" s="2"/>
      <c r="O950" s="9"/>
      <c r="P950" s="9"/>
      <c r="Q950" s="2"/>
      <c r="R950" s="9"/>
      <c r="S950" s="2"/>
      <c r="T950" s="9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3.2" x14ac:dyDescent="0.25">
      <c r="A951" s="10"/>
      <c r="B951" s="1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9"/>
      <c r="N951" s="2"/>
      <c r="O951" s="9"/>
      <c r="P951" s="9"/>
      <c r="Q951" s="2"/>
      <c r="R951" s="9"/>
      <c r="S951" s="2"/>
      <c r="T951" s="9"/>
      <c r="U951" s="2"/>
      <c r="V951" s="2"/>
      <c r="W951" s="2"/>
      <c r="X951" s="2"/>
      <c r="Y951" s="2"/>
      <c r="Z951" s="9"/>
      <c r="AA951" s="2"/>
      <c r="AB951" s="2"/>
      <c r="AC951" s="2"/>
      <c r="AD951" s="2"/>
    </row>
    <row r="952" spans="1:30" ht="13.2" x14ac:dyDescent="0.25">
      <c r="A952" s="10"/>
      <c r="B952" s="1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9"/>
      <c r="N952" s="2"/>
      <c r="O952" s="9"/>
      <c r="P952" s="9"/>
      <c r="Q952" s="2"/>
      <c r="R952" s="9"/>
      <c r="S952" s="2"/>
      <c r="T952" s="9"/>
      <c r="U952" s="2"/>
      <c r="V952" s="2"/>
      <c r="W952" s="2"/>
      <c r="X952" s="2"/>
      <c r="Y952" s="2"/>
      <c r="Z952" s="9"/>
      <c r="AA952" s="2"/>
      <c r="AB952" s="2"/>
      <c r="AC952" s="2"/>
      <c r="AD952" s="2"/>
    </row>
    <row r="953" spans="1:30" ht="13.2" x14ac:dyDescent="0.25">
      <c r="A953" s="10"/>
      <c r="B953" s="1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9"/>
      <c r="N953" s="2"/>
      <c r="O953" s="9"/>
      <c r="P953" s="9"/>
      <c r="Q953" s="2"/>
      <c r="R953" s="9"/>
      <c r="S953" s="2"/>
      <c r="T953" s="9"/>
      <c r="U953" s="2"/>
      <c r="V953" s="2"/>
      <c r="W953" s="2"/>
      <c r="X953" s="2"/>
      <c r="Y953" s="2"/>
      <c r="Z953" s="9"/>
      <c r="AA953" s="2"/>
      <c r="AB953" s="2"/>
      <c r="AC953" s="2"/>
      <c r="AD953" s="2"/>
    </row>
    <row r="954" spans="1:30" ht="13.2" x14ac:dyDescent="0.25">
      <c r="A954" s="10"/>
      <c r="B954" s="1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9"/>
      <c r="N954" s="2"/>
      <c r="O954" s="9"/>
      <c r="P954" s="9"/>
      <c r="Q954" s="2"/>
      <c r="R954" s="9"/>
      <c r="S954" s="2"/>
      <c r="T954" s="9"/>
      <c r="U954" s="2"/>
      <c r="V954" s="2"/>
      <c r="W954" s="2"/>
      <c r="X954" s="2"/>
      <c r="Y954" s="2"/>
      <c r="Z954" s="9"/>
      <c r="AA954" s="2"/>
      <c r="AB954" s="2"/>
      <c r="AC954" s="2"/>
      <c r="AD954" s="2"/>
    </row>
    <row r="955" spans="1:30" ht="13.2" x14ac:dyDescent="0.25">
      <c r="A955" s="10"/>
      <c r="B955" s="1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9"/>
      <c r="N955" s="2"/>
      <c r="O955" s="9"/>
      <c r="P955" s="9"/>
      <c r="Q955" s="2"/>
      <c r="R955" s="9"/>
      <c r="S955" s="2"/>
      <c r="T955" s="9"/>
      <c r="U955" s="2"/>
      <c r="V955" s="2"/>
      <c r="W955" s="2"/>
      <c r="X955" s="2"/>
      <c r="Y955" s="2"/>
      <c r="Z955" s="9"/>
      <c r="AA955" s="2"/>
      <c r="AB955" s="2"/>
      <c r="AC955" s="2"/>
      <c r="AD955" s="2"/>
    </row>
    <row r="956" spans="1:30" ht="13.2" x14ac:dyDescent="0.25">
      <c r="A956" s="10"/>
      <c r="B956" s="1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9"/>
      <c r="N956" s="2"/>
      <c r="O956" s="9"/>
      <c r="P956" s="9"/>
      <c r="Q956" s="2"/>
      <c r="R956" s="9"/>
      <c r="S956" s="2"/>
      <c r="T956" s="9"/>
      <c r="U956" s="2"/>
      <c r="V956" s="2"/>
      <c r="W956" s="2"/>
      <c r="X956" s="2"/>
      <c r="Y956" s="2"/>
      <c r="Z956" s="9"/>
      <c r="AA956" s="2"/>
      <c r="AB956" s="2"/>
      <c r="AC956" s="2"/>
      <c r="AD956" s="2"/>
    </row>
    <row r="957" spans="1:30" ht="13.2" x14ac:dyDescent="0.25">
      <c r="A957" s="10"/>
      <c r="B957" s="10"/>
      <c r="C957" s="2"/>
      <c r="D957" s="2"/>
      <c r="E957" s="2"/>
      <c r="F957" s="16"/>
      <c r="G957" s="2"/>
      <c r="H957" s="2"/>
      <c r="I957" s="2"/>
      <c r="J957" s="2"/>
      <c r="K957" s="2"/>
      <c r="L957" s="2"/>
      <c r="M957" s="9"/>
      <c r="N957" s="2"/>
      <c r="O957" s="9"/>
      <c r="P957" s="9"/>
      <c r="Q957" s="2"/>
      <c r="R957" s="9"/>
      <c r="S957" s="2"/>
      <c r="T957" s="9"/>
      <c r="U957" s="2"/>
      <c r="V957" s="2"/>
      <c r="W957" s="2"/>
      <c r="X957" s="2"/>
      <c r="Y957" s="2"/>
      <c r="Z957" s="9"/>
      <c r="AA957" s="2"/>
      <c r="AB957" s="2"/>
      <c r="AC957" s="2"/>
      <c r="AD957" s="2"/>
    </row>
    <row r="958" spans="1:30" ht="13.2" x14ac:dyDescent="0.25">
      <c r="A958" s="10"/>
      <c r="B958" s="10"/>
      <c r="C958" s="2"/>
      <c r="D958" s="2"/>
      <c r="E958" s="2"/>
      <c r="F958" s="16"/>
      <c r="G958" s="2"/>
      <c r="H958" s="2"/>
      <c r="I958" s="2"/>
      <c r="J958" s="2"/>
      <c r="K958" s="2"/>
      <c r="L958" s="2"/>
      <c r="M958" s="9"/>
      <c r="N958" s="2"/>
      <c r="O958" s="9"/>
      <c r="P958" s="9"/>
      <c r="Q958" s="2"/>
      <c r="R958" s="9"/>
      <c r="S958" s="2"/>
      <c r="T958" s="9"/>
      <c r="U958" s="2"/>
      <c r="V958" s="2"/>
      <c r="W958" s="2"/>
      <c r="X958" s="2"/>
      <c r="Y958" s="2"/>
      <c r="Z958" s="9"/>
      <c r="AA958" s="2"/>
      <c r="AB958" s="2"/>
      <c r="AC958" s="2"/>
      <c r="AD958" s="2"/>
    </row>
    <row r="959" spans="1:30" ht="13.2" x14ac:dyDescent="0.25">
      <c r="A959" s="10"/>
      <c r="B959" s="1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9"/>
      <c r="N959" s="2"/>
      <c r="O959" s="9"/>
      <c r="P959" s="9"/>
      <c r="Q959" s="2"/>
      <c r="R959" s="9"/>
      <c r="S959" s="2"/>
      <c r="T959" s="9"/>
      <c r="U959" s="2"/>
      <c r="V959" s="2"/>
      <c r="W959" s="2"/>
      <c r="X959" s="2"/>
      <c r="Y959" s="2"/>
      <c r="Z959" s="9"/>
      <c r="AA959" s="2"/>
      <c r="AB959" s="2"/>
      <c r="AC959" s="2"/>
      <c r="AD959" s="2"/>
    </row>
    <row r="960" spans="1:30" ht="13.2" x14ac:dyDescent="0.25">
      <c r="A960" s="10"/>
      <c r="B960" s="1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9"/>
      <c r="N960" s="2"/>
      <c r="O960" s="9"/>
      <c r="P960" s="9"/>
      <c r="Q960" s="2"/>
      <c r="R960" s="9"/>
      <c r="S960" s="2"/>
      <c r="T960" s="9"/>
      <c r="U960" s="2"/>
      <c r="V960" s="2"/>
      <c r="W960" s="2"/>
      <c r="X960" s="2"/>
      <c r="Y960" s="2"/>
      <c r="Z960" s="9"/>
      <c r="AA960" s="2"/>
      <c r="AB960" s="2"/>
      <c r="AC960" s="2"/>
      <c r="AD960" s="2"/>
    </row>
    <row r="961" spans="1:30" ht="13.2" x14ac:dyDescent="0.25">
      <c r="A961" s="10"/>
      <c r="B961" s="1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9"/>
      <c r="N961" s="2"/>
      <c r="O961" s="9"/>
      <c r="P961" s="9"/>
      <c r="Q961" s="2"/>
      <c r="R961" s="9"/>
      <c r="S961" s="2"/>
      <c r="T961" s="9"/>
      <c r="U961" s="2"/>
      <c r="V961" s="2"/>
      <c r="W961" s="2"/>
      <c r="X961" s="2"/>
      <c r="Y961" s="2"/>
      <c r="Z961" s="9"/>
      <c r="AA961" s="2"/>
      <c r="AB961" s="2"/>
      <c r="AC961" s="2"/>
      <c r="AD961" s="2"/>
    </row>
    <row r="962" spans="1:30" ht="13.2" x14ac:dyDescent="0.25">
      <c r="A962" s="10"/>
      <c r="B962" s="1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9"/>
      <c r="N962" s="2"/>
      <c r="O962" s="9"/>
      <c r="P962" s="9"/>
      <c r="Q962" s="2"/>
      <c r="R962" s="9"/>
      <c r="S962" s="2"/>
      <c r="T962" s="9"/>
      <c r="U962" s="2"/>
      <c r="V962" s="9"/>
      <c r="W962" s="9"/>
      <c r="X962" s="2"/>
      <c r="Y962" s="2"/>
      <c r="Z962" s="2"/>
      <c r="AA962" s="2"/>
      <c r="AB962" s="2"/>
      <c r="AC962" s="2"/>
      <c r="AD962" s="2"/>
    </row>
    <row r="963" spans="1:30" ht="13.2" x14ac:dyDescent="0.25">
      <c r="A963" s="10"/>
      <c r="B963" s="1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9"/>
      <c r="N963" s="2"/>
      <c r="O963" s="9"/>
      <c r="P963" s="9"/>
      <c r="Q963" s="2"/>
      <c r="R963" s="9"/>
      <c r="S963" s="2"/>
      <c r="T963" s="9"/>
      <c r="U963" s="2"/>
      <c r="V963" s="2"/>
      <c r="W963" s="2"/>
      <c r="X963" s="2"/>
      <c r="Y963" s="2"/>
      <c r="Z963" s="9"/>
      <c r="AA963" s="2"/>
      <c r="AB963" s="2"/>
      <c r="AC963" s="2"/>
      <c r="AD963" s="2"/>
    </row>
    <row r="964" spans="1:30" ht="13.2" x14ac:dyDescent="0.25">
      <c r="A964" s="10"/>
      <c r="B964" s="1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9"/>
      <c r="N964" s="2"/>
      <c r="O964" s="9"/>
      <c r="P964" s="9"/>
      <c r="Q964" s="2"/>
      <c r="R964" s="9"/>
      <c r="S964" s="2"/>
      <c r="T964" s="9"/>
      <c r="U964" s="2"/>
      <c r="V964" s="2"/>
      <c r="W964" s="2"/>
      <c r="X964" s="2"/>
      <c r="Y964" s="2"/>
      <c r="Z964" s="9"/>
      <c r="AA964" s="2"/>
      <c r="AB964" s="2"/>
      <c r="AC964" s="2"/>
      <c r="AD964" s="2"/>
    </row>
    <row r="965" spans="1:30" ht="13.2" x14ac:dyDescent="0.25">
      <c r="A965" s="10"/>
      <c r="B965" s="1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9"/>
      <c r="N965" s="2"/>
      <c r="O965" s="9"/>
      <c r="P965" s="9"/>
      <c r="Q965" s="2"/>
      <c r="R965" s="9"/>
      <c r="S965" s="2"/>
      <c r="T965" s="9"/>
      <c r="U965" s="2"/>
      <c r="V965" s="2"/>
      <c r="W965" s="2"/>
      <c r="X965" s="2"/>
      <c r="Y965" s="2"/>
      <c r="Z965" s="9"/>
      <c r="AA965" s="2"/>
      <c r="AB965" s="2"/>
      <c r="AC965" s="2"/>
      <c r="AD965" s="2"/>
    </row>
    <row r="966" spans="1:30" ht="13.2" x14ac:dyDescent="0.25">
      <c r="A966" s="10"/>
      <c r="B966" s="1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9"/>
      <c r="N966" s="2"/>
      <c r="O966" s="9"/>
      <c r="P966" s="9"/>
      <c r="Q966" s="2"/>
      <c r="R966" s="9"/>
      <c r="S966" s="2"/>
      <c r="T966" s="9"/>
      <c r="U966" s="2"/>
      <c r="V966" s="2"/>
      <c r="W966" s="2"/>
      <c r="X966" s="2"/>
      <c r="Y966" s="2"/>
      <c r="Z966" s="9"/>
      <c r="AA966" s="2"/>
      <c r="AB966" s="2"/>
      <c r="AC966" s="2"/>
      <c r="AD966" s="2"/>
    </row>
    <row r="967" spans="1:30" ht="13.2" x14ac:dyDescent="0.25">
      <c r="A967" s="10"/>
      <c r="B967" s="1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9"/>
      <c r="N967" s="2"/>
      <c r="O967" s="9"/>
      <c r="P967" s="9"/>
      <c r="Q967" s="2"/>
      <c r="R967" s="9"/>
      <c r="S967" s="2"/>
      <c r="T967" s="9"/>
      <c r="U967" s="2"/>
      <c r="V967" s="2"/>
      <c r="W967" s="2"/>
      <c r="X967" s="2"/>
      <c r="Y967" s="2"/>
      <c r="Z967" s="9"/>
      <c r="AA967" s="2"/>
      <c r="AB967" s="2"/>
      <c r="AC967" s="2"/>
      <c r="AD967" s="2"/>
    </row>
    <row r="968" spans="1:30" ht="13.2" x14ac:dyDescent="0.25">
      <c r="A968" s="10"/>
      <c r="B968" s="1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9"/>
      <c r="N968" s="2"/>
      <c r="O968" s="9"/>
      <c r="P968" s="9"/>
      <c r="Q968" s="2"/>
      <c r="R968" s="9"/>
      <c r="S968" s="2"/>
      <c r="T968" s="9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3.2" x14ac:dyDescent="0.25">
      <c r="A969" s="10"/>
      <c r="B969" s="1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9"/>
      <c r="N969" s="2"/>
      <c r="O969" s="9"/>
      <c r="P969" s="9"/>
      <c r="Q969" s="2"/>
      <c r="R969" s="9"/>
      <c r="S969" s="2"/>
      <c r="T969" s="9"/>
      <c r="U969" s="2"/>
      <c r="V969" s="2"/>
      <c r="W969" s="2"/>
      <c r="X969" s="2"/>
      <c r="Y969" s="2"/>
      <c r="Z969" s="9"/>
      <c r="AA969" s="2"/>
      <c r="AB969" s="2"/>
      <c r="AC969" s="2"/>
      <c r="AD969" s="2"/>
    </row>
    <row r="970" spans="1:30" ht="13.2" x14ac:dyDescent="0.25">
      <c r="A970" s="10"/>
      <c r="B970" s="1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9"/>
      <c r="N970" s="2"/>
      <c r="O970" s="9"/>
      <c r="P970" s="9"/>
      <c r="Q970" s="2"/>
      <c r="R970" s="9"/>
      <c r="S970" s="2"/>
      <c r="T970" s="9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3.2" x14ac:dyDescent="0.25">
      <c r="A971" s="10"/>
      <c r="B971" s="1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9"/>
      <c r="N971" s="2"/>
      <c r="O971" s="9"/>
      <c r="P971" s="9"/>
      <c r="Q971" s="2"/>
      <c r="R971" s="9"/>
      <c r="S971" s="2"/>
      <c r="T971" s="9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3.2" x14ac:dyDescent="0.25">
      <c r="A972" s="10"/>
      <c r="B972" s="1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9"/>
      <c r="N972" s="2"/>
      <c r="O972" s="9"/>
      <c r="P972" s="9"/>
      <c r="Q972" s="2"/>
      <c r="R972" s="9"/>
      <c r="S972" s="2"/>
      <c r="T972" s="9"/>
      <c r="U972" s="2"/>
      <c r="V972" s="2"/>
      <c r="W972" s="2"/>
      <c r="X972" s="2"/>
      <c r="Y972" s="2"/>
      <c r="Z972" s="9"/>
      <c r="AA972" s="2"/>
      <c r="AB972" s="2"/>
      <c r="AC972" s="2"/>
      <c r="AD972" s="2"/>
    </row>
    <row r="973" spans="1:30" ht="13.2" x14ac:dyDescent="0.25">
      <c r="A973" s="10"/>
      <c r="B973" s="1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9"/>
      <c r="N973" s="2"/>
      <c r="O973" s="9"/>
      <c r="P973" s="9"/>
      <c r="Q973" s="2"/>
      <c r="R973" s="9"/>
      <c r="S973" s="2"/>
      <c r="T973" s="9"/>
      <c r="U973" s="2"/>
      <c r="V973" s="2"/>
      <c r="W973" s="2"/>
      <c r="X973" s="2"/>
      <c r="Y973" s="2"/>
      <c r="Z973" s="9"/>
      <c r="AA973" s="2"/>
      <c r="AB973" s="2"/>
      <c r="AC973" s="2"/>
      <c r="AD973" s="2"/>
    </row>
    <row r="974" spans="1:30" ht="13.2" x14ac:dyDescent="0.25">
      <c r="A974" s="10"/>
      <c r="B974" s="1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9"/>
      <c r="N974" s="2"/>
      <c r="O974" s="9"/>
      <c r="P974" s="9"/>
      <c r="Q974" s="2"/>
      <c r="R974" s="9"/>
      <c r="S974" s="2"/>
      <c r="T974" s="9"/>
      <c r="U974" s="2"/>
      <c r="V974" s="2"/>
      <c r="W974" s="2"/>
      <c r="X974" s="2"/>
      <c r="Y974" s="2"/>
      <c r="Z974" s="9"/>
      <c r="AA974" s="2"/>
      <c r="AB974" s="2"/>
      <c r="AC974" s="2"/>
      <c r="AD974" s="2"/>
    </row>
    <row r="975" spans="1:30" ht="13.2" x14ac:dyDescent="0.25">
      <c r="A975" s="10"/>
      <c r="B975" s="1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9"/>
      <c r="N975" s="2"/>
      <c r="O975" s="9"/>
      <c r="P975" s="9"/>
      <c r="Q975" s="2"/>
      <c r="R975" s="9"/>
      <c r="S975" s="2"/>
      <c r="T975" s="9"/>
      <c r="U975" s="2"/>
      <c r="V975" s="9"/>
      <c r="W975" s="9"/>
      <c r="X975" s="2"/>
      <c r="Y975" s="2"/>
      <c r="Z975" s="2"/>
      <c r="AA975" s="2"/>
      <c r="AB975" s="2"/>
      <c r="AC975" s="2"/>
      <c r="AD975" s="2"/>
    </row>
    <row r="976" spans="1:30" ht="13.2" x14ac:dyDescent="0.25">
      <c r="A976" s="10"/>
      <c r="B976" s="1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9"/>
      <c r="N976" s="2"/>
      <c r="O976" s="9"/>
      <c r="P976" s="9"/>
      <c r="Q976" s="2"/>
      <c r="R976" s="9"/>
      <c r="S976" s="2"/>
      <c r="T976" s="9"/>
      <c r="U976" s="2"/>
      <c r="V976" s="2"/>
      <c r="W976" s="2"/>
      <c r="X976" s="2"/>
      <c r="Y976" s="2"/>
      <c r="Z976" s="9"/>
      <c r="AA976" s="2"/>
      <c r="AB976" s="2"/>
      <c r="AC976" s="2"/>
      <c r="AD976" s="2"/>
    </row>
    <row r="977" spans="1:30" ht="13.2" x14ac:dyDescent="0.25">
      <c r="A977" s="10"/>
      <c r="B977" s="1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9"/>
      <c r="N977" s="2"/>
      <c r="O977" s="9"/>
      <c r="P977" s="9"/>
      <c r="Q977" s="2"/>
      <c r="R977" s="9"/>
      <c r="S977" s="2"/>
      <c r="T977" s="9"/>
      <c r="U977" s="2"/>
      <c r="V977" s="2"/>
      <c r="W977" s="2"/>
      <c r="X977" s="2"/>
      <c r="Y977" s="2"/>
      <c r="Z977" s="9"/>
      <c r="AA977" s="2"/>
      <c r="AB977" s="2"/>
      <c r="AC977" s="2"/>
      <c r="AD977" s="2"/>
    </row>
    <row r="978" spans="1:30" ht="13.2" x14ac:dyDescent="0.25">
      <c r="A978" s="10"/>
      <c r="B978" s="1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9"/>
      <c r="N978" s="2"/>
      <c r="O978" s="9"/>
      <c r="P978" s="9"/>
      <c r="Q978" s="2"/>
      <c r="R978" s="9"/>
      <c r="S978" s="2"/>
      <c r="T978" s="9"/>
      <c r="U978" s="2"/>
      <c r="V978" s="2"/>
      <c r="W978" s="2"/>
      <c r="X978" s="2"/>
      <c r="Y978" s="2"/>
      <c r="Z978" s="9"/>
      <c r="AA978" s="2"/>
      <c r="AB978" s="2"/>
      <c r="AC978" s="2"/>
      <c r="AD978" s="2"/>
    </row>
    <row r="979" spans="1:30" ht="13.2" x14ac:dyDescent="0.25">
      <c r="A979" s="10"/>
      <c r="B979" s="1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9"/>
      <c r="N979" s="2"/>
      <c r="O979" s="9"/>
      <c r="P979" s="9"/>
      <c r="Q979" s="2"/>
      <c r="R979" s="9"/>
      <c r="S979" s="2"/>
      <c r="T979" s="9"/>
      <c r="U979" s="2"/>
      <c r="V979" s="2"/>
      <c r="W979" s="2"/>
      <c r="X979" s="2"/>
      <c r="Y979" s="2"/>
      <c r="Z979" s="9"/>
      <c r="AA979" s="2"/>
      <c r="AB979" s="2"/>
      <c r="AC979" s="2"/>
      <c r="AD979" s="2"/>
    </row>
    <row r="980" spans="1:30" ht="13.2" x14ac:dyDescent="0.25">
      <c r="A980" s="10"/>
      <c r="B980" s="1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9"/>
      <c r="N980" s="2"/>
      <c r="O980" s="9"/>
      <c r="P980" s="9"/>
      <c r="Q980" s="2"/>
      <c r="R980" s="9"/>
      <c r="S980" s="2"/>
      <c r="T980" s="9"/>
      <c r="U980" s="2"/>
      <c r="V980" s="2"/>
      <c r="W980" s="2"/>
      <c r="X980" s="2"/>
      <c r="Y980" s="2"/>
      <c r="Z980" s="9"/>
      <c r="AA980" s="2"/>
      <c r="AB980" s="2"/>
      <c r="AC980" s="2"/>
      <c r="AD980" s="2"/>
    </row>
    <row r="981" spans="1:30" ht="13.2" x14ac:dyDescent="0.25">
      <c r="A981" s="10"/>
      <c r="B981" s="1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9"/>
      <c r="N981" s="2"/>
      <c r="O981" s="9"/>
      <c r="P981" s="9"/>
      <c r="Q981" s="2"/>
      <c r="R981" s="9"/>
      <c r="S981" s="2"/>
      <c r="T981" s="9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3.2" x14ac:dyDescent="0.25">
      <c r="A982" s="10"/>
      <c r="B982" s="1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9"/>
      <c r="N982" s="2"/>
      <c r="O982" s="9"/>
      <c r="P982" s="9"/>
      <c r="Q982" s="2"/>
      <c r="R982" s="9"/>
      <c r="S982" s="2"/>
      <c r="T982" s="9"/>
      <c r="U982" s="2"/>
      <c r="V982" s="2"/>
      <c r="W982" s="2"/>
      <c r="X982" s="2"/>
      <c r="Y982" s="2"/>
      <c r="Z982" s="9"/>
      <c r="AA982" s="2"/>
      <c r="AB982" s="2"/>
      <c r="AC982" s="2"/>
      <c r="AD982" s="2"/>
    </row>
    <row r="983" spans="1:30" ht="13.2" x14ac:dyDescent="0.25">
      <c r="A983" s="10"/>
      <c r="B983" s="1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9"/>
      <c r="N983" s="2"/>
      <c r="O983" s="9"/>
      <c r="P983" s="9"/>
      <c r="Q983" s="2"/>
      <c r="R983" s="9"/>
      <c r="S983" s="2"/>
      <c r="T983" s="9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3.2" x14ac:dyDescent="0.25">
      <c r="A984" s="10"/>
      <c r="B984" s="1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9"/>
      <c r="N984" s="2"/>
      <c r="O984" s="9"/>
      <c r="P984" s="9"/>
      <c r="Q984" s="2"/>
      <c r="R984" s="9"/>
      <c r="S984" s="2"/>
      <c r="T984" s="9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3.2" x14ac:dyDescent="0.25">
      <c r="A985" s="10"/>
      <c r="B985" s="1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9"/>
      <c r="N985" s="2"/>
      <c r="O985" s="9"/>
      <c r="P985" s="9"/>
      <c r="Q985" s="2"/>
      <c r="R985" s="9"/>
      <c r="S985" s="2"/>
      <c r="T985" s="9"/>
      <c r="U985" s="2"/>
      <c r="V985" s="9"/>
      <c r="W985" s="9"/>
      <c r="X985" s="2"/>
      <c r="Y985" s="2"/>
      <c r="Z985" s="2"/>
      <c r="AA985" s="2"/>
      <c r="AB985" s="2"/>
      <c r="AC985" s="2"/>
      <c r="AD985" s="2"/>
    </row>
    <row r="986" spans="1:30" ht="13.2" x14ac:dyDescent="0.25">
      <c r="A986" s="10"/>
      <c r="B986" s="1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9"/>
      <c r="N986" s="2"/>
      <c r="O986" s="9"/>
      <c r="P986" s="9"/>
      <c r="Q986" s="2"/>
      <c r="R986" s="9"/>
      <c r="S986" s="2"/>
      <c r="T986" s="9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3.2" x14ac:dyDescent="0.25">
      <c r="A987" s="10"/>
      <c r="B987" s="1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9"/>
      <c r="N987" s="2"/>
      <c r="O987" s="9"/>
      <c r="P987" s="9"/>
      <c r="Q987" s="2"/>
      <c r="R987" s="9"/>
      <c r="S987" s="2"/>
      <c r="T987" s="9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3.2" x14ac:dyDescent="0.25">
      <c r="A988" s="10"/>
      <c r="B988" s="1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9"/>
      <c r="N988" s="2"/>
      <c r="O988" s="9"/>
      <c r="P988" s="9"/>
      <c r="Q988" s="2"/>
      <c r="R988" s="9"/>
      <c r="S988" s="2"/>
      <c r="T988" s="9"/>
      <c r="U988" s="2"/>
      <c r="V988" s="2"/>
      <c r="W988" s="2"/>
      <c r="X988" s="2"/>
      <c r="Y988" s="2"/>
      <c r="Z988" s="9"/>
      <c r="AA988" s="2"/>
      <c r="AB988" s="2"/>
      <c r="AC988" s="2"/>
      <c r="AD988" s="2"/>
    </row>
    <row r="989" spans="1:30" ht="13.2" x14ac:dyDescent="0.25">
      <c r="A989" s="10"/>
      <c r="B989" s="1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9"/>
      <c r="N989" s="2"/>
      <c r="O989" s="9"/>
      <c r="P989" s="9"/>
      <c r="Q989" s="2"/>
      <c r="R989" s="9"/>
      <c r="S989" s="2"/>
      <c r="T989" s="9"/>
      <c r="U989" s="2"/>
      <c r="V989" s="2"/>
      <c r="W989" s="2"/>
      <c r="X989" s="2"/>
      <c r="Y989" s="2"/>
      <c r="Z989" s="9"/>
      <c r="AA989" s="2"/>
      <c r="AB989" s="2"/>
      <c r="AC989" s="2"/>
      <c r="AD989" s="2"/>
    </row>
    <row r="990" spans="1:30" ht="13.2" x14ac:dyDescent="0.25">
      <c r="A990" s="10"/>
      <c r="B990" s="1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9"/>
      <c r="N990" s="2"/>
      <c r="O990" s="9"/>
      <c r="P990" s="9"/>
      <c r="Q990" s="2"/>
      <c r="R990" s="9"/>
      <c r="S990" s="2"/>
      <c r="T990" s="9"/>
      <c r="U990" s="2"/>
      <c r="V990" s="2"/>
      <c r="W990" s="2"/>
      <c r="X990" s="2"/>
      <c r="Y990" s="2"/>
      <c r="Z990" s="9"/>
      <c r="AA990" s="2"/>
      <c r="AB990" s="2"/>
      <c r="AC990" s="2"/>
      <c r="AD990" s="2"/>
    </row>
    <row r="991" spans="1:30" ht="13.2" x14ac:dyDescent="0.25">
      <c r="A991" s="10"/>
      <c r="B991" s="1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9"/>
      <c r="N991" s="2"/>
      <c r="O991" s="9"/>
      <c r="P991" s="9"/>
      <c r="Q991" s="2"/>
      <c r="R991" s="9"/>
      <c r="S991" s="2"/>
      <c r="T991" s="9"/>
      <c r="U991" s="2"/>
      <c r="V991" s="2"/>
      <c r="W991" s="2"/>
      <c r="X991" s="2"/>
      <c r="Y991" s="2"/>
      <c r="Z991" s="9"/>
      <c r="AA991" s="2"/>
      <c r="AB991" s="2"/>
      <c r="AC991" s="2"/>
      <c r="AD991" s="2"/>
    </row>
    <row r="992" spans="1:30" ht="13.2" x14ac:dyDescent="0.25">
      <c r="A992" s="10"/>
      <c r="B992" s="1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9"/>
      <c r="N992" s="2"/>
      <c r="O992" s="9"/>
      <c r="P992" s="9"/>
      <c r="Q992" s="2"/>
      <c r="R992" s="9"/>
      <c r="S992" s="2"/>
      <c r="T992" s="9"/>
      <c r="U992" s="2"/>
      <c r="V992" s="2"/>
      <c r="W992" s="2"/>
      <c r="X992" s="2"/>
      <c r="Y992" s="2"/>
      <c r="Z992" s="9"/>
      <c r="AA992" s="2"/>
      <c r="AB992" s="2"/>
      <c r="AC992" s="2"/>
      <c r="AD992" s="2"/>
    </row>
    <row r="993" spans="1:30" ht="13.2" x14ac:dyDescent="0.25">
      <c r="A993" s="10"/>
      <c r="B993" s="10"/>
      <c r="C993" s="2"/>
      <c r="D993" s="2"/>
      <c r="E993" s="2"/>
      <c r="F993" s="2"/>
      <c r="G993" s="9"/>
      <c r="H993" s="2"/>
      <c r="I993" s="2"/>
      <c r="J993" s="2"/>
      <c r="K993" s="2"/>
      <c r="L993" s="2"/>
      <c r="M993" s="9"/>
      <c r="N993" s="2"/>
      <c r="O993" s="9"/>
      <c r="P993" s="9"/>
      <c r="Q993" s="2"/>
      <c r="R993" s="9"/>
      <c r="S993" s="2"/>
      <c r="T993" s="9"/>
      <c r="U993" s="2"/>
      <c r="V993" s="9"/>
      <c r="W993" s="9"/>
      <c r="X993" s="2"/>
      <c r="Y993" s="2"/>
      <c r="Z993" s="2"/>
      <c r="AA993" s="2"/>
      <c r="AB993" s="2"/>
      <c r="AC993" s="2"/>
      <c r="AD993" s="2"/>
    </row>
    <row r="994" spans="1:30" ht="13.2" x14ac:dyDescent="0.25">
      <c r="A994" s="10"/>
      <c r="B994" s="1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9"/>
      <c r="N994" s="2"/>
      <c r="O994" s="9"/>
      <c r="P994" s="9"/>
      <c r="Q994" s="2"/>
      <c r="R994" s="9"/>
      <c r="S994" s="2"/>
      <c r="T994" s="9"/>
      <c r="U994" s="2"/>
      <c r="V994" s="2"/>
      <c r="W994" s="2"/>
      <c r="X994" s="2"/>
      <c r="Y994" s="2"/>
      <c r="Z994" s="9"/>
      <c r="AA994" s="2"/>
      <c r="AB994" s="2"/>
      <c r="AC994" s="2"/>
      <c r="AD994" s="2"/>
    </row>
    <row r="995" spans="1:30" ht="13.2" x14ac:dyDescent="0.25">
      <c r="A995" s="10"/>
      <c r="B995" s="1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9"/>
      <c r="N995" s="2"/>
      <c r="O995" s="9"/>
      <c r="P995" s="9"/>
      <c r="Q995" s="2"/>
      <c r="R995" s="9"/>
      <c r="S995" s="2"/>
      <c r="T995" s="9"/>
      <c r="U995" s="2"/>
      <c r="V995" s="2"/>
      <c r="W995" s="2"/>
      <c r="X995" s="2"/>
      <c r="Y995" s="2"/>
      <c r="Z995" s="9"/>
      <c r="AA995" s="2"/>
      <c r="AB995" s="2"/>
      <c r="AC995" s="2"/>
      <c r="AD995" s="2"/>
    </row>
    <row r="996" spans="1:30" ht="13.2" x14ac:dyDescent="0.25">
      <c r="A996" s="10"/>
      <c r="B996" s="1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9"/>
      <c r="N996" s="2"/>
      <c r="O996" s="9"/>
      <c r="P996" s="9"/>
      <c r="Q996" s="2"/>
      <c r="R996" s="9"/>
      <c r="S996" s="2"/>
      <c r="T996" s="9"/>
      <c r="U996" s="2"/>
      <c r="V996" s="2"/>
      <c r="W996" s="2"/>
      <c r="X996" s="2"/>
      <c r="Y996" s="2"/>
      <c r="Z996" s="9"/>
      <c r="AA996" s="2"/>
      <c r="AB996" s="2"/>
      <c r="AC996" s="2"/>
      <c r="AD996" s="2"/>
    </row>
    <row r="997" spans="1:30" ht="13.2" x14ac:dyDescent="0.25">
      <c r="A997" s="10"/>
      <c r="B997" s="1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9"/>
      <c r="N997" s="2"/>
      <c r="O997" s="9"/>
      <c r="P997" s="9"/>
      <c r="Q997" s="2"/>
      <c r="R997" s="9"/>
      <c r="S997" s="2"/>
      <c r="T997" s="9"/>
      <c r="U997" s="2"/>
      <c r="V997" s="2"/>
      <c r="W997" s="2"/>
      <c r="X997" s="2"/>
      <c r="Y997" s="2"/>
      <c r="Z997" s="9"/>
      <c r="AA997" s="2"/>
      <c r="AB997" s="2"/>
      <c r="AC997" s="2"/>
      <c r="AD997" s="2"/>
    </row>
    <row r="998" spans="1:30" ht="13.2" x14ac:dyDescent="0.25">
      <c r="A998" s="10"/>
      <c r="B998" s="1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9"/>
      <c r="N998" s="2"/>
      <c r="O998" s="9"/>
      <c r="P998" s="9"/>
      <c r="Q998" s="2"/>
      <c r="R998" s="9"/>
      <c r="S998" s="2"/>
      <c r="T998" s="9"/>
      <c r="U998" s="2"/>
      <c r="V998" s="2"/>
      <c r="W998" s="2"/>
      <c r="X998" s="2"/>
      <c r="Y998" s="2"/>
      <c r="Z998" s="9"/>
      <c r="AA998" s="2"/>
      <c r="AB998" s="2"/>
      <c r="AC998" s="2"/>
      <c r="AD998" s="2"/>
    </row>
    <row r="999" spans="1:30" ht="13.2" x14ac:dyDescent="0.25">
      <c r="A999" s="10"/>
      <c r="B999" s="1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9"/>
      <c r="N999" s="2"/>
      <c r="O999" s="9"/>
      <c r="P999" s="9"/>
      <c r="Q999" s="2"/>
      <c r="R999" s="9"/>
      <c r="S999" s="2"/>
      <c r="T999" s="9"/>
      <c r="U999" s="2"/>
      <c r="V999" s="9"/>
      <c r="W999" s="9"/>
      <c r="X999" s="2"/>
      <c r="Y999" s="2"/>
      <c r="Z999" s="2"/>
      <c r="AA999" s="2"/>
      <c r="AB999" s="2"/>
      <c r="AC999" s="2"/>
      <c r="AD999" s="2"/>
    </row>
    <row r="1000" spans="1:30" ht="13.2" x14ac:dyDescent="0.25">
      <c r="A1000" s="10"/>
      <c r="B1000" s="1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9"/>
      <c r="N1000" s="2"/>
      <c r="O1000" s="9"/>
      <c r="P1000" s="9"/>
      <c r="Q1000" s="2"/>
      <c r="R1000" s="9"/>
      <c r="S1000" s="2"/>
      <c r="T1000" s="9"/>
      <c r="U1000" s="2"/>
      <c r="V1000" s="9"/>
      <c r="W1000" s="9"/>
      <c r="X1000" s="2"/>
      <c r="Y1000" s="2"/>
      <c r="Z1000" s="2"/>
      <c r="AA1000" s="2"/>
      <c r="AB1000" s="2"/>
      <c r="AC1000" s="2"/>
      <c r="AD1000" s="2"/>
    </row>
    <row r="1001" spans="1:30" ht="13.2" x14ac:dyDescent="0.25">
      <c r="A1001" s="10"/>
      <c r="B1001" s="10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9"/>
      <c r="N1001" s="2"/>
      <c r="O1001" s="9"/>
      <c r="P1001" s="9"/>
      <c r="Q1001" s="2"/>
      <c r="R1001" s="9"/>
      <c r="S1001" s="2"/>
      <c r="T1001" s="9"/>
      <c r="U1001" s="2"/>
      <c r="V1001" s="2"/>
      <c r="W1001" s="2"/>
      <c r="X1001" s="2"/>
      <c r="Y1001" s="2"/>
      <c r="Z1001" s="9"/>
      <c r="AA1001" s="2"/>
      <c r="AB1001" s="2"/>
      <c r="AC1001" s="2"/>
      <c r="AD1001" s="2"/>
    </row>
    <row r="1002" spans="1:30" ht="13.2" x14ac:dyDescent="0.25">
      <c r="A1002" s="10"/>
      <c r="B1002" s="10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9"/>
      <c r="N1002" s="2"/>
      <c r="O1002" s="9"/>
      <c r="P1002" s="9"/>
      <c r="Q1002" s="2"/>
      <c r="R1002" s="9"/>
      <c r="S1002" s="2"/>
      <c r="T1002" s="9"/>
      <c r="U1002" s="2"/>
      <c r="V1002" s="2"/>
      <c r="W1002" s="2"/>
      <c r="X1002" s="2"/>
      <c r="Y1002" s="2"/>
      <c r="Z1002" s="9"/>
      <c r="AA1002" s="2"/>
      <c r="AB1002" s="2"/>
      <c r="AC1002" s="2"/>
      <c r="AD1002" s="2"/>
    </row>
    <row r="1003" spans="1:30" ht="13.2" x14ac:dyDescent="0.25">
      <c r="A1003" s="10"/>
      <c r="B1003" s="10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9"/>
      <c r="N1003" s="2"/>
      <c r="O1003" s="9"/>
      <c r="P1003" s="9"/>
      <c r="Q1003" s="2"/>
      <c r="R1003" s="9"/>
      <c r="S1003" s="2"/>
      <c r="T1003" s="9"/>
      <c r="U1003" s="2"/>
      <c r="V1003" s="2"/>
      <c r="W1003" s="2"/>
      <c r="X1003" s="2"/>
      <c r="Y1003" s="2"/>
      <c r="Z1003" s="9"/>
      <c r="AA1003" s="2"/>
      <c r="AB1003" s="2"/>
      <c r="AC1003" s="2"/>
      <c r="AD1003" s="2"/>
    </row>
    <row r="1004" spans="1:30" ht="13.2" x14ac:dyDescent="0.25">
      <c r="A1004" s="10"/>
      <c r="B1004" s="10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9"/>
      <c r="N1004" s="2"/>
      <c r="O1004" s="9"/>
      <c r="P1004" s="9"/>
      <c r="Q1004" s="2"/>
      <c r="R1004" s="9"/>
      <c r="S1004" s="2"/>
      <c r="T1004" s="9"/>
      <c r="U1004" s="2"/>
      <c r="V1004" s="2"/>
      <c r="W1004" s="2"/>
      <c r="X1004" s="2"/>
      <c r="Y1004" s="2"/>
      <c r="Z1004" s="9"/>
      <c r="AA1004" s="2"/>
      <c r="AB1004" s="2"/>
      <c r="AC1004" s="2"/>
      <c r="AD1004" s="2"/>
    </row>
    <row r="1005" spans="1:30" ht="13.2" x14ac:dyDescent="0.25">
      <c r="A1005" s="10"/>
      <c r="B1005" s="10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9"/>
      <c r="N1005" s="2"/>
      <c r="O1005" s="9"/>
      <c r="P1005" s="9"/>
      <c r="Q1005" s="2"/>
      <c r="R1005" s="9"/>
      <c r="S1005" s="2"/>
      <c r="T1005" s="9"/>
      <c r="U1005" s="2"/>
      <c r="V1005" s="2"/>
      <c r="W1005" s="2"/>
      <c r="X1005" s="2"/>
      <c r="Y1005" s="2"/>
      <c r="Z1005" s="9"/>
      <c r="AA1005" s="2"/>
      <c r="AB1005" s="2"/>
      <c r="AC1005" s="2"/>
      <c r="AD1005" s="2"/>
    </row>
    <row r="1006" spans="1:30" ht="13.2" x14ac:dyDescent="0.25">
      <c r="A1006" s="10"/>
      <c r="B1006" s="10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9"/>
      <c r="N1006" s="2"/>
      <c r="O1006" s="9"/>
      <c r="P1006" s="9"/>
      <c r="Q1006" s="2"/>
      <c r="R1006" s="9"/>
      <c r="S1006" s="2"/>
      <c r="T1006" s="9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13.2" x14ac:dyDescent="0.25">
      <c r="A1007" s="10"/>
      <c r="B1007" s="10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9"/>
      <c r="N1007" s="2"/>
      <c r="O1007" s="9"/>
      <c r="P1007" s="9"/>
      <c r="Q1007" s="2"/>
      <c r="R1007" s="9"/>
      <c r="S1007" s="2"/>
      <c r="T1007" s="9"/>
      <c r="U1007" s="2"/>
      <c r="V1007" s="2"/>
      <c r="W1007" s="2"/>
      <c r="X1007" s="2"/>
      <c r="Y1007" s="2"/>
      <c r="Z1007" s="9"/>
      <c r="AA1007" s="2"/>
      <c r="AB1007" s="2"/>
      <c r="AC1007" s="2"/>
      <c r="AD1007" s="2"/>
    </row>
    <row r="1008" spans="1:30" ht="13.2" x14ac:dyDescent="0.25">
      <c r="A1008" s="10"/>
      <c r="B1008" s="10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9"/>
      <c r="N1008" s="2"/>
      <c r="O1008" s="9"/>
      <c r="P1008" s="9"/>
      <c r="Q1008" s="2"/>
      <c r="R1008" s="9"/>
      <c r="S1008" s="2"/>
      <c r="T1008" s="9"/>
      <c r="U1008" s="2"/>
      <c r="V1008" s="2"/>
      <c r="W1008" s="2"/>
      <c r="X1008" s="2"/>
      <c r="Y1008" s="2"/>
      <c r="Z1008" s="9"/>
      <c r="AA1008" s="2"/>
      <c r="AB1008" s="2"/>
      <c r="AC1008" s="2"/>
      <c r="AD1008" s="2"/>
    </row>
    <row r="1009" spans="1:30" ht="13.2" x14ac:dyDescent="0.25">
      <c r="A1009" s="10"/>
      <c r="B1009" s="10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9"/>
      <c r="N1009" s="2"/>
      <c r="O1009" s="9"/>
      <c r="P1009" s="9"/>
      <c r="Q1009" s="2"/>
      <c r="R1009" s="9"/>
      <c r="S1009" s="2"/>
      <c r="T1009" s="9"/>
      <c r="U1009" s="2"/>
      <c r="V1009" s="2"/>
      <c r="W1009" s="2"/>
      <c r="X1009" s="2"/>
      <c r="Y1009" s="2"/>
      <c r="Z1009" s="9"/>
      <c r="AA1009" s="2"/>
      <c r="AB1009" s="2"/>
      <c r="AC1009" s="2"/>
      <c r="AD1009" s="2"/>
    </row>
    <row r="1010" spans="1:30" ht="13.2" x14ac:dyDescent="0.25">
      <c r="A1010" s="10"/>
      <c r="B1010" s="10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9"/>
      <c r="N1010" s="2"/>
      <c r="O1010" s="9"/>
      <c r="P1010" s="9"/>
      <c r="Q1010" s="2"/>
      <c r="R1010" s="9"/>
      <c r="S1010" s="2"/>
      <c r="T1010" s="9"/>
      <c r="U1010" s="2"/>
      <c r="V1010" s="9"/>
      <c r="W1010" s="9"/>
      <c r="X1010" s="2"/>
      <c r="Y1010" s="2"/>
      <c r="Z1010" s="2"/>
      <c r="AA1010" s="2"/>
      <c r="AB1010" s="2"/>
      <c r="AC1010" s="2"/>
      <c r="AD1010" s="2"/>
    </row>
    <row r="1011" spans="1:30" ht="13.2" x14ac:dyDescent="0.25">
      <c r="A1011" s="10"/>
      <c r="B1011" s="10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9"/>
      <c r="N1011" s="2"/>
      <c r="O1011" s="9"/>
      <c r="P1011" s="9"/>
      <c r="Q1011" s="2"/>
      <c r="R1011" s="9"/>
      <c r="S1011" s="2"/>
      <c r="T1011" s="9"/>
      <c r="U1011" s="2"/>
      <c r="V1011" s="2"/>
      <c r="W1011" s="2"/>
      <c r="X1011" s="2"/>
      <c r="Y1011" s="2"/>
      <c r="Z1011" s="9"/>
      <c r="AA1011" s="2"/>
      <c r="AB1011" s="2"/>
      <c r="AC1011" s="2"/>
      <c r="AD1011" s="2"/>
    </row>
    <row r="1012" spans="1:30" ht="13.2" x14ac:dyDescent="0.25">
      <c r="A1012" s="10"/>
      <c r="B1012" s="10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9"/>
      <c r="N1012" s="2"/>
      <c r="O1012" s="9"/>
      <c r="P1012" s="9"/>
      <c r="Q1012" s="2"/>
      <c r="R1012" s="9"/>
      <c r="S1012" s="2"/>
      <c r="T1012" s="9"/>
      <c r="U1012" s="2"/>
      <c r="V1012" s="2"/>
      <c r="W1012" s="2"/>
      <c r="X1012" s="2"/>
      <c r="Y1012" s="2"/>
      <c r="Z1012" s="9"/>
      <c r="AA1012" s="2"/>
      <c r="AB1012" s="2"/>
      <c r="AC1012" s="2"/>
      <c r="AD1012" s="2"/>
    </row>
    <row r="1013" spans="1:30" ht="13.2" x14ac:dyDescent="0.25">
      <c r="A1013" s="10"/>
      <c r="B1013" s="10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9"/>
      <c r="N1013" s="2"/>
      <c r="O1013" s="9"/>
      <c r="P1013" s="9"/>
      <c r="Q1013" s="2"/>
      <c r="R1013" s="9"/>
      <c r="S1013" s="2"/>
      <c r="T1013" s="9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13.2" x14ac:dyDescent="0.25">
      <c r="A1014" s="10"/>
      <c r="B1014" s="10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9"/>
      <c r="N1014" s="2"/>
      <c r="O1014" s="9"/>
      <c r="P1014" s="9"/>
      <c r="Q1014" s="2"/>
      <c r="R1014" s="9"/>
      <c r="S1014" s="2"/>
      <c r="T1014" s="9"/>
      <c r="U1014" s="2"/>
      <c r="V1014" s="2"/>
      <c r="W1014" s="2"/>
      <c r="X1014" s="2"/>
      <c r="Y1014" s="2"/>
      <c r="Z1014" s="9"/>
      <c r="AA1014" s="2"/>
      <c r="AB1014" s="2"/>
      <c r="AC1014" s="2"/>
      <c r="AD1014" s="2"/>
    </row>
    <row r="1015" spans="1:30" ht="13.2" x14ac:dyDescent="0.25">
      <c r="A1015" s="10"/>
      <c r="B1015" s="10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9"/>
      <c r="N1015" s="2"/>
      <c r="O1015" s="9"/>
      <c r="P1015" s="9"/>
      <c r="Q1015" s="2"/>
      <c r="R1015" s="9"/>
      <c r="S1015" s="2"/>
      <c r="T1015" s="9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13.2" x14ac:dyDescent="0.25">
      <c r="A1016" s="10"/>
      <c r="B1016" s="10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9"/>
      <c r="N1016" s="2"/>
      <c r="O1016" s="9"/>
      <c r="P1016" s="9"/>
      <c r="Q1016" s="2"/>
      <c r="R1016" s="9"/>
      <c r="S1016" s="2"/>
      <c r="T1016" s="9"/>
      <c r="U1016" s="2"/>
      <c r="V1016" s="9"/>
      <c r="W1016" s="9"/>
      <c r="X1016" s="2"/>
      <c r="Y1016" s="2"/>
      <c r="Z1016" s="2"/>
      <c r="AA1016" s="2"/>
      <c r="AB1016" s="2"/>
      <c r="AC1016" s="2"/>
      <c r="AD1016" s="2"/>
    </row>
    <row r="1017" spans="1:30" ht="13.2" x14ac:dyDescent="0.25">
      <c r="A1017" s="10"/>
      <c r="B1017" s="10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9"/>
      <c r="N1017" s="2"/>
      <c r="O1017" s="9"/>
      <c r="P1017" s="9"/>
      <c r="Q1017" s="2"/>
      <c r="R1017" s="9"/>
      <c r="S1017" s="2"/>
      <c r="T1017" s="9"/>
      <c r="U1017" s="2"/>
      <c r="V1017" s="9"/>
      <c r="W1017" s="9"/>
      <c r="X1017" s="2"/>
      <c r="Y1017" s="2"/>
      <c r="Z1017" s="2"/>
      <c r="AA1017" s="2"/>
      <c r="AB1017" s="2"/>
      <c r="AC1017" s="2"/>
      <c r="AD1017" s="2"/>
    </row>
    <row r="1018" spans="1:30" ht="13.2" x14ac:dyDescent="0.25">
      <c r="A1018" s="10"/>
      <c r="B1018" s="10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9"/>
      <c r="N1018" s="2"/>
      <c r="O1018" s="9"/>
      <c r="P1018" s="9"/>
      <c r="Q1018" s="2"/>
      <c r="R1018" s="9"/>
      <c r="S1018" s="2"/>
      <c r="T1018" s="9"/>
      <c r="U1018" s="2"/>
      <c r="V1018" s="2"/>
      <c r="W1018" s="2"/>
      <c r="X1018" s="2"/>
      <c r="Y1018" s="2"/>
      <c r="Z1018" s="9"/>
      <c r="AA1018" s="2"/>
      <c r="AB1018" s="2"/>
      <c r="AC1018" s="2"/>
      <c r="AD1018" s="2"/>
    </row>
    <row r="1019" spans="1:30" ht="13.2" x14ac:dyDescent="0.25">
      <c r="A1019" s="10"/>
      <c r="B1019" s="10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9"/>
      <c r="N1019" s="2"/>
      <c r="O1019" s="9"/>
      <c r="P1019" s="9"/>
      <c r="Q1019" s="2"/>
      <c r="R1019" s="9"/>
      <c r="S1019" s="2"/>
      <c r="T1019" s="9"/>
      <c r="U1019" s="2"/>
      <c r="V1019" s="2"/>
      <c r="W1019" s="2"/>
      <c r="X1019" s="2"/>
      <c r="Y1019" s="2"/>
      <c r="Z1019" s="9"/>
      <c r="AA1019" s="2"/>
      <c r="AB1019" s="2"/>
      <c r="AC1019" s="2"/>
      <c r="AD1019" s="2"/>
    </row>
    <row r="1020" spans="1:30" ht="13.2" x14ac:dyDescent="0.25">
      <c r="A1020" s="10"/>
      <c r="B1020" s="10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9"/>
      <c r="N1020" s="2"/>
      <c r="O1020" s="9"/>
      <c r="P1020" s="9"/>
      <c r="Q1020" s="2"/>
      <c r="R1020" s="9"/>
      <c r="S1020" s="2"/>
      <c r="T1020" s="9"/>
      <c r="U1020" s="2"/>
      <c r="V1020" s="2"/>
      <c r="W1020" s="2"/>
      <c r="X1020" s="2"/>
      <c r="Y1020" s="2"/>
      <c r="Z1020" s="9"/>
      <c r="AA1020" s="2"/>
      <c r="AB1020" s="2"/>
      <c r="AC1020" s="2"/>
      <c r="AD1020" s="2"/>
    </row>
    <row r="1021" spans="1:30" ht="13.2" x14ac:dyDescent="0.25">
      <c r="A1021" s="10"/>
      <c r="B1021" s="10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9"/>
      <c r="N1021" s="2"/>
      <c r="O1021" s="9"/>
      <c r="P1021" s="9"/>
      <c r="Q1021" s="2"/>
      <c r="R1021" s="9"/>
      <c r="S1021" s="2"/>
      <c r="T1021" s="9"/>
      <c r="U1021" s="2"/>
      <c r="V1021" s="2"/>
      <c r="W1021" s="2"/>
      <c r="X1021" s="2"/>
      <c r="Y1021" s="2"/>
      <c r="Z1021" s="9"/>
      <c r="AA1021" s="2"/>
      <c r="AB1021" s="2"/>
      <c r="AC1021" s="2"/>
      <c r="AD1021" s="2"/>
    </row>
    <row r="1022" spans="1:30" ht="13.2" x14ac:dyDescent="0.25">
      <c r="A1022" s="10"/>
      <c r="B1022" s="10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9"/>
      <c r="N1022" s="2"/>
      <c r="O1022" s="9"/>
      <c r="P1022" s="9"/>
      <c r="Q1022" s="2"/>
      <c r="R1022" s="9"/>
      <c r="S1022" s="2"/>
      <c r="T1022" s="9"/>
      <c r="U1022" s="2"/>
      <c r="V1022" s="2"/>
      <c r="W1022" s="2"/>
      <c r="X1022" s="2"/>
      <c r="Y1022" s="2"/>
      <c r="Z1022" s="9"/>
      <c r="AA1022" s="2"/>
      <c r="AB1022" s="2"/>
      <c r="AC1022" s="2"/>
      <c r="AD1022" s="2"/>
    </row>
    <row r="1023" spans="1:30" ht="13.2" x14ac:dyDescent="0.25">
      <c r="A1023" s="10"/>
      <c r="B1023" s="10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9"/>
      <c r="N1023" s="2"/>
      <c r="O1023" s="9"/>
      <c r="P1023" s="9"/>
      <c r="Q1023" s="2"/>
      <c r="R1023" s="9"/>
      <c r="S1023" s="2"/>
      <c r="T1023" s="9"/>
      <c r="U1023" s="2"/>
      <c r="V1023" s="2"/>
      <c r="W1023" s="2"/>
      <c r="X1023" s="2"/>
      <c r="Y1023" s="2"/>
      <c r="Z1023" s="9"/>
      <c r="AA1023" s="2"/>
      <c r="AB1023" s="2"/>
      <c r="AC1023" s="2"/>
      <c r="AD1023" s="2"/>
    </row>
    <row r="1024" spans="1:30" ht="13.2" x14ac:dyDescent="0.25">
      <c r="A1024" s="10"/>
      <c r="B1024" s="10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9"/>
      <c r="N1024" s="2"/>
      <c r="O1024" s="9"/>
      <c r="P1024" s="9"/>
      <c r="Q1024" s="2"/>
      <c r="R1024" s="9"/>
      <c r="S1024" s="2"/>
      <c r="T1024" s="9"/>
      <c r="U1024" s="2"/>
      <c r="V1024" s="2"/>
      <c r="W1024" s="2"/>
      <c r="X1024" s="2"/>
      <c r="Y1024" s="2"/>
      <c r="Z1024" s="9"/>
      <c r="AA1024" s="2"/>
      <c r="AB1024" s="2"/>
      <c r="AC1024" s="2"/>
      <c r="AD1024" s="2"/>
    </row>
    <row r="1025" spans="1:30" ht="13.2" x14ac:dyDescent="0.25">
      <c r="A1025" s="10"/>
      <c r="B1025" s="10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9"/>
      <c r="N1025" s="2"/>
      <c r="O1025" s="9"/>
      <c r="P1025" s="9"/>
      <c r="Q1025" s="2"/>
      <c r="R1025" s="9"/>
      <c r="S1025" s="2"/>
      <c r="T1025" s="9"/>
      <c r="U1025" s="2"/>
      <c r="V1025" s="2"/>
      <c r="W1025" s="2"/>
      <c r="X1025" s="2"/>
      <c r="Y1025" s="2"/>
      <c r="Z1025" s="9"/>
      <c r="AA1025" s="2"/>
      <c r="AB1025" s="2"/>
      <c r="AC1025" s="2"/>
      <c r="AD1025" s="2"/>
    </row>
    <row r="1026" spans="1:30" ht="13.2" x14ac:dyDescent="0.25">
      <c r="A1026" s="10"/>
      <c r="B1026" s="10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9"/>
      <c r="N1026" s="2"/>
      <c r="O1026" s="9"/>
      <c r="P1026" s="9"/>
      <c r="Q1026" s="2"/>
      <c r="R1026" s="9"/>
      <c r="S1026" s="2"/>
      <c r="T1026" s="9"/>
      <c r="U1026" s="2"/>
      <c r="V1026" s="2"/>
      <c r="W1026" s="2"/>
      <c r="X1026" s="2"/>
      <c r="Y1026" s="2"/>
      <c r="Z1026" s="9"/>
      <c r="AA1026" s="2"/>
      <c r="AB1026" s="2"/>
      <c r="AC1026" s="2"/>
      <c r="AD1026" s="2"/>
    </row>
    <row r="1027" spans="1:30" ht="13.2" x14ac:dyDescent="0.25">
      <c r="A1027" s="10"/>
      <c r="B1027" s="10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9"/>
      <c r="N1027" s="2"/>
      <c r="O1027" s="9"/>
      <c r="P1027" s="9"/>
      <c r="Q1027" s="2"/>
      <c r="R1027" s="9"/>
      <c r="S1027" s="2"/>
      <c r="T1027" s="9"/>
      <c r="U1027" s="2"/>
      <c r="V1027" s="2"/>
      <c r="W1027" s="2"/>
      <c r="X1027" s="2"/>
      <c r="Y1027" s="2"/>
      <c r="Z1027" s="9"/>
      <c r="AA1027" s="2"/>
      <c r="AB1027" s="2"/>
      <c r="AC1027" s="2"/>
      <c r="AD1027" s="2"/>
    </row>
    <row r="1028" spans="1:30" ht="13.2" x14ac:dyDescent="0.25">
      <c r="A1028" s="10"/>
      <c r="B1028" s="10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9"/>
      <c r="N1028" s="2"/>
      <c r="O1028" s="9"/>
      <c r="P1028" s="9"/>
      <c r="Q1028" s="2"/>
      <c r="R1028" s="9"/>
      <c r="S1028" s="2"/>
      <c r="T1028" s="9"/>
      <c r="U1028" s="2"/>
      <c r="V1028" s="2"/>
      <c r="W1028" s="2"/>
      <c r="X1028" s="2"/>
      <c r="Y1028" s="2"/>
      <c r="Z1028" s="9"/>
      <c r="AA1028" s="2"/>
      <c r="AB1028" s="2"/>
      <c r="AC1028" s="2"/>
      <c r="AD1028" s="2"/>
    </row>
    <row r="1029" spans="1:30" ht="13.2" x14ac:dyDescent="0.25">
      <c r="A1029" s="10"/>
      <c r="B1029" s="10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9"/>
      <c r="N1029" s="2"/>
      <c r="O1029" s="9"/>
      <c r="P1029" s="9"/>
      <c r="Q1029" s="2"/>
      <c r="R1029" s="9"/>
      <c r="S1029" s="2"/>
      <c r="T1029" s="9"/>
      <c r="U1029" s="2"/>
      <c r="V1029" s="2"/>
      <c r="W1029" s="2"/>
      <c r="X1029" s="2"/>
      <c r="Y1029" s="2"/>
      <c r="Z1029" s="9"/>
      <c r="AA1029" s="2"/>
      <c r="AB1029" s="2"/>
      <c r="AC1029" s="2"/>
      <c r="AD1029" s="2"/>
    </row>
    <row r="1030" spans="1:30" ht="13.2" x14ac:dyDescent="0.25">
      <c r="A1030" s="10"/>
      <c r="B1030" s="10"/>
      <c r="C1030" s="2"/>
      <c r="D1030" s="2"/>
      <c r="E1030" s="2"/>
      <c r="F1030" s="2"/>
      <c r="G1030" s="9"/>
      <c r="H1030" s="2"/>
      <c r="I1030" s="2"/>
      <c r="J1030" s="2"/>
      <c r="K1030" s="2"/>
      <c r="L1030" s="2"/>
      <c r="M1030" s="9"/>
      <c r="N1030" s="2"/>
      <c r="O1030" s="9"/>
      <c r="P1030" s="9"/>
      <c r="Q1030" s="2"/>
      <c r="R1030" s="9"/>
      <c r="S1030" s="2"/>
      <c r="T1030" s="9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1:30" ht="13.2" x14ac:dyDescent="0.25">
      <c r="A1031" s="10"/>
      <c r="B1031" s="10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9"/>
      <c r="N1031" s="2"/>
      <c r="O1031" s="9"/>
      <c r="P1031" s="9"/>
      <c r="Q1031" s="2"/>
      <c r="R1031" s="9"/>
      <c r="S1031" s="2"/>
      <c r="T1031" s="9"/>
      <c r="U1031" s="2"/>
      <c r="V1031" s="2"/>
      <c r="W1031" s="2"/>
      <c r="X1031" s="2"/>
      <c r="Y1031" s="2"/>
      <c r="Z1031" s="9"/>
      <c r="AA1031" s="2"/>
      <c r="AB1031" s="2"/>
      <c r="AC1031" s="2"/>
      <c r="AD1031" s="2"/>
    </row>
    <row r="1032" spans="1:30" ht="13.2" x14ac:dyDescent="0.25">
      <c r="A1032" s="10"/>
      <c r="B1032" s="10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9"/>
      <c r="N1032" s="2"/>
      <c r="O1032" s="9"/>
      <c r="P1032" s="9"/>
      <c r="Q1032" s="2"/>
      <c r="R1032" s="9"/>
      <c r="S1032" s="2"/>
      <c r="T1032" s="9"/>
      <c r="U1032" s="2"/>
      <c r="V1032" s="2"/>
      <c r="W1032" s="2"/>
      <c r="X1032" s="2"/>
      <c r="Y1032" s="2"/>
      <c r="Z1032" s="9"/>
      <c r="AA1032" s="2"/>
      <c r="AB1032" s="2"/>
      <c r="AC1032" s="2"/>
      <c r="AD1032" s="2"/>
    </row>
    <row r="1033" spans="1:30" ht="13.2" x14ac:dyDescent="0.25">
      <c r="A1033" s="10"/>
      <c r="B1033" s="10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9"/>
      <c r="N1033" s="2"/>
      <c r="O1033" s="9"/>
      <c r="P1033" s="9"/>
      <c r="Q1033" s="2"/>
      <c r="R1033" s="9"/>
      <c r="S1033" s="2"/>
      <c r="T1033" s="9"/>
      <c r="U1033" s="2"/>
      <c r="V1033" s="9"/>
      <c r="W1033" s="9"/>
      <c r="X1033" s="2"/>
      <c r="Y1033" s="2"/>
      <c r="Z1033" s="2"/>
      <c r="AA1033" s="2"/>
      <c r="AB1033" s="2"/>
      <c r="AC1033" s="2"/>
      <c r="AD1033" s="2"/>
    </row>
    <row r="1034" spans="1:30" ht="13.2" x14ac:dyDescent="0.25">
      <c r="A1034" s="10"/>
      <c r="B1034" s="10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9"/>
      <c r="N1034" s="2"/>
      <c r="O1034" s="9"/>
      <c r="P1034" s="9"/>
      <c r="Q1034" s="2"/>
      <c r="R1034" s="9"/>
      <c r="S1034" s="2"/>
      <c r="T1034" s="9"/>
      <c r="U1034" s="2"/>
      <c r="V1034" s="9"/>
      <c r="W1034" s="9"/>
      <c r="X1034" s="2"/>
      <c r="Y1034" s="2"/>
      <c r="Z1034" s="2"/>
      <c r="AA1034" s="2"/>
      <c r="AB1034" s="2"/>
      <c r="AC1034" s="2"/>
      <c r="AD1034" s="2"/>
    </row>
    <row r="1035" spans="1:30" ht="13.2" x14ac:dyDescent="0.25">
      <c r="A1035" s="10"/>
      <c r="B1035" s="10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9"/>
      <c r="N1035" s="2"/>
      <c r="O1035" s="9"/>
      <c r="P1035" s="9"/>
      <c r="Q1035" s="2"/>
      <c r="R1035" s="9"/>
      <c r="S1035" s="2"/>
      <c r="T1035" s="9"/>
      <c r="U1035" s="2"/>
      <c r="V1035" s="2"/>
      <c r="W1035" s="2"/>
      <c r="X1035" s="2"/>
      <c r="Y1035" s="2"/>
      <c r="Z1035" s="9"/>
      <c r="AA1035" s="2"/>
      <c r="AB1035" s="2"/>
      <c r="AC1035" s="2"/>
      <c r="AD1035" s="2"/>
    </row>
    <row r="1036" spans="1:30" ht="13.2" x14ac:dyDescent="0.25">
      <c r="A1036" s="10"/>
      <c r="B1036" s="10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9"/>
      <c r="N1036" s="2"/>
      <c r="O1036" s="9"/>
      <c r="P1036" s="9"/>
      <c r="Q1036" s="2"/>
      <c r="R1036" s="9"/>
      <c r="S1036" s="2"/>
      <c r="T1036" s="9"/>
      <c r="U1036" s="2"/>
      <c r="V1036" s="2"/>
      <c r="W1036" s="2"/>
      <c r="X1036" s="2"/>
      <c r="Y1036" s="2"/>
      <c r="Z1036" s="9"/>
      <c r="AA1036" s="2"/>
      <c r="AB1036" s="2"/>
      <c r="AC1036" s="2"/>
      <c r="AD1036" s="2"/>
    </row>
    <row r="1037" spans="1:30" ht="13.2" x14ac:dyDescent="0.25">
      <c r="A1037" s="10"/>
      <c r="B1037" s="10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9"/>
      <c r="N1037" s="2"/>
      <c r="O1037" s="9"/>
      <c r="P1037" s="9"/>
      <c r="Q1037" s="2"/>
      <c r="R1037" s="9"/>
      <c r="S1037" s="2"/>
      <c r="T1037" s="9"/>
      <c r="U1037" s="2"/>
      <c r="V1037" s="9"/>
      <c r="W1037" s="9"/>
      <c r="X1037" s="2"/>
      <c r="Y1037" s="2"/>
      <c r="Z1037" s="2"/>
      <c r="AA1037" s="2"/>
      <c r="AB1037" s="2"/>
      <c r="AC1037" s="2"/>
      <c r="AD1037" s="2"/>
    </row>
    <row r="1038" spans="1:30" ht="13.2" x14ac:dyDescent="0.25">
      <c r="A1038" s="10"/>
      <c r="B1038" s="10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9"/>
      <c r="N1038" s="2"/>
      <c r="O1038" s="9"/>
      <c r="P1038" s="9"/>
      <c r="Q1038" s="2"/>
      <c r="R1038" s="9"/>
      <c r="S1038" s="2"/>
      <c r="T1038" s="9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ht="13.2" x14ac:dyDescent="0.25">
      <c r="A1039" s="10"/>
      <c r="B1039" s="10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9"/>
      <c r="N1039" s="2"/>
      <c r="O1039" s="9"/>
      <c r="P1039" s="9"/>
      <c r="Q1039" s="2"/>
      <c r="R1039" s="9"/>
      <c r="S1039" s="2"/>
      <c r="T1039" s="9"/>
      <c r="U1039" s="2"/>
      <c r="V1039" s="2"/>
      <c r="W1039" s="2"/>
      <c r="X1039" s="2"/>
      <c r="Y1039" s="2"/>
      <c r="Z1039" s="9"/>
      <c r="AA1039" s="2"/>
      <c r="AB1039" s="2"/>
      <c r="AC1039" s="2"/>
      <c r="AD1039" s="2"/>
    </row>
    <row r="1040" spans="1:30" ht="13.2" x14ac:dyDescent="0.25">
      <c r="A1040" s="10"/>
      <c r="B1040" s="10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9"/>
      <c r="N1040" s="2"/>
      <c r="O1040" s="9"/>
      <c r="P1040" s="9"/>
      <c r="Q1040" s="2"/>
      <c r="R1040" s="9"/>
      <c r="S1040" s="2"/>
      <c r="T1040" s="9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ht="13.2" x14ac:dyDescent="0.25">
      <c r="A1041" s="10"/>
      <c r="B1041" s="10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9"/>
      <c r="N1041" s="2"/>
      <c r="O1041" s="9"/>
      <c r="P1041" s="9"/>
      <c r="Q1041" s="2"/>
      <c r="R1041" s="9"/>
      <c r="S1041" s="2"/>
      <c r="T1041" s="9"/>
      <c r="U1041" s="2"/>
      <c r="V1041" s="2"/>
      <c r="W1041" s="2"/>
      <c r="X1041" s="2"/>
      <c r="Y1041" s="2"/>
      <c r="Z1041" s="9"/>
      <c r="AA1041" s="2"/>
      <c r="AB1041" s="2"/>
      <c r="AC1041" s="2"/>
      <c r="AD1041" s="2"/>
    </row>
    <row r="1042" spans="1:30" ht="13.2" x14ac:dyDescent="0.25">
      <c r="A1042" s="10"/>
      <c r="B1042" s="10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9"/>
      <c r="N1042" s="2"/>
      <c r="O1042" s="9"/>
      <c r="P1042" s="9"/>
      <c r="Q1042" s="2"/>
      <c r="R1042" s="9"/>
      <c r="S1042" s="2"/>
      <c r="T1042" s="9"/>
      <c r="U1042" s="2"/>
      <c r="V1042" s="2"/>
      <c r="W1042" s="2"/>
      <c r="X1042" s="2"/>
      <c r="Y1042" s="2"/>
      <c r="Z1042" s="9"/>
      <c r="AA1042" s="2"/>
      <c r="AB1042" s="2"/>
      <c r="AC1042" s="2"/>
      <c r="AD1042" s="2"/>
    </row>
    <row r="1043" spans="1:30" ht="13.2" x14ac:dyDescent="0.25">
      <c r="A1043" s="10"/>
      <c r="B1043" s="10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9"/>
      <c r="N1043" s="2"/>
      <c r="O1043" s="9"/>
      <c r="P1043" s="9"/>
      <c r="Q1043" s="2"/>
      <c r="R1043" s="9"/>
      <c r="S1043" s="2"/>
      <c r="T1043" s="9"/>
      <c r="U1043" s="2"/>
      <c r="V1043" s="2"/>
      <c r="W1043" s="2"/>
      <c r="X1043" s="2"/>
      <c r="Y1043" s="2"/>
      <c r="Z1043" s="9"/>
      <c r="AA1043" s="2"/>
      <c r="AB1043" s="2"/>
      <c r="AC1043" s="2"/>
      <c r="AD1043" s="2"/>
    </row>
    <row r="1044" spans="1:30" ht="13.2" x14ac:dyDescent="0.25">
      <c r="A1044" s="10"/>
      <c r="B1044" s="10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9"/>
      <c r="N1044" s="2"/>
      <c r="O1044" s="9"/>
      <c r="P1044" s="9"/>
      <c r="Q1044" s="2"/>
      <c r="R1044" s="9"/>
      <c r="S1044" s="2"/>
      <c r="T1044" s="9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spans="1:30" ht="13.2" x14ac:dyDescent="0.25">
      <c r="A1045" s="10"/>
      <c r="B1045" s="10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9"/>
      <c r="N1045" s="2"/>
      <c r="O1045" s="9"/>
      <c r="P1045" s="9"/>
      <c r="Q1045" s="2"/>
      <c r="R1045" s="9"/>
      <c r="S1045" s="2"/>
      <c r="T1045" s="9"/>
      <c r="U1045" s="2"/>
      <c r="V1045" s="9"/>
      <c r="W1045" s="9"/>
      <c r="X1045" s="2"/>
      <c r="Y1045" s="2"/>
      <c r="Z1045" s="2"/>
      <c r="AA1045" s="2"/>
      <c r="AB1045" s="2"/>
      <c r="AC1045" s="2"/>
      <c r="AD1045" s="2"/>
    </row>
    <row r="1046" spans="1:30" ht="13.2" x14ac:dyDescent="0.25">
      <c r="A1046" s="10"/>
      <c r="B1046" s="10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9"/>
      <c r="N1046" s="2"/>
      <c r="O1046" s="9"/>
      <c r="P1046" s="9"/>
      <c r="Q1046" s="2"/>
      <c r="R1046" s="9"/>
      <c r="S1046" s="2"/>
      <c r="T1046" s="9"/>
      <c r="U1046" s="2"/>
      <c r="V1046" s="9"/>
      <c r="W1046" s="9"/>
      <c r="X1046" s="2"/>
      <c r="Y1046" s="2"/>
      <c r="Z1046" s="2"/>
      <c r="AA1046" s="2"/>
      <c r="AB1046" s="2"/>
      <c r="AC1046" s="2"/>
      <c r="AD1046" s="2"/>
    </row>
    <row r="1047" spans="1:30" ht="13.2" x14ac:dyDescent="0.25">
      <c r="A1047" s="10"/>
      <c r="B1047" s="10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9"/>
      <c r="N1047" s="2"/>
      <c r="O1047" s="9"/>
      <c r="P1047" s="9"/>
      <c r="Q1047" s="2"/>
      <c r="R1047" s="9"/>
      <c r="S1047" s="2"/>
      <c r="T1047" s="9"/>
      <c r="U1047" s="2"/>
      <c r="V1047" s="2"/>
      <c r="W1047" s="2"/>
      <c r="X1047" s="2"/>
      <c r="Y1047" s="2"/>
      <c r="Z1047" s="9"/>
      <c r="AA1047" s="2"/>
      <c r="AB1047" s="2"/>
      <c r="AC1047" s="2"/>
      <c r="AD1047" s="2"/>
    </row>
    <row r="1048" spans="1:30" ht="13.2" x14ac:dyDescent="0.25">
      <c r="A1048" s="10"/>
      <c r="B1048" s="10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9"/>
      <c r="N1048" s="2"/>
      <c r="O1048" s="9"/>
      <c r="P1048" s="9"/>
      <c r="Q1048" s="2"/>
      <c r="R1048" s="9"/>
      <c r="S1048" s="2"/>
      <c r="T1048" s="9"/>
      <c r="U1048" s="2"/>
      <c r="V1048" s="2"/>
      <c r="W1048" s="2"/>
      <c r="X1048" s="2"/>
      <c r="Y1048" s="2"/>
      <c r="Z1048" s="9"/>
      <c r="AA1048" s="2"/>
      <c r="AB1048" s="2"/>
      <c r="AC1048" s="2"/>
      <c r="AD1048" s="2"/>
    </row>
    <row r="1049" spans="1:30" ht="13.2" x14ac:dyDescent="0.25">
      <c r="A1049" s="10"/>
      <c r="B1049" s="10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9"/>
      <c r="N1049" s="2"/>
      <c r="O1049" s="9"/>
      <c r="P1049" s="9"/>
      <c r="Q1049" s="2"/>
      <c r="R1049" s="9"/>
      <c r="S1049" s="2"/>
      <c r="T1049" s="9"/>
      <c r="U1049" s="2"/>
      <c r="V1049" s="2"/>
      <c r="W1049" s="2"/>
      <c r="X1049" s="2"/>
      <c r="Y1049" s="2"/>
      <c r="Z1049" s="9"/>
      <c r="AA1049" s="2"/>
      <c r="AB1049" s="2"/>
      <c r="AC1049" s="2"/>
      <c r="AD1049" s="2"/>
    </row>
    <row r="1050" spans="1:30" ht="13.2" x14ac:dyDescent="0.25">
      <c r="A1050" s="10"/>
      <c r="B1050" s="10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9"/>
      <c r="N1050" s="2"/>
      <c r="O1050" s="9"/>
      <c r="P1050" s="9"/>
      <c r="Q1050" s="2"/>
      <c r="R1050" s="9"/>
      <c r="S1050" s="2"/>
      <c r="T1050" s="9"/>
      <c r="U1050" s="2"/>
      <c r="V1050" s="2"/>
      <c r="W1050" s="2"/>
      <c r="X1050" s="2"/>
      <c r="Y1050" s="2"/>
      <c r="Z1050" s="9"/>
      <c r="AA1050" s="2"/>
      <c r="AB1050" s="2"/>
      <c r="AC1050" s="2"/>
      <c r="AD1050" s="2"/>
    </row>
    <row r="1051" spans="1:30" ht="13.2" x14ac:dyDescent="0.25">
      <c r="A1051" s="10"/>
      <c r="B1051" s="10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9"/>
      <c r="N1051" s="2"/>
      <c r="O1051" s="9"/>
      <c r="P1051" s="9"/>
      <c r="Q1051" s="2"/>
      <c r="R1051" s="9"/>
      <c r="S1051" s="2"/>
      <c r="T1051" s="9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 spans="1:30" ht="13.2" x14ac:dyDescent="0.25">
      <c r="A1052" s="10"/>
      <c r="B1052" s="10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9"/>
      <c r="N1052" s="2"/>
      <c r="O1052" s="9"/>
      <c r="P1052" s="9"/>
      <c r="Q1052" s="2"/>
      <c r="R1052" s="9"/>
      <c r="S1052" s="2"/>
      <c r="T1052" s="9"/>
      <c r="U1052" s="2"/>
      <c r="V1052" s="2"/>
      <c r="W1052" s="2"/>
      <c r="X1052" s="2"/>
      <c r="Y1052" s="2"/>
      <c r="Z1052" s="9"/>
      <c r="AA1052" s="2"/>
      <c r="AB1052" s="2"/>
      <c r="AC1052" s="2"/>
      <c r="AD1052" s="2"/>
    </row>
    <row r="1053" spans="1:30" ht="13.2" x14ac:dyDescent="0.25">
      <c r="A1053" s="10"/>
      <c r="B1053" s="10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9"/>
      <c r="N1053" s="2"/>
      <c r="O1053" s="9"/>
      <c r="P1053" s="9"/>
      <c r="Q1053" s="2"/>
      <c r="R1053" s="9"/>
      <c r="S1053" s="2"/>
      <c r="T1053" s="9"/>
      <c r="U1053" s="2"/>
      <c r="V1053" s="2"/>
      <c r="W1053" s="2"/>
      <c r="X1053" s="2"/>
      <c r="Y1053" s="2"/>
      <c r="Z1053" s="9"/>
      <c r="AA1053" s="2"/>
      <c r="AB1053" s="2"/>
      <c r="AC1053" s="2"/>
      <c r="AD1053" s="2"/>
    </row>
    <row r="1054" spans="1:30" ht="13.2" x14ac:dyDescent="0.25">
      <c r="A1054" s="10"/>
      <c r="B1054" s="10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9"/>
      <c r="N1054" s="2"/>
      <c r="O1054" s="9"/>
      <c r="P1054" s="9"/>
      <c r="Q1054" s="2"/>
      <c r="R1054" s="9"/>
      <c r="S1054" s="2"/>
      <c r="T1054" s="9"/>
      <c r="U1054" s="2"/>
      <c r="V1054" s="2"/>
      <c r="W1054" s="2"/>
      <c r="X1054" s="2"/>
      <c r="Y1054" s="2"/>
      <c r="Z1054" s="9"/>
      <c r="AA1054" s="2"/>
      <c r="AB1054" s="2"/>
      <c r="AC1054" s="2"/>
      <c r="AD1054" s="2"/>
    </row>
    <row r="1055" spans="1:30" ht="13.2" x14ac:dyDescent="0.25">
      <c r="A1055" s="10"/>
      <c r="B1055" s="10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9"/>
      <c r="N1055" s="2"/>
      <c r="O1055" s="9"/>
      <c r="P1055" s="9"/>
      <c r="Q1055" s="2"/>
      <c r="R1055" s="9"/>
      <c r="S1055" s="2"/>
      <c r="T1055" s="9"/>
      <c r="U1055" s="2"/>
      <c r="V1055" s="9"/>
      <c r="W1055" s="9"/>
      <c r="X1055" s="2"/>
      <c r="Y1055" s="2"/>
      <c r="Z1055" s="2"/>
      <c r="AA1055" s="2"/>
      <c r="AB1055" s="2"/>
      <c r="AC1055" s="2"/>
      <c r="AD1055" s="2"/>
    </row>
    <row r="1056" spans="1:30" ht="13.2" x14ac:dyDescent="0.25">
      <c r="A1056" s="10"/>
      <c r="B1056" s="10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9"/>
      <c r="N1056" s="2"/>
      <c r="O1056" s="9"/>
      <c r="P1056" s="9"/>
      <c r="Q1056" s="2"/>
      <c r="R1056" s="9"/>
      <c r="S1056" s="2"/>
      <c r="T1056" s="9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1:30" ht="13.2" x14ac:dyDescent="0.25">
      <c r="A1057" s="10"/>
      <c r="B1057" s="10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9"/>
      <c r="N1057" s="2"/>
      <c r="O1057" s="9"/>
      <c r="P1057" s="9"/>
      <c r="Q1057" s="2"/>
      <c r="R1057" s="9"/>
      <c r="S1057" s="2"/>
      <c r="T1057" s="9"/>
      <c r="U1057" s="2"/>
      <c r="V1057" s="2"/>
      <c r="W1057" s="2"/>
      <c r="X1057" s="2"/>
      <c r="Y1057" s="2"/>
      <c r="Z1057" s="9"/>
      <c r="AA1057" s="2"/>
      <c r="AB1057" s="2"/>
      <c r="AC1057" s="2"/>
      <c r="AD1057" s="2"/>
    </row>
    <row r="1058" spans="1:30" ht="13.2" x14ac:dyDescent="0.25">
      <c r="A1058" s="10"/>
      <c r="B1058" s="10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9"/>
      <c r="N1058" s="2"/>
      <c r="O1058" s="9"/>
      <c r="P1058" s="9"/>
      <c r="Q1058" s="2"/>
      <c r="R1058" s="9"/>
      <c r="S1058" s="2"/>
      <c r="T1058" s="9"/>
      <c r="U1058" s="2"/>
      <c r="V1058" s="9"/>
      <c r="W1058" s="9"/>
      <c r="X1058" s="2"/>
      <c r="Y1058" s="2"/>
      <c r="Z1058" s="2"/>
      <c r="AA1058" s="2"/>
      <c r="AB1058" s="2"/>
      <c r="AC1058" s="2"/>
      <c r="AD1058" s="2"/>
    </row>
    <row r="1059" spans="1:30" ht="13.2" x14ac:dyDescent="0.25">
      <c r="A1059" s="10"/>
      <c r="B1059" s="10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9"/>
      <c r="N1059" s="2"/>
      <c r="O1059" s="9"/>
      <c r="P1059" s="9"/>
      <c r="Q1059" s="2"/>
      <c r="R1059" s="9"/>
      <c r="S1059" s="2"/>
      <c r="T1059" s="9"/>
      <c r="U1059" s="2"/>
      <c r="V1059" s="9"/>
      <c r="W1059" s="9"/>
      <c r="X1059" s="2"/>
      <c r="Y1059" s="2"/>
      <c r="Z1059" s="2"/>
      <c r="AA1059" s="2"/>
      <c r="AB1059" s="2"/>
      <c r="AC1059" s="2"/>
      <c r="AD1059" s="2"/>
    </row>
    <row r="1060" spans="1:30" ht="13.2" x14ac:dyDescent="0.25">
      <c r="A1060" s="10"/>
      <c r="B1060" s="10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9"/>
      <c r="N1060" s="2"/>
      <c r="O1060" s="9"/>
      <c r="P1060" s="9"/>
      <c r="Q1060" s="2"/>
      <c r="R1060" s="9"/>
      <c r="S1060" s="2"/>
      <c r="T1060" s="9"/>
      <c r="U1060" s="2"/>
      <c r="V1060" s="9"/>
      <c r="W1060" s="9"/>
      <c r="X1060" s="2"/>
      <c r="Y1060" s="2"/>
      <c r="Z1060" s="2"/>
      <c r="AA1060" s="2"/>
      <c r="AB1060" s="2"/>
      <c r="AC1060" s="2"/>
      <c r="AD1060" s="2"/>
    </row>
    <row r="1061" spans="1:30" ht="13.2" x14ac:dyDescent="0.25">
      <c r="A1061" s="10"/>
      <c r="B1061" s="10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9"/>
      <c r="N1061" s="2"/>
      <c r="O1061" s="9"/>
      <c r="P1061" s="9"/>
      <c r="Q1061" s="2"/>
      <c r="R1061" s="9"/>
      <c r="S1061" s="2"/>
      <c r="T1061" s="9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 spans="1:30" ht="13.2" x14ac:dyDescent="0.25">
      <c r="A1062" s="10"/>
      <c r="B1062" s="10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9"/>
      <c r="N1062" s="2"/>
      <c r="O1062" s="9"/>
      <c r="P1062" s="9"/>
      <c r="Q1062" s="2"/>
      <c r="R1062" s="9"/>
      <c r="S1062" s="2"/>
      <c r="T1062" s="9"/>
      <c r="U1062" s="2"/>
      <c r="V1062" s="2"/>
      <c r="W1062" s="2"/>
      <c r="X1062" s="2"/>
      <c r="Y1062" s="2"/>
      <c r="Z1062" s="9"/>
      <c r="AA1062" s="2"/>
      <c r="AB1062" s="2"/>
      <c r="AC1062" s="2"/>
      <c r="AD1062" s="2"/>
    </row>
    <row r="1063" spans="1:30" ht="13.2" x14ac:dyDescent="0.25">
      <c r="A1063" s="10"/>
      <c r="B1063" s="10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9"/>
      <c r="N1063" s="2"/>
      <c r="O1063" s="9"/>
      <c r="P1063" s="9"/>
      <c r="Q1063" s="2"/>
      <c r="R1063" s="9"/>
      <c r="S1063" s="2"/>
      <c r="T1063" s="9"/>
      <c r="U1063" s="2"/>
      <c r="V1063" s="2"/>
      <c r="W1063" s="2"/>
      <c r="X1063" s="2"/>
      <c r="Y1063" s="2"/>
      <c r="Z1063" s="9"/>
      <c r="AA1063" s="2"/>
      <c r="AB1063" s="2"/>
      <c r="AC1063" s="2"/>
      <c r="AD1063" s="2"/>
    </row>
    <row r="1064" spans="1:30" ht="13.2" x14ac:dyDescent="0.25">
      <c r="A1064" s="10"/>
      <c r="B1064" s="10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9"/>
      <c r="N1064" s="2"/>
      <c r="O1064" s="9"/>
      <c r="P1064" s="9"/>
      <c r="Q1064" s="2"/>
      <c r="R1064" s="9"/>
      <c r="S1064" s="2"/>
      <c r="T1064" s="9"/>
      <c r="U1064" s="2"/>
      <c r="V1064" s="9"/>
      <c r="W1064" s="9"/>
      <c r="X1064" s="2"/>
      <c r="Y1064" s="2"/>
      <c r="Z1064" s="2"/>
      <c r="AA1064" s="2"/>
      <c r="AB1064" s="2"/>
      <c r="AC1064" s="2"/>
      <c r="AD1064" s="2"/>
    </row>
    <row r="1065" spans="1:30" ht="13.2" x14ac:dyDescent="0.25">
      <c r="A1065" s="10"/>
      <c r="B1065" s="10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9"/>
      <c r="N1065" s="2"/>
      <c r="O1065" s="9"/>
      <c r="P1065" s="9"/>
      <c r="Q1065" s="2"/>
      <c r="R1065" s="9"/>
      <c r="S1065" s="2"/>
      <c r="T1065" s="9"/>
      <c r="U1065" s="2"/>
      <c r="V1065" s="9"/>
      <c r="W1065" s="9"/>
      <c r="X1065" s="2"/>
      <c r="Y1065" s="2"/>
      <c r="Z1065" s="2"/>
      <c r="AA1065" s="2"/>
      <c r="AB1065" s="2"/>
      <c r="AC1065" s="2"/>
      <c r="AD1065" s="2"/>
    </row>
    <row r="1066" spans="1:30" ht="13.2" x14ac:dyDescent="0.25">
      <c r="A1066" s="10"/>
      <c r="B1066" s="10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9"/>
      <c r="N1066" s="2"/>
      <c r="O1066" s="9"/>
      <c r="P1066" s="9"/>
      <c r="Q1066" s="2"/>
      <c r="R1066" s="9"/>
      <c r="S1066" s="2"/>
      <c r="T1066" s="9"/>
      <c r="U1066" s="2"/>
      <c r="V1066" s="2"/>
      <c r="W1066" s="2"/>
      <c r="X1066" s="2"/>
      <c r="Y1066" s="2"/>
      <c r="Z1066" s="9"/>
      <c r="AA1066" s="2"/>
      <c r="AB1066" s="2"/>
      <c r="AC1066" s="2"/>
      <c r="AD1066" s="2"/>
    </row>
    <row r="1067" spans="1:30" ht="13.2" x14ac:dyDescent="0.25">
      <c r="A1067" s="10"/>
      <c r="B1067" s="10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9"/>
      <c r="N1067" s="2"/>
      <c r="O1067" s="9"/>
      <c r="P1067" s="9"/>
      <c r="Q1067" s="2"/>
      <c r="R1067" s="9"/>
      <c r="S1067" s="2"/>
      <c r="T1067" s="9"/>
      <c r="U1067" s="2"/>
      <c r="V1067" s="2"/>
      <c r="W1067" s="2"/>
      <c r="X1067" s="2"/>
      <c r="Y1067" s="2"/>
      <c r="Z1067" s="9"/>
      <c r="AA1067" s="2"/>
      <c r="AB1067" s="2"/>
      <c r="AC1067" s="2"/>
      <c r="AD1067" s="2"/>
    </row>
    <row r="1068" spans="1:30" ht="13.2" x14ac:dyDescent="0.25">
      <c r="A1068" s="10"/>
      <c r="B1068" s="10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9"/>
      <c r="N1068" s="2"/>
      <c r="O1068" s="9"/>
      <c r="P1068" s="9"/>
      <c r="Q1068" s="2"/>
      <c r="R1068" s="9"/>
      <c r="S1068" s="2"/>
      <c r="T1068" s="9"/>
      <c r="U1068" s="2"/>
      <c r="V1068" s="2"/>
      <c r="W1068" s="2"/>
      <c r="X1068" s="2"/>
      <c r="Y1068" s="2"/>
      <c r="Z1068" s="9"/>
      <c r="AA1068" s="2"/>
      <c r="AB1068" s="2"/>
      <c r="AC1068" s="2"/>
      <c r="AD1068" s="2"/>
    </row>
    <row r="1069" spans="1:30" ht="13.2" x14ac:dyDescent="0.25">
      <c r="A1069" s="10"/>
      <c r="B1069" s="10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9"/>
      <c r="N1069" s="2"/>
      <c r="O1069" s="9"/>
      <c r="P1069" s="9"/>
      <c r="Q1069" s="2"/>
      <c r="R1069" s="9"/>
      <c r="S1069" s="2"/>
      <c r="T1069" s="9"/>
      <c r="U1069" s="2"/>
      <c r="V1069" s="2"/>
      <c r="W1069" s="2"/>
      <c r="X1069" s="2"/>
      <c r="Y1069" s="2"/>
      <c r="Z1069" s="9"/>
      <c r="AA1069" s="2"/>
      <c r="AB1069" s="2"/>
      <c r="AC1069" s="2"/>
      <c r="AD1069" s="2"/>
    </row>
    <row r="1070" spans="1:30" ht="13.2" x14ac:dyDescent="0.25">
      <c r="A1070" s="10"/>
      <c r="B1070" s="10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9"/>
      <c r="N1070" s="2"/>
      <c r="O1070" s="9"/>
      <c r="P1070" s="9"/>
      <c r="Q1070" s="2"/>
      <c r="R1070" s="9"/>
      <c r="S1070" s="2"/>
      <c r="T1070" s="9"/>
      <c r="U1070" s="2"/>
      <c r="V1070" s="2"/>
      <c r="W1070" s="2"/>
      <c r="X1070" s="2"/>
      <c r="Y1070" s="2"/>
      <c r="Z1070" s="9"/>
      <c r="AA1070" s="2"/>
      <c r="AB1070" s="2"/>
      <c r="AC1070" s="2"/>
      <c r="AD1070" s="2"/>
    </row>
    <row r="1071" spans="1:30" ht="13.2" x14ac:dyDescent="0.25">
      <c r="A1071" s="10"/>
      <c r="B1071" s="10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9"/>
      <c r="N1071" s="2"/>
      <c r="O1071" s="9"/>
      <c r="P1071" s="9"/>
      <c r="Q1071" s="2"/>
      <c r="R1071" s="9"/>
      <c r="S1071" s="2"/>
      <c r="T1071" s="9"/>
      <c r="U1071" s="2"/>
      <c r="V1071" s="2"/>
      <c r="W1071" s="2"/>
      <c r="X1071" s="2"/>
      <c r="Y1071" s="2"/>
      <c r="Z1071" s="9"/>
      <c r="AA1071" s="2"/>
      <c r="AB1071" s="2"/>
      <c r="AC1071" s="2"/>
      <c r="AD1071" s="2"/>
    </row>
    <row r="1072" spans="1:30" ht="13.2" x14ac:dyDescent="0.25">
      <c r="A1072" s="10"/>
      <c r="B1072" s="10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9"/>
      <c r="N1072" s="2"/>
      <c r="O1072" s="9"/>
      <c r="P1072" s="9"/>
      <c r="Q1072" s="2"/>
      <c r="R1072" s="9"/>
      <c r="S1072" s="2"/>
      <c r="T1072" s="9"/>
      <c r="U1072" s="2"/>
      <c r="V1072" s="9"/>
      <c r="W1072" s="9"/>
      <c r="X1072" s="2"/>
      <c r="Y1072" s="2"/>
      <c r="Z1072" s="2"/>
      <c r="AA1072" s="2"/>
      <c r="AB1072" s="2"/>
      <c r="AC1072" s="2"/>
      <c r="AD1072" s="2"/>
    </row>
    <row r="1073" spans="1:30" ht="13.2" x14ac:dyDescent="0.25">
      <c r="A1073" s="10"/>
      <c r="B1073" s="10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9"/>
      <c r="N1073" s="2"/>
      <c r="O1073" s="9"/>
      <c r="P1073" s="9"/>
      <c r="Q1073" s="2"/>
      <c r="R1073" s="9"/>
      <c r="S1073" s="2"/>
      <c r="T1073" s="9"/>
      <c r="U1073" s="2"/>
      <c r="V1073" s="9"/>
      <c r="W1073" s="9"/>
      <c r="X1073" s="2"/>
      <c r="Y1073" s="2"/>
      <c r="Z1073" s="2"/>
      <c r="AA1073" s="2"/>
      <c r="AB1073" s="2"/>
      <c r="AC1073" s="2"/>
      <c r="AD1073" s="2"/>
    </row>
    <row r="1074" spans="1:30" ht="13.2" x14ac:dyDescent="0.25">
      <c r="A1074" s="10"/>
      <c r="B1074" s="10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9"/>
      <c r="N1074" s="2"/>
      <c r="O1074" s="9"/>
      <c r="P1074" s="9"/>
      <c r="Q1074" s="2"/>
      <c r="R1074" s="9"/>
      <c r="S1074" s="2"/>
      <c r="T1074" s="9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 spans="1:30" ht="13.2" x14ac:dyDescent="0.25">
      <c r="A1075" s="10"/>
      <c r="B1075" s="10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9"/>
      <c r="N1075" s="2"/>
      <c r="O1075" s="9"/>
      <c r="P1075" s="9"/>
      <c r="Q1075" s="2"/>
      <c r="R1075" s="9"/>
      <c r="S1075" s="2"/>
      <c r="T1075" s="9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 spans="1:30" ht="13.2" x14ac:dyDescent="0.25">
      <c r="A1076" s="10"/>
      <c r="B1076" s="10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9"/>
      <c r="N1076" s="2"/>
      <c r="O1076" s="9"/>
      <c r="P1076" s="9"/>
      <c r="Q1076" s="2"/>
      <c r="R1076" s="9"/>
      <c r="S1076" s="2"/>
      <c r="T1076" s="9"/>
      <c r="U1076" s="2"/>
      <c r="V1076" s="9"/>
      <c r="W1076" s="9"/>
      <c r="X1076" s="2"/>
      <c r="Y1076" s="2"/>
      <c r="Z1076" s="2"/>
      <c r="AA1076" s="2"/>
      <c r="AB1076" s="2"/>
      <c r="AC1076" s="2"/>
      <c r="AD1076" s="2"/>
    </row>
    <row r="1077" spans="1:30" ht="13.2" x14ac:dyDescent="0.25">
      <c r="A1077" s="10"/>
      <c r="B1077" s="10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9"/>
      <c r="N1077" s="2"/>
      <c r="O1077" s="9"/>
      <c r="P1077" s="9"/>
      <c r="Q1077" s="2"/>
      <c r="R1077" s="9"/>
      <c r="S1077" s="2"/>
      <c r="T1077" s="9"/>
      <c r="U1077" s="2"/>
      <c r="V1077" s="2"/>
      <c r="W1077" s="2"/>
      <c r="X1077" s="2"/>
      <c r="Y1077" s="2"/>
      <c r="Z1077" s="9"/>
      <c r="AA1077" s="2"/>
      <c r="AB1077" s="2"/>
      <c r="AC1077" s="2"/>
      <c r="AD1077" s="2"/>
    </row>
    <row r="1078" spans="1:30" ht="13.2" x14ac:dyDescent="0.25">
      <c r="A1078" s="10"/>
      <c r="B1078" s="10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9"/>
      <c r="N1078" s="2"/>
      <c r="O1078" s="9"/>
      <c r="P1078" s="9"/>
      <c r="Q1078" s="2"/>
      <c r="R1078" s="9"/>
      <c r="S1078" s="2"/>
      <c r="T1078" s="9"/>
      <c r="U1078" s="2"/>
      <c r="V1078" s="2"/>
      <c r="W1078" s="2"/>
      <c r="X1078" s="2"/>
      <c r="Y1078" s="2"/>
      <c r="Z1078" s="9"/>
      <c r="AA1078" s="2"/>
      <c r="AB1078" s="2"/>
      <c r="AC1078" s="2"/>
      <c r="AD1078" s="2"/>
    </row>
    <row r="1079" spans="1:30" ht="13.2" x14ac:dyDescent="0.25">
      <c r="A1079" s="10"/>
      <c r="B1079" s="10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9"/>
      <c r="N1079" s="2"/>
      <c r="O1079" s="9"/>
      <c r="P1079" s="9"/>
      <c r="Q1079" s="2"/>
      <c r="R1079" s="9"/>
      <c r="S1079" s="2"/>
      <c r="T1079" s="9"/>
      <c r="U1079" s="2"/>
      <c r="V1079" s="2"/>
      <c r="W1079" s="2"/>
      <c r="X1079" s="2"/>
      <c r="Y1079" s="2"/>
      <c r="Z1079" s="9"/>
      <c r="AA1079" s="2"/>
      <c r="AB1079" s="2"/>
      <c r="AC1079" s="2"/>
      <c r="AD1079" s="2"/>
    </row>
    <row r="1080" spans="1:30" ht="13.2" x14ac:dyDescent="0.25">
      <c r="A1080" s="10"/>
      <c r="B1080" s="10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9"/>
      <c r="N1080" s="2"/>
      <c r="O1080" s="9"/>
      <c r="P1080" s="9"/>
      <c r="Q1080" s="2"/>
      <c r="R1080" s="9"/>
      <c r="S1080" s="2"/>
      <c r="T1080" s="9"/>
      <c r="U1080" s="2"/>
      <c r="V1080" s="9"/>
      <c r="W1080" s="9"/>
      <c r="X1080" s="2"/>
      <c r="Y1080" s="2"/>
      <c r="Z1080" s="2"/>
      <c r="AA1080" s="2"/>
      <c r="AB1080" s="2"/>
      <c r="AC1080" s="2"/>
      <c r="AD1080" s="2"/>
    </row>
    <row r="1081" spans="1:30" ht="13.2" x14ac:dyDescent="0.25">
      <c r="A1081" s="10"/>
      <c r="B1081" s="10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9"/>
      <c r="N1081" s="2"/>
      <c r="O1081" s="9"/>
      <c r="P1081" s="9"/>
      <c r="Q1081" s="2"/>
      <c r="R1081" s="9"/>
      <c r="S1081" s="2"/>
      <c r="T1081" s="9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 spans="1:30" ht="13.2" x14ac:dyDescent="0.25">
      <c r="A1082" s="10"/>
      <c r="B1082" s="10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9"/>
      <c r="N1082" s="2"/>
      <c r="O1082" s="9"/>
      <c r="P1082" s="9"/>
      <c r="Q1082" s="2"/>
      <c r="R1082" s="9"/>
      <c r="S1082" s="2"/>
      <c r="T1082" s="9"/>
      <c r="U1082" s="2"/>
      <c r="V1082" s="9"/>
      <c r="W1082" s="9"/>
      <c r="X1082" s="2"/>
      <c r="Y1082" s="2"/>
      <c r="Z1082" s="2"/>
      <c r="AA1082" s="2"/>
      <c r="AB1082" s="2"/>
      <c r="AC1082" s="2"/>
      <c r="AD1082" s="2"/>
    </row>
    <row r="1083" spans="1:30" ht="13.2" x14ac:dyDescent="0.25">
      <c r="A1083" s="10"/>
      <c r="B1083" s="10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9"/>
      <c r="N1083" s="2"/>
      <c r="O1083" s="9"/>
      <c r="P1083" s="9"/>
      <c r="Q1083" s="2"/>
      <c r="R1083" s="9"/>
      <c r="S1083" s="2"/>
      <c r="T1083" s="9"/>
      <c r="U1083" s="2"/>
      <c r="V1083" s="2"/>
      <c r="W1083" s="2"/>
      <c r="X1083" s="2"/>
      <c r="Y1083" s="2"/>
      <c r="Z1083" s="9"/>
      <c r="AA1083" s="2"/>
      <c r="AB1083" s="2"/>
      <c r="AC1083" s="2"/>
      <c r="AD1083" s="2"/>
    </row>
    <row r="1084" spans="1:30" ht="13.2" x14ac:dyDescent="0.25">
      <c r="A1084" s="10"/>
      <c r="B1084" s="10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9"/>
      <c r="N1084" s="2"/>
      <c r="O1084" s="9"/>
      <c r="P1084" s="9"/>
      <c r="Q1084" s="2"/>
      <c r="R1084" s="9"/>
      <c r="S1084" s="2"/>
      <c r="T1084" s="9"/>
      <c r="U1084" s="2"/>
      <c r="V1084" s="9"/>
      <c r="W1084" s="9"/>
      <c r="X1084" s="2"/>
      <c r="Y1084" s="2"/>
      <c r="Z1084" s="2"/>
      <c r="AA1084" s="2"/>
      <c r="AB1084" s="2"/>
      <c r="AC1084" s="2"/>
      <c r="AD1084" s="2"/>
    </row>
    <row r="1085" spans="1:30" ht="13.2" x14ac:dyDescent="0.25">
      <c r="A1085" s="10"/>
      <c r="B1085" s="10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9"/>
      <c r="N1085" s="2"/>
      <c r="O1085" s="9"/>
      <c r="P1085" s="9"/>
      <c r="Q1085" s="2"/>
      <c r="R1085" s="9"/>
      <c r="S1085" s="2"/>
      <c r="T1085" s="9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 spans="1:30" ht="13.2" x14ac:dyDescent="0.25">
      <c r="A1086" s="10"/>
      <c r="B1086" s="10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9"/>
      <c r="N1086" s="2"/>
      <c r="O1086" s="9"/>
      <c r="P1086" s="9"/>
      <c r="Q1086" s="2"/>
      <c r="R1086" s="9"/>
      <c r="S1086" s="2"/>
      <c r="T1086" s="9"/>
      <c r="U1086" s="2"/>
      <c r="V1086" s="9"/>
      <c r="W1086" s="9"/>
      <c r="X1086" s="2"/>
      <c r="Y1086" s="2"/>
      <c r="Z1086" s="2"/>
      <c r="AA1086" s="2"/>
      <c r="AB1086" s="2"/>
      <c r="AC1086" s="2"/>
      <c r="AD1086" s="2"/>
    </row>
    <row r="1087" spans="1:30" ht="13.2" x14ac:dyDescent="0.25">
      <c r="A1087" s="10"/>
      <c r="B1087" s="10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9"/>
      <c r="N1087" s="2"/>
      <c r="O1087" s="9"/>
      <c r="P1087" s="9"/>
      <c r="Q1087" s="2"/>
      <c r="R1087" s="9"/>
      <c r="S1087" s="2"/>
      <c r="T1087" s="9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ht="13.2" x14ac:dyDescent="0.25">
      <c r="A1088" s="10"/>
      <c r="B1088" s="10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9"/>
      <c r="N1088" s="2"/>
      <c r="O1088" s="9"/>
      <c r="P1088" s="9"/>
      <c r="Q1088" s="2"/>
      <c r="R1088" s="9"/>
      <c r="S1088" s="2"/>
      <c r="T1088" s="9"/>
      <c r="U1088" s="2"/>
      <c r="V1088" s="2"/>
      <c r="W1088" s="2"/>
      <c r="X1088" s="2"/>
      <c r="Y1088" s="2"/>
      <c r="Z1088" s="9"/>
      <c r="AA1088" s="2"/>
      <c r="AB1088" s="2"/>
      <c r="AC1088" s="2"/>
      <c r="AD1088" s="2"/>
    </row>
    <row r="1089" spans="1:30" ht="13.2" x14ac:dyDescent="0.25">
      <c r="A1089" s="10"/>
      <c r="B1089" s="10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9"/>
      <c r="N1089" s="2"/>
      <c r="O1089" s="9"/>
      <c r="P1089" s="9"/>
      <c r="Q1089" s="2"/>
      <c r="R1089" s="9"/>
      <c r="S1089" s="2"/>
      <c r="T1089" s="9"/>
      <c r="U1089" s="2"/>
      <c r="V1089" s="9"/>
      <c r="W1089" s="9"/>
      <c r="X1089" s="2"/>
      <c r="Y1089" s="2"/>
      <c r="Z1089" s="2"/>
      <c r="AA1089" s="2"/>
      <c r="AB1089" s="2"/>
      <c r="AC1089" s="2"/>
      <c r="AD1089" s="2"/>
    </row>
    <row r="1090" spans="1:30" ht="13.2" x14ac:dyDescent="0.25">
      <c r="A1090" s="10"/>
      <c r="B1090" s="10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9"/>
      <c r="N1090" s="2"/>
      <c r="O1090" s="9"/>
      <c r="P1090" s="9"/>
      <c r="Q1090" s="2"/>
      <c r="R1090" s="9"/>
      <c r="S1090" s="2"/>
      <c r="T1090" s="9"/>
      <c r="U1090" s="2"/>
      <c r="V1090" s="2"/>
      <c r="W1090" s="2"/>
      <c r="X1090" s="2"/>
      <c r="Y1090" s="2"/>
      <c r="Z1090" s="9"/>
      <c r="AA1090" s="2"/>
      <c r="AB1090" s="2"/>
      <c r="AC1090" s="2"/>
      <c r="AD1090" s="2"/>
    </row>
    <row r="1091" spans="1:30" ht="13.2" x14ac:dyDescent="0.25">
      <c r="A1091" s="10"/>
      <c r="B1091" s="10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9"/>
      <c r="N1091" s="2"/>
      <c r="O1091" s="9"/>
      <c r="P1091" s="9"/>
      <c r="Q1091" s="2"/>
      <c r="R1091" s="9"/>
      <c r="S1091" s="2"/>
      <c r="T1091" s="9"/>
      <c r="U1091" s="2"/>
      <c r="V1091" s="2"/>
      <c r="W1091" s="2"/>
      <c r="X1091" s="2"/>
      <c r="Y1091" s="2"/>
      <c r="Z1091" s="9"/>
      <c r="AA1091" s="2"/>
      <c r="AB1091" s="2"/>
      <c r="AC1091" s="2"/>
      <c r="AD1091" s="2"/>
    </row>
    <row r="1092" spans="1:30" ht="13.2" x14ac:dyDescent="0.25">
      <c r="A1092" s="10"/>
      <c r="B1092" s="10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9"/>
      <c r="N1092" s="2"/>
      <c r="O1092" s="9"/>
      <c r="P1092" s="9"/>
      <c r="Q1092" s="2"/>
      <c r="R1092" s="9"/>
      <c r="S1092" s="2"/>
      <c r="T1092" s="9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ht="13.2" x14ac:dyDescent="0.25">
      <c r="A1093" s="10"/>
      <c r="B1093" s="10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9"/>
      <c r="N1093" s="2"/>
      <c r="O1093" s="9"/>
      <c r="P1093" s="9"/>
      <c r="Q1093" s="2"/>
      <c r="R1093" s="9"/>
      <c r="S1093" s="2"/>
      <c r="T1093" s="9"/>
      <c r="U1093" s="2"/>
      <c r="V1093" s="9"/>
      <c r="W1093" s="9"/>
      <c r="X1093" s="2"/>
      <c r="Y1093" s="2"/>
      <c r="Z1093" s="2"/>
      <c r="AA1093" s="2"/>
      <c r="AB1093" s="2"/>
      <c r="AC1093" s="2"/>
      <c r="AD1093" s="2"/>
    </row>
    <row r="1094" spans="1:30" ht="13.2" x14ac:dyDescent="0.25">
      <c r="A1094" s="10"/>
      <c r="B1094" s="10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9"/>
      <c r="N1094" s="2"/>
      <c r="O1094" s="9"/>
      <c r="P1094" s="9"/>
      <c r="Q1094" s="2"/>
      <c r="R1094" s="9"/>
      <c r="S1094" s="2"/>
      <c r="T1094" s="9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ht="13.2" x14ac:dyDescent="0.25">
      <c r="A1095" s="10"/>
      <c r="B1095" s="10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9"/>
      <c r="N1095" s="2"/>
      <c r="O1095" s="9"/>
      <c r="P1095" s="9"/>
      <c r="Q1095" s="2"/>
      <c r="R1095" s="9"/>
      <c r="S1095" s="2"/>
      <c r="T1095" s="9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1:30" ht="13.2" x14ac:dyDescent="0.25">
      <c r="A1096" s="10"/>
      <c r="B1096" s="10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9"/>
      <c r="N1096" s="2"/>
      <c r="O1096" s="9"/>
      <c r="P1096" s="9"/>
      <c r="Q1096" s="2"/>
      <c r="R1096" s="9"/>
      <c r="S1096" s="2"/>
      <c r="T1096" s="9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ht="13.2" x14ac:dyDescent="0.25">
      <c r="A1097" s="10"/>
      <c r="B1097" s="10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9"/>
      <c r="N1097" s="2"/>
      <c r="O1097" s="9"/>
      <c r="P1097" s="9"/>
      <c r="Q1097" s="2"/>
      <c r="R1097" s="9"/>
      <c r="S1097" s="2"/>
      <c r="T1097" s="9"/>
      <c r="U1097" s="2"/>
      <c r="V1097" s="9"/>
      <c r="W1097" s="9"/>
      <c r="X1097" s="2"/>
      <c r="Y1097" s="2"/>
      <c r="Z1097" s="2"/>
      <c r="AA1097" s="2"/>
      <c r="AB1097" s="2"/>
      <c r="AC1097" s="2"/>
      <c r="AD1097" s="2"/>
    </row>
    <row r="1098" spans="1:30" ht="13.2" x14ac:dyDescent="0.25">
      <c r="A1098" s="10"/>
      <c r="B1098" s="10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9"/>
      <c r="N1098" s="2"/>
      <c r="O1098" s="9"/>
      <c r="P1098" s="9"/>
      <c r="Q1098" s="2"/>
      <c r="R1098" s="9"/>
      <c r="S1098" s="2"/>
      <c r="T1098" s="9"/>
      <c r="U1098" s="2"/>
      <c r="V1098" s="2"/>
      <c r="W1098" s="2"/>
      <c r="X1098" s="2"/>
      <c r="Y1098" s="2"/>
      <c r="Z1098" s="9"/>
      <c r="AA1098" s="2"/>
      <c r="AB1098" s="2"/>
      <c r="AC1098" s="2"/>
      <c r="AD1098" s="2"/>
    </row>
    <row r="1099" spans="1:30" ht="13.2" x14ac:dyDescent="0.25">
      <c r="A1099" s="10"/>
      <c r="B1099" s="10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9"/>
      <c r="N1099" s="2"/>
      <c r="O1099" s="9"/>
      <c r="P1099" s="9"/>
      <c r="Q1099" s="2"/>
      <c r="R1099" s="9"/>
      <c r="S1099" s="2"/>
      <c r="T1099" s="9"/>
      <c r="U1099" s="2"/>
      <c r="V1099" s="2"/>
      <c r="W1099" s="2"/>
      <c r="X1099" s="2"/>
      <c r="Y1099" s="2"/>
      <c r="Z1099" s="9"/>
      <c r="AA1099" s="2"/>
      <c r="AB1099" s="2"/>
      <c r="AC1099" s="2"/>
      <c r="AD1099" s="2"/>
    </row>
    <row r="1100" spans="1:30" ht="13.2" x14ac:dyDescent="0.25">
      <c r="A1100" s="10"/>
      <c r="B1100" s="10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9"/>
      <c r="N1100" s="2"/>
      <c r="O1100" s="9"/>
      <c r="P1100" s="9"/>
      <c r="Q1100" s="2"/>
      <c r="R1100" s="9"/>
      <c r="S1100" s="2"/>
      <c r="T1100" s="9"/>
      <c r="U1100" s="2"/>
      <c r="V1100" s="2"/>
      <c r="W1100" s="2"/>
      <c r="X1100" s="2"/>
      <c r="Y1100" s="2"/>
      <c r="Z1100" s="9"/>
      <c r="AA1100" s="2"/>
      <c r="AB1100" s="2"/>
      <c r="AC1100" s="2"/>
      <c r="AD1100" s="2"/>
    </row>
    <row r="1101" spans="1:30" ht="13.2" x14ac:dyDescent="0.25">
      <c r="A1101" s="10"/>
      <c r="B1101" s="10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9"/>
      <c r="N1101" s="2"/>
      <c r="O1101" s="9"/>
      <c r="P1101" s="9"/>
      <c r="Q1101" s="2"/>
      <c r="R1101" s="9"/>
      <c r="S1101" s="2"/>
      <c r="T1101" s="9"/>
      <c r="U1101" s="2"/>
      <c r="V1101" s="9"/>
      <c r="W1101" s="9"/>
      <c r="X1101" s="2"/>
      <c r="Y1101" s="2"/>
      <c r="Z1101" s="2"/>
      <c r="AA1101" s="2"/>
      <c r="AB1101" s="2"/>
      <c r="AC1101" s="2"/>
      <c r="AD1101" s="2"/>
    </row>
    <row r="1102" spans="1:30" ht="13.2" x14ac:dyDescent="0.25">
      <c r="A1102" s="10"/>
      <c r="B1102" s="10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9"/>
      <c r="N1102" s="2"/>
      <c r="O1102" s="9"/>
      <c r="P1102" s="9"/>
      <c r="Q1102" s="2"/>
      <c r="R1102" s="9"/>
      <c r="S1102" s="2"/>
      <c r="T1102" s="9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ht="13.2" x14ac:dyDescent="0.25">
      <c r="A1103" s="10"/>
      <c r="B1103" s="10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9"/>
      <c r="N1103" s="2"/>
      <c r="O1103" s="9"/>
      <c r="P1103" s="9"/>
      <c r="Q1103" s="2"/>
      <c r="R1103" s="9"/>
      <c r="S1103" s="2"/>
      <c r="T1103" s="9"/>
      <c r="U1103" s="2"/>
      <c r="V1103" s="9"/>
      <c r="W1103" s="9"/>
      <c r="X1103" s="2"/>
      <c r="Y1103" s="2"/>
      <c r="Z1103" s="2"/>
      <c r="AA1103" s="2"/>
      <c r="AB1103" s="2"/>
      <c r="AC1103" s="2"/>
      <c r="AD1103" s="2"/>
    </row>
    <row r="1104" spans="1:30" ht="13.2" x14ac:dyDescent="0.25">
      <c r="A1104" s="10"/>
      <c r="B1104" s="10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9"/>
      <c r="N1104" s="2"/>
      <c r="O1104" s="9"/>
      <c r="P1104" s="9"/>
      <c r="Q1104" s="2"/>
      <c r="R1104" s="9"/>
      <c r="S1104" s="2"/>
      <c r="T1104" s="9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ht="13.2" x14ac:dyDescent="0.25">
      <c r="A1105" s="10"/>
      <c r="B1105" s="10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9"/>
      <c r="N1105" s="2"/>
      <c r="O1105" s="9"/>
      <c r="P1105" s="9"/>
      <c r="Q1105" s="2"/>
      <c r="R1105" s="9"/>
      <c r="S1105" s="2"/>
      <c r="T1105" s="9"/>
      <c r="U1105" s="2"/>
      <c r="V1105" s="2"/>
      <c r="W1105" s="2"/>
      <c r="X1105" s="2"/>
      <c r="Y1105" s="2"/>
      <c r="Z1105" s="9"/>
      <c r="AA1105" s="2"/>
      <c r="AB1105" s="2"/>
      <c r="AC1105" s="2"/>
      <c r="AD1105" s="2"/>
    </row>
    <row r="1106" spans="1:30" ht="13.2" x14ac:dyDescent="0.25">
      <c r="A1106" s="10"/>
      <c r="B1106" s="10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9"/>
      <c r="N1106" s="2"/>
      <c r="O1106" s="9"/>
      <c r="P1106" s="9"/>
      <c r="Q1106" s="2"/>
      <c r="R1106" s="9"/>
      <c r="S1106" s="2"/>
      <c r="T1106" s="9"/>
      <c r="U1106" s="2"/>
      <c r="V1106" s="2"/>
      <c r="W1106" s="2"/>
      <c r="X1106" s="2"/>
      <c r="Y1106" s="2"/>
      <c r="Z1106" s="9"/>
      <c r="AA1106" s="2"/>
      <c r="AB1106" s="2"/>
      <c r="AC1106" s="2"/>
      <c r="AD1106" s="2"/>
    </row>
    <row r="1107" spans="1:30" ht="13.2" x14ac:dyDescent="0.25">
      <c r="A1107" s="10"/>
      <c r="B1107" s="10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9"/>
      <c r="N1107" s="2"/>
      <c r="O1107" s="9"/>
      <c r="P1107" s="9"/>
      <c r="Q1107" s="2"/>
      <c r="R1107" s="9"/>
      <c r="S1107" s="2"/>
      <c r="T1107" s="9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ht="13.2" x14ac:dyDescent="0.25">
      <c r="A1108" s="10"/>
      <c r="B1108" s="10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9"/>
      <c r="N1108" s="2"/>
      <c r="O1108" s="9"/>
      <c r="P1108" s="9"/>
      <c r="Q1108" s="2"/>
      <c r="R1108" s="9"/>
      <c r="S1108" s="2"/>
      <c r="T1108" s="9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ht="13.2" x14ac:dyDescent="0.25">
      <c r="A1109" s="10"/>
      <c r="B1109" s="10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9"/>
      <c r="N1109" s="2"/>
      <c r="O1109" s="9"/>
      <c r="P1109" s="9"/>
      <c r="Q1109" s="2"/>
      <c r="R1109" s="9"/>
      <c r="S1109" s="2"/>
      <c r="T1109" s="9"/>
      <c r="U1109" s="2"/>
      <c r="V1109" s="2"/>
      <c r="W1109" s="2"/>
      <c r="X1109" s="2"/>
      <c r="Y1109" s="2"/>
      <c r="Z1109" s="9"/>
      <c r="AA1109" s="2"/>
      <c r="AB1109" s="2"/>
      <c r="AC1109" s="2"/>
      <c r="AD1109" s="2"/>
    </row>
    <row r="1110" spans="1:30" ht="13.2" x14ac:dyDescent="0.25">
      <c r="A1110" s="10"/>
      <c r="B1110" s="10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9"/>
      <c r="N1110" s="2"/>
      <c r="O1110" s="9"/>
      <c r="P1110" s="9"/>
      <c r="Q1110" s="2"/>
      <c r="R1110" s="9"/>
      <c r="S1110" s="2"/>
      <c r="T1110" s="9"/>
      <c r="U1110" s="2"/>
      <c r="V1110" s="2"/>
      <c r="W1110" s="2"/>
      <c r="X1110" s="2"/>
      <c r="Y1110" s="2"/>
      <c r="Z1110" s="9"/>
      <c r="AA1110" s="2"/>
      <c r="AB1110" s="2"/>
      <c r="AC1110" s="2"/>
      <c r="AD1110" s="2"/>
    </row>
    <row r="1111" spans="1:30" ht="13.2" x14ac:dyDescent="0.25">
      <c r="A1111" s="10"/>
      <c r="B1111" s="10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9"/>
      <c r="N1111" s="2"/>
      <c r="O1111" s="9"/>
      <c r="P1111" s="9"/>
      <c r="Q1111" s="2"/>
      <c r="R1111" s="9"/>
      <c r="S1111" s="2"/>
      <c r="T1111" s="9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ht="13.2" x14ac:dyDescent="0.25">
      <c r="A1112" s="10"/>
      <c r="B1112" s="10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9"/>
      <c r="N1112" s="2"/>
      <c r="O1112" s="9"/>
      <c r="P1112" s="9"/>
      <c r="Q1112" s="2"/>
      <c r="R1112" s="9"/>
      <c r="S1112" s="2"/>
      <c r="T1112" s="9"/>
      <c r="U1112" s="2"/>
      <c r="V1112" s="9"/>
      <c r="W1112" s="9"/>
      <c r="X1112" s="2"/>
      <c r="Y1112" s="2"/>
      <c r="Z1112" s="2"/>
      <c r="AA1112" s="2"/>
      <c r="AB1112" s="2"/>
      <c r="AC1112" s="2"/>
      <c r="AD1112" s="2"/>
    </row>
    <row r="1113" spans="1:30" ht="13.2" x14ac:dyDescent="0.25">
      <c r="A1113" s="10"/>
      <c r="B1113" s="10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9"/>
      <c r="N1113" s="2"/>
      <c r="O1113" s="9"/>
      <c r="P1113" s="9"/>
      <c r="Q1113" s="2"/>
      <c r="R1113" s="9"/>
      <c r="S1113" s="2"/>
      <c r="T1113" s="9"/>
      <c r="U1113" s="2"/>
      <c r="V1113" s="2"/>
      <c r="W1113" s="2"/>
      <c r="X1113" s="2"/>
      <c r="Y1113" s="2"/>
      <c r="Z1113" s="9"/>
      <c r="AA1113" s="2"/>
      <c r="AB1113" s="2"/>
      <c r="AC1113" s="2"/>
      <c r="AD1113" s="2"/>
    </row>
    <row r="1114" spans="1:30" ht="13.2" x14ac:dyDescent="0.25">
      <c r="A1114" s="10"/>
      <c r="B1114" s="10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9"/>
      <c r="N1114" s="2"/>
      <c r="O1114" s="9"/>
      <c r="P1114" s="9"/>
      <c r="Q1114" s="2"/>
      <c r="R1114" s="9"/>
      <c r="S1114" s="2"/>
      <c r="T1114" s="9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ht="13.2" x14ac:dyDescent="0.25">
      <c r="A1115" s="10"/>
      <c r="B1115" s="10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9"/>
      <c r="N1115" s="2"/>
      <c r="O1115" s="9"/>
      <c r="P1115" s="9"/>
      <c r="Q1115" s="2"/>
      <c r="R1115" s="9"/>
      <c r="S1115" s="2"/>
      <c r="T1115" s="9"/>
      <c r="U1115" s="2"/>
      <c r="V1115" s="9"/>
      <c r="W1115" s="9"/>
      <c r="X1115" s="2"/>
      <c r="Y1115" s="2"/>
      <c r="Z1115" s="2"/>
      <c r="AA1115" s="2"/>
      <c r="AB1115" s="2"/>
      <c r="AC1115" s="2"/>
      <c r="AD1115" s="2"/>
    </row>
    <row r="1116" spans="1:30" ht="13.2" x14ac:dyDescent="0.25">
      <c r="A1116" s="10"/>
      <c r="B1116" s="10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9"/>
      <c r="N1116" s="2"/>
      <c r="O1116" s="9"/>
      <c r="P1116" s="9"/>
      <c r="Q1116" s="2"/>
      <c r="R1116" s="9"/>
      <c r="S1116" s="2"/>
      <c r="T1116" s="9"/>
      <c r="U1116" s="2"/>
      <c r="V1116" s="2"/>
      <c r="W1116" s="2"/>
      <c r="X1116" s="2"/>
      <c r="Y1116" s="2"/>
      <c r="Z1116" s="9"/>
      <c r="AA1116" s="2"/>
      <c r="AB1116" s="2"/>
      <c r="AC1116" s="2"/>
      <c r="AD1116" s="2"/>
    </row>
    <row r="1117" spans="1:30" ht="13.2" x14ac:dyDescent="0.25">
      <c r="A1117" s="10"/>
      <c r="B1117" s="10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9"/>
      <c r="N1117" s="2"/>
      <c r="O1117" s="9"/>
      <c r="P1117" s="9"/>
      <c r="Q1117" s="2"/>
      <c r="R1117" s="9"/>
      <c r="S1117" s="2"/>
      <c r="T1117" s="9"/>
      <c r="U1117" s="2"/>
      <c r="V1117" s="9"/>
      <c r="W1117" s="9"/>
      <c r="X1117" s="2"/>
      <c r="Y1117" s="2"/>
      <c r="Z1117" s="2"/>
      <c r="AA1117" s="2"/>
      <c r="AB1117" s="2"/>
      <c r="AC1117" s="2"/>
      <c r="AD1117" s="2"/>
    </row>
    <row r="1118" spans="1:30" ht="13.2" x14ac:dyDescent="0.25">
      <c r="A1118" s="10"/>
      <c r="B1118" s="10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9"/>
      <c r="N1118" s="2"/>
      <c r="O1118" s="9"/>
      <c r="P1118" s="9"/>
      <c r="Q1118" s="2"/>
      <c r="R1118" s="9"/>
      <c r="S1118" s="2"/>
      <c r="T1118" s="9"/>
      <c r="U1118" s="2"/>
      <c r="V1118" s="9"/>
      <c r="W1118" s="9"/>
      <c r="X1118" s="2"/>
      <c r="Y1118" s="2"/>
      <c r="Z1118" s="2"/>
      <c r="AA1118" s="2"/>
      <c r="AB1118" s="2"/>
      <c r="AC1118" s="2"/>
      <c r="AD1118" s="2"/>
    </row>
    <row r="1119" spans="1:30" ht="13.2" x14ac:dyDescent="0.25">
      <c r="A1119" s="10"/>
      <c r="B1119" s="10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9"/>
      <c r="N1119" s="2"/>
      <c r="O1119" s="9"/>
      <c r="P1119" s="9"/>
      <c r="Q1119" s="2"/>
      <c r="R1119" s="9"/>
      <c r="S1119" s="2"/>
      <c r="T1119" s="9"/>
      <c r="U1119" s="2"/>
      <c r="V1119" s="9"/>
      <c r="W1119" s="9"/>
      <c r="X1119" s="2"/>
      <c r="Y1119" s="2"/>
      <c r="Z1119" s="2"/>
      <c r="AA1119" s="2"/>
      <c r="AB1119" s="2"/>
      <c r="AC1119" s="2"/>
      <c r="AD1119" s="2"/>
    </row>
    <row r="1120" spans="1:30" ht="13.2" x14ac:dyDescent="0.25">
      <c r="A1120" s="10"/>
      <c r="B1120" s="10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9"/>
      <c r="N1120" s="2"/>
      <c r="O1120" s="9"/>
      <c r="P1120" s="9"/>
      <c r="Q1120" s="2"/>
      <c r="R1120" s="9"/>
      <c r="S1120" s="2"/>
      <c r="T1120" s="9"/>
      <c r="U1120" s="2"/>
      <c r="V1120" s="2"/>
      <c r="W1120" s="2"/>
      <c r="X1120" s="2"/>
      <c r="Y1120" s="2"/>
      <c r="Z1120" s="9"/>
      <c r="AA1120" s="2"/>
      <c r="AB1120" s="2"/>
      <c r="AC1120" s="2"/>
      <c r="AD1120" s="2"/>
    </row>
    <row r="1121" spans="1:30" ht="13.2" x14ac:dyDescent="0.25">
      <c r="A1121" s="10"/>
      <c r="B1121" s="10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9"/>
      <c r="N1121" s="2"/>
      <c r="O1121" s="9"/>
      <c r="P1121" s="9"/>
      <c r="Q1121" s="2"/>
      <c r="R1121" s="9"/>
      <c r="S1121" s="2"/>
      <c r="T1121" s="9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 ht="13.2" x14ac:dyDescent="0.25">
      <c r="A1122" s="10"/>
      <c r="B1122" s="10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9"/>
      <c r="N1122" s="2"/>
      <c r="O1122" s="9"/>
      <c r="P1122" s="9"/>
      <c r="Q1122" s="2"/>
      <c r="R1122" s="9"/>
      <c r="S1122" s="2"/>
      <c r="T1122" s="9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 ht="13.2" x14ac:dyDescent="0.25">
      <c r="A1123" s="10"/>
      <c r="B1123" s="10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9"/>
      <c r="N1123" s="2"/>
      <c r="O1123" s="9"/>
      <c r="P1123" s="9"/>
      <c r="Q1123" s="2"/>
      <c r="R1123" s="9"/>
      <c r="S1123" s="2"/>
      <c r="T1123" s="9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ht="13.2" x14ac:dyDescent="0.25">
      <c r="A1124" s="10"/>
      <c r="B1124" s="10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9"/>
      <c r="N1124" s="2"/>
      <c r="O1124" s="9"/>
      <c r="P1124" s="9"/>
      <c r="Q1124" s="2"/>
      <c r="R1124" s="9"/>
      <c r="S1124" s="2"/>
      <c r="T1124" s="9"/>
      <c r="U1124" s="2"/>
      <c r="V1124" s="9"/>
      <c r="W1124" s="9"/>
      <c r="X1124" s="2"/>
      <c r="Y1124" s="2"/>
      <c r="Z1124" s="2"/>
      <c r="AA1124" s="2"/>
      <c r="AB1124" s="2"/>
      <c r="AC1124" s="2"/>
      <c r="AD1124" s="2"/>
    </row>
    <row r="1125" spans="1:30" ht="13.2" x14ac:dyDescent="0.25">
      <c r="A1125" s="10"/>
      <c r="B1125" s="10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9"/>
      <c r="N1125" s="2"/>
      <c r="O1125" s="9"/>
      <c r="P1125" s="9"/>
      <c r="Q1125" s="2"/>
      <c r="R1125" s="9"/>
      <c r="S1125" s="2"/>
      <c r="T1125" s="9"/>
      <c r="U1125" s="2"/>
      <c r="V1125" s="2"/>
      <c r="W1125" s="2"/>
      <c r="X1125" s="2"/>
      <c r="Y1125" s="2"/>
      <c r="Z1125" s="9"/>
      <c r="AA1125" s="2"/>
      <c r="AB1125" s="2"/>
      <c r="AC1125" s="2"/>
      <c r="AD1125" s="2"/>
    </row>
    <row r="1126" spans="1:30" ht="13.2" x14ac:dyDescent="0.25">
      <c r="A1126" s="10"/>
      <c r="B1126" s="10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9"/>
      <c r="N1126" s="2"/>
      <c r="O1126" s="9"/>
      <c r="P1126" s="9"/>
      <c r="Q1126" s="2"/>
      <c r="R1126" s="9"/>
      <c r="S1126" s="2"/>
      <c r="T1126" s="9"/>
      <c r="U1126" s="2"/>
      <c r="V1126" s="9"/>
      <c r="W1126" s="9"/>
      <c r="X1126" s="2"/>
      <c r="Y1126" s="2"/>
      <c r="Z1126" s="2"/>
      <c r="AA1126" s="2"/>
      <c r="AB1126" s="2"/>
      <c r="AC1126" s="2"/>
      <c r="AD1126" s="2"/>
    </row>
    <row r="1127" spans="1:30" ht="13.2" x14ac:dyDescent="0.25">
      <c r="A1127" s="10"/>
      <c r="B1127" s="10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9"/>
      <c r="N1127" s="2"/>
      <c r="O1127" s="9"/>
      <c r="P1127" s="9"/>
      <c r="Q1127" s="2"/>
      <c r="R1127" s="9"/>
      <c r="S1127" s="2"/>
      <c r="T1127" s="9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 ht="13.2" x14ac:dyDescent="0.25">
      <c r="A1128" s="10"/>
      <c r="B1128" s="10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9"/>
      <c r="N1128" s="2"/>
      <c r="O1128" s="9"/>
      <c r="P1128" s="9"/>
      <c r="Q1128" s="2"/>
      <c r="R1128" s="9"/>
      <c r="S1128" s="2"/>
      <c r="T1128" s="9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 ht="13.2" x14ac:dyDescent="0.25">
      <c r="A1129" s="10"/>
      <c r="B1129" s="10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9"/>
      <c r="N1129" s="2"/>
      <c r="O1129" s="9"/>
      <c r="P1129" s="9"/>
      <c r="Q1129" s="2"/>
      <c r="R1129" s="9"/>
      <c r="S1129" s="2"/>
      <c r="T1129" s="9"/>
      <c r="U1129" s="2"/>
      <c r="V1129" s="9"/>
      <c r="W1129" s="9"/>
      <c r="X1129" s="2"/>
      <c r="Y1129" s="2"/>
      <c r="Z1129" s="2"/>
      <c r="AA1129" s="2"/>
      <c r="AB1129" s="2"/>
      <c r="AC1129" s="2"/>
      <c r="AD1129" s="2"/>
    </row>
    <row r="1130" spans="1:30" ht="13.2" x14ac:dyDescent="0.25">
      <c r="A1130" s="10"/>
      <c r="B1130" s="10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9"/>
      <c r="N1130" s="2"/>
      <c r="O1130" s="9"/>
      <c r="P1130" s="9"/>
      <c r="Q1130" s="2"/>
      <c r="R1130" s="9"/>
      <c r="S1130" s="2"/>
      <c r="T1130" s="9"/>
      <c r="U1130" s="2"/>
      <c r="V1130" s="2"/>
      <c r="W1130" s="2"/>
      <c r="X1130" s="2"/>
      <c r="Y1130" s="2"/>
      <c r="Z1130" s="9"/>
      <c r="AA1130" s="2"/>
      <c r="AB1130" s="2"/>
      <c r="AC1130" s="2"/>
      <c r="AD1130" s="2"/>
    </row>
    <row r="1131" spans="1:30" ht="13.2" x14ac:dyDescent="0.25">
      <c r="A1131" s="10"/>
      <c r="B1131" s="10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9"/>
      <c r="N1131" s="2"/>
      <c r="O1131" s="9"/>
      <c r="P1131" s="9"/>
      <c r="Q1131" s="2"/>
      <c r="R1131" s="9"/>
      <c r="S1131" s="2"/>
      <c r="T1131" s="9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ht="13.2" x14ac:dyDescent="0.25">
      <c r="A1132" s="10"/>
      <c r="B1132" s="10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9"/>
      <c r="N1132" s="2"/>
      <c r="O1132" s="9"/>
      <c r="P1132" s="9"/>
      <c r="Q1132" s="2"/>
      <c r="R1132" s="9"/>
      <c r="S1132" s="2"/>
      <c r="T1132" s="9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 spans="1:30" ht="13.2" x14ac:dyDescent="0.25">
      <c r="A1133" s="10"/>
      <c r="B1133" s="10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9"/>
      <c r="N1133" s="2"/>
      <c r="O1133" s="9"/>
      <c r="P1133" s="9"/>
      <c r="Q1133" s="2"/>
      <c r="R1133" s="9"/>
      <c r="S1133" s="2"/>
      <c r="T1133" s="9"/>
      <c r="U1133" s="2"/>
      <c r="V1133" s="2"/>
      <c r="W1133" s="2"/>
      <c r="X1133" s="2"/>
      <c r="Y1133" s="2"/>
      <c r="Z1133" s="9"/>
      <c r="AA1133" s="2"/>
      <c r="AB1133" s="2"/>
      <c r="AC1133" s="2"/>
      <c r="AD1133" s="2"/>
    </row>
    <row r="1134" spans="1:30" ht="13.2" x14ac:dyDescent="0.25">
      <c r="A1134" s="10"/>
      <c r="B1134" s="10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9"/>
      <c r="N1134" s="2"/>
      <c r="O1134" s="9"/>
      <c r="P1134" s="9"/>
      <c r="Q1134" s="2"/>
      <c r="R1134" s="9"/>
      <c r="S1134" s="2"/>
      <c r="T1134" s="9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ht="13.2" x14ac:dyDescent="0.25">
      <c r="A1135" s="10"/>
      <c r="B1135" s="10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9"/>
      <c r="N1135" s="2"/>
      <c r="O1135" s="9"/>
      <c r="P1135" s="9"/>
      <c r="Q1135" s="2"/>
      <c r="R1135" s="9"/>
      <c r="S1135" s="2"/>
      <c r="T1135" s="9"/>
      <c r="U1135" s="2"/>
      <c r="V1135" s="2"/>
      <c r="W1135" s="2"/>
      <c r="X1135" s="2"/>
      <c r="Y1135" s="2"/>
      <c r="Z1135" s="9"/>
      <c r="AA1135" s="2"/>
      <c r="AB1135" s="2"/>
      <c r="AC1135" s="2"/>
      <c r="AD1135" s="2"/>
    </row>
    <row r="1136" spans="1:30" ht="13.2" x14ac:dyDescent="0.25">
      <c r="A1136" s="10"/>
      <c r="B1136" s="10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9"/>
      <c r="N1136" s="2"/>
      <c r="O1136" s="9"/>
      <c r="P1136" s="9"/>
      <c r="Q1136" s="2"/>
      <c r="R1136" s="9"/>
      <c r="S1136" s="2"/>
      <c r="T1136" s="9"/>
      <c r="U1136" s="2"/>
      <c r="V1136" s="9"/>
      <c r="W1136" s="9"/>
      <c r="X1136" s="2"/>
      <c r="Y1136" s="2"/>
      <c r="Z1136" s="2"/>
      <c r="AA1136" s="2"/>
      <c r="AB1136" s="2"/>
      <c r="AC1136" s="2"/>
      <c r="AD1136" s="2"/>
    </row>
    <row r="1137" spans="1:30" ht="13.2" x14ac:dyDescent="0.25">
      <c r="A1137" s="10"/>
      <c r="B1137" s="10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9"/>
      <c r="N1137" s="2"/>
      <c r="O1137" s="9"/>
      <c r="P1137" s="9"/>
      <c r="Q1137" s="2"/>
      <c r="R1137" s="9"/>
      <c r="S1137" s="2"/>
      <c r="T1137" s="9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1:30" ht="13.2" x14ac:dyDescent="0.25">
      <c r="A1138" s="10"/>
      <c r="B1138" s="10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9"/>
      <c r="N1138" s="2"/>
      <c r="O1138" s="9"/>
      <c r="P1138" s="9"/>
      <c r="Q1138" s="2"/>
      <c r="R1138" s="9"/>
      <c r="S1138" s="2"/>
      <c r="T1138" s="9"/>
      <c r="U1138" s="2"/>
      <c r="V1138" s="2"/>
      <c r="W1138" s="2"/>
      <c r="X1138" s="2"/>
      <c r="Y1138" s="2"/>
      <c r="Z1138" s="9"/>
      <c r="AA1138" s="2"/>
      <c r="AB1138" s="2"/>
      <c r="AC1138" s="2"/>
      <c r="AD1138" s="2"/>
    </row>
    <row r="1139" spans="1:30" ht="13.2" x14ac:dyDescent="0.25">
      <c r="A1139" s="10"/>
      <c r="B1139" s="10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9"/>
      <c r="N1139" s="2"/>
      <c r="O1139" s="9"/>
      <c r="P1139" s="9"/>
      <c r="Q1139" s="2"/>
      <c r="R1139" s="9"/>
      <c r="S1139" s="2"/>
      <c r="T1139" s="9"/>
      <c r="U1139" s="2"/>
      <c r="V1139" s="2"/>
      <c r="W1139" s="2"/>
      <c r="X1139" s="2"/>
      <c r="Y1139" s="2"/>
      <c r="Z1139" s="9"/>
      <c r="AA1139" s="2"/>
      <c r="AB1139" s="2"/>
      <c r="AC1139" s="2"/>
      <c r="AD1139" s="2"/>
    </row>
    <row r="1140" spans="1:30" ht="13.2" x14ac:dyDescent="0.25">
      <c r="A1140" s="10"/>
      <c r="B1140" s="10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9"/>
      <c r="N1140" s="2"/>
      <c r="O1140" s="9"/>
      <c r="P1140" s="9"/>
      <c r="Q1140" s="2"/>
      <c r="R1140" s="9"/>
      <c r="S1140" s="2"/>
      <c r="T1140" s="9"/>
      <c r="U1140" s="2"/>
      <c r="V1140" s="2"/>
      <c r="W1140" s="2"/>
      <c r="X1140" s="2"/>
      <c r="Y1140" s="2"/>
      <c r="Z1140" s="9"/>
      <c r="AA1140" s="2"/>
      <c r="AB1140" s="2"/>
      <c r="AC1140" s="2"/>
      <c r="AD1140" s="2"/>
    </row>
    <row r="1141" spans="1:30" ht="13.2" x14ac:dyDescent="0.25">
      <c r="A1141" s="10"/>
      <c r="B1141" s="10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9"/>
      <c r="N1141" s="2"/>
      <c r="O1141" s="9"/>
      <c r="P1141" s="9"/>
      <c r="Q1141" s="2"/>
      <c r="R1141" s="9"/>
      <c r="S1141" s="2"/>
      <c r="T1141" s="9"/>
      <c r="U1141" s="2"/>
      <c r="V1141" s="9"/>
      <c r="W1141" s="9"/>
      <c r="X1141" s="2"/>
      <c r="Y1141" s="2"/>
      <c r="Z1141" s="2"/>
      <c r="AA1141" s="2"/>
      <c r="AB1141" s="2"/>
      <c r="AC1141" s="2"/>
      <c r="AD1141" s="2"/>
    </row>
    <row r="1142" spans="1:30" ht="13.2" x14ac:dyDescent="0.25">
      <c r="A1142" s="10"/>
      <c r="B1142" s="10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9"/>
      <c r="N1142" s="2"/>
      <c r="O1142" s="9"/>
      <c r="P1142" s="9"/>
      <c r="Q1142" s="2"/>
      <c r="R1142" s="9"/>
      <c r="S1142" s="2"/>
      <c r="T1142" s="9"/>
      <c r="U1142" s="2"/>
      <c r="V1142" s="2"/>
      <c r="W1142" s="2"/>
      <c r="X1142" s="2"/>
      <c r="Y1142" s="2"/>
      <c r="Z1142" s="9"/>
      <c r="AA1142" s="2"/>
      <c r="AB1142" s="2"/>
      <c r="AC1142" s="2"/>
      <c r="AD1142" s="2"/>
    </row>
    <row r="1143" spans="1:30" ht="13.2" x14ac:dyDescent="0.25">
      <c r="A1143" s="10"/>
      <c r="B1143" s="10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9"/>
      <c r="N1143" s="2"/>
      <c r="O1143" s="9"/>
      <c r="P1143" s="9"/>
      <c r="Q1143" s="2"/>
      <c r="R1143" s="9"/>
      <c r="S1143" s="2"/>
      <c r="T1143" s="9"/>
      <c r="U1143" s="2"/>
      <c r="V1143" s="2"/>
      <c r="W1143" s="2"/>
      <c r="X1143" s="2"/>
      <c r="Y1143" s="2"/>
      <c r="Z1143" s="9"/>
      <c r="AA1143" s="2"/>
      <c r="AB1143" s="2"/>
      <c r="AC1143" s="2"/>
      <c r="AD1143" s="2"/>
    </row>
    <row r="1144" spans="1:30" ht="13.2" x14ac:dyDescent="0.25">
      <c r="A1144" s="10"/>
      <c r="B1144" s="10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9"/>
      <c r="N1144" s="2"/>
      <c r="O1144" s="9"/>
      <c r="P1144" s="9"/>
      <c r="Q1144" s="2"/>
      <c r="R1144" s="9"/>
      <c r="S1144" s="2"/>
      <c r="T1144" s="9"/>
      <c r="U1144" s="2"/>
      <c r="V1144" s="2"/>
      <c r="W1144" s="2"/>
      <c r="X1144" s="2"/>
      <c r="Y1144" s="2"/>
      <c r="Z1144" s="9"/>
      <c r="AA1144" s="2"/>
      <c r="AB1144" s="2"/>
      <c r="AC1144" s="2"/>
      <c r="AD1144" s="2"/>
    </row>
    <row r="1145" spans="1:30" ht="13.2" x14ac:dyDescent="0.25">
      <c r="A1145" s="10"/>
      <c r="B1145" s="10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9"/>
      <c r="N1145" s="2"/>
      <c r="O1145" s="9"/>
      <c r="P1145" s="9"/>
      <c r="Q1145" s="2"/>
      <c r="R1145" s="9"/>
      <c r="S1145" s="2"/>
      <c r="T1145" s="9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1:30" ht="13.2" x14ac:dyDescent="0.25">
      <c r="A1146" s="10"/>
      <c r="B1146" s="10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9"/>
      <c r="N1146" s="2"/>
      <c r="O1146" s="9"/>
      <c r="P1146" s="9"/>
      <c r="Q1146" s="2"/>
      <c r="R1146" s="9"/>
      <c r="S1146" s="2"/>
      <c r="T1146" s="9"/>
      <c r="U1146" s="2"/>
      <c r="V1146" s="9"/>
      <c r="W1146" s="9"/>
      <c r="X1146" s="2"/>
      <c r="Y1146" s="2"/>
      <c r="Z1146" s="2"/>
      <c r="AA1146" s="2"/>
      <c r="AB1146" s="2"/>
      <c r="AC1146" s="2"/>
      <c r="AD1146" s="2"/>
    </row>
    <row r="1147" spans="1:30" ht="13.2" x14ac:dyDescent="0.25">
      <c r="A1147" s="10"/>
      <c r="B1147" s="10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9"/>
      <c r="N1147" s="2"/>
      <c r="O1147" s="9"/>
      <c r="P1147" s="9"/>
      <c r="Q1147" s="2"/>
      <c r="R1147" s="9"/>
      <c r="S1147" s="2"/>
      <c r="T1147" s="9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</row>
    <row r="1148" spans="1:30" ht="13.2" x14ac:dyDescent="0.25">
      <c r="A1148" s="10"/>
      <c r="B1148" s="10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9"/>
      <c r="N1148" s="2"/>
      <c r="O1148" s="9"/>
      <c r="P1148" s="9"/>
      <c r="Q1148" s="2"/>
      <c r="R1148" s="9"/>
      <c r="S1148" s="2"/>
      <c r="T1148" s="9"/>
      <c r="U1148" s="2"/>
      <c r="V1148" s="9"/>
      <c r="W1148" s="9"/>
      <c r="X1148" s="2"/>
      <c r="Y1148" s="2"/>
      <c r="Z1148" s="2"/>
      <c r="AA1148" s="2"/>
      <c r="AB1148" s="2"/>
      <c r="AC1148" s="2"/>
      <c r="AD1148" s="2"/>
    </row>
    <row r="1149" spans="1:30" ht="13.2" x14ac:dyDescent="0.25">
      <c r="A1149" s="10"/>
      <c r="B1149" s="10"/>
      <c r="C1149" s="2"/>
      <c r="D1149" s="2"/>
      <c r="E1149" s="2"/>
      <c r="F1149" s="2"/>
      <c r="G1149" s="9"/>
      <c r="H1149" s="2"/>
      <c r="I1149" s="2"/>
      <c r="J1149" s="2"/>
      <c r="K1149" s="2"/>
      <c r="L1149" s="2"/>
      <c r="M1149" s="9"/>
      <c r="N1149" s="2"/>
      <c r="O1149" s="9"/>
      <c r="P1149" s="9"/>
      <c r="Q1149" s="2"/>
      <c r="R1149" s="9"/>
      <c r="S1149" s="2"/>
      <c r="T1149" s="9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ht="13.2" x14ac:dyDescent="0.25">
      <c r="A1150" s="10"/>
      <c r="B1150" s="10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9"/>
      <c r="N1150" s="2"/>
      <c r="O1150" s="9"/>
      <c r="P1150" s="9"/>
      <c r="Q1150" s="2"/>
      <c r="R1150" s="9"/>
      <c r="S1150" s="2"/>
      <c r="T1150" s="9"/>
      <c r="U1150" s="2"/>
      <c r="V1150" s="2"/>
      <c r="W1150" s="2"/>
      <c r="X1150" s="2"/>
      <c r="Y1150" s="2"/>
      <c r="Z1150" s="9"/>
      <c r="AA1150" s="2"/>
      <c r="AB1150" s="2"/>
      <c r="AC1150" s="2"/>
      <c r="AD1150" s="2"/>
    </row>
  </sheetData>
  <mergeCells count="175">
    <mergeCell ref="H160:I160"/>
    <mergeCell ref="H161:I161"/>
    <mergeCell ref="H162:I162"/>
    <mergeCell ref="H165:I165"/>
    <mergeCell ref="F166:G166"/>
    <mergeCell ref="F167:G167"/>
    <mergeCell ref="G168:H168"/>
    <mergeCell ref="H169:I169"/>
    <mergeCell ref="G170:I170"/>
    <mergeCell ref="F151:G151"/>
    <mergeCell ref="F152:G152"/>
    <mergeCell ref="F153:G153"/>
    <mergeCell ref="H154:I154"/>
    <mergeCell ref="H155:I155"/>
    <mergeCell ref="H156:I156"/>
    <mergeCell ref="H157:I157"/>
    <mergeCell ref="H158:I158"/>
    <mergeCell ref="H159:I159"/>
    <mergeCell ref="F139:G139"/>
    <mergeCell ref="H140:I140"/>
    <mergeCell ref="G142:H142"/>
    <mergeCell ref="H143:I143"/>
    <mergeCell ref="G144:H144"/>
    <mergeCell ref="H145:I145"/>
    <mergeCell ref="G147:H147"/>
    <mergeCell ref="G148:H148"/>
    <mergeCell ref="F150:G150"/>
    <mergeCell ref="F216:G216"/>
    <mergeCell ref="F217:G217"/>
    <mergeCell ref="F198:G198"/>
    <mergeCell ref="F199:G199"/>
    <mergeCell ref="F200:G200"/>
    <mergeCell ref="F201:G201"/>
    <mergeCell ref="F202:G202"/>
    <mergeCell ref="H203:I203"/>
    <mergeCell ref="F204:G204"/>
    <mergeCell ref="F184:G184"/>
    <mergeCell ref="G185:H185"/>
    <mergeCell ref="F186:G186"/>
    <mergeCell ref="F187:G187"/>
    <mergeCell ref="F205:G205"/>
    <mergeCell ref="H206:I206"/>
    <mergeCell ref="F213:G213"/>
    <mergeCell ref="F214:G214"/>
    <mergeCell ref="F215:G215"/>
    <mergeCell ref="H188:I188"/>
    <mergeCell ref="H189:I189"/>
    <mergeCell ref="G191:H191"/>
    <mergeCell ref="H194:I194"/>
    <mergeCell ref="F195:G195"/>
    <mergeCell ref="F196:G196"/>
    <mergeCell ref="F197:G197"/>
    <mergeCell ref="F172:G172"/>
    <mergeCell ref="F175:G175"/>
    <mergeCell ref="F176:G176"/>
    <mergeCell ref="F177:G177"/>
    <mergeCell ref="H178:I178"/>
    <mergeCell ref="G179:H179"/>
    <mergeCell ref="H180:I180"/>
    <mergeCell ref="G181:H181"/>
    <mergeCell ref="G183:H183"/>
    <mergeCell ref="G113:I113"/>
    <mergeCell ref="H115:I115"/>
    <mergeCell ref="H116:I116"/>
    <mergeCell ref="G117:H117"/>
    <mergeCell ref="G118:H118"/>
    <mergeCell ref="G119:H119"/>
    <mergeCell ref="G120:H120"/>
    <mergeCell ref="H121:I121"/>
    <mergeCell ref="F171:G171"/>
    <mergeCell ref="G122:H122"/>
    <mergeCell ref="F123:G123"/>
    <mergeCell ref="F124:G124"/>
    <mergeCell ref="F125:G125"/>
    <mergeCell ref="F126:G126"/>
    <mergeCell ref="F127:G127"/>
    <mergeCell ref="F128:G128"/>
    <mergeCell ref="G129:H129"/>
    <mergeCell ref="F130:G130"/>
    <mergeCell ref="F131:G131"/>
    <mergeCell ref="G134:H134"/>
    <mergeCell ref="G135:H135"/>
    <mergeCell ref="F136:G136"/>
    <mergeCell ref="H137:I137"/>
    <mergeCell ref="H138:I138"/>
    <mergeCell ref="F103:G103"/>
    <mergeCell ref="H104:I104"/>
    <mergeCell ref="G105:H105"/>
    <mergeCell ref="G106:H106"/>
    <mergeCell ref="F107:G107"/>
    <mergeCell ref="F108:G108"/>
    <mergeCell ref="H109:I109"/>
    <mergeCell ref="F110:G110"/>
    <mergeCell ref="H112:I112"/>
    <mergeCell ref="H87:I87"/>
    <mergeCell ref="F88:G88"/>
    <mergeCell ref="F89:G89"/>
    <mergeCell ref="H91:I91"/>
    <mergeCell ref="G92:H92"/>
    <mergeCell ref="F90:G90"/>
    <mergeCell ref="F100:G100"/>
    <mergeCell ref="H101:I101"/>
    <mergeCell ref="G102:H102"/>
    <mergeCell ref="H76:I76"/>
    <mergeCell ref="H77:I77"/>
    <mergeCell ref="F79:G79"/>
    <mergeCell ref="F80:G80"/>
    <mergeCell ref="H81:I81"/>
    <mergeCell ref="H82:I82"/>
    <mergeCell ref="G83:H83"/>
    <mergeCell ref="H85:I85"/>
    <mergeCell ref="H86:I86"/>
    <mergeCell ref="H67:I67"/>
    <mergeCell ref="F68:G68"/>
    <mergeCell ref="H69:I69"/>
    <mergeCell ref="H70:I70"/>
    <mergeCell ref="F71:G71"/>
    <mergeCell ref="F72:G72"/>
    <mergeCell ref="F73:G73"/>
    <mergeCell ref="H74:I74"/>
    <mergeCell ref="H75:I75"/>
    <mergeCell ref="H56:I56"/>
    <mergeCell ref="F58:G58"/>
    <mergeCell ref="H59:I59"/>
    <mergeCell ref="H60:I60"/>
    <mergeCell ref="F62:G62"/>
    <mergeCell ref="H63:I63"/>
    <mergeCell ref="F64:G64"/>
    <mergeCell ref="F65:G65"/>
    <mergeCell ref="G66:H66"/>
    <mergeCell ref="G47:H47"/>
    <mergeCell ref="H48:I48"/>
    <mergeCell ref="H49:I49"/>
    <mergeCell ref="H50:I50"/>
    <mergeCell ref="H51:I51"/>
    <mergeCell ref="G52:H52"/>
    <mergeCell ref="F53:G53"/>
    <mergeCell ref="G54:H54"/>
    <mergeCell ref="F55:G55"/>
    <mergeCell ref="F36:G36"/>
    <mergeCell ref="F37:G37"/>
    <mergeCell ref="F38:G38"/>
    <mergeCell ref="H39:I39"/>
    <mergeCell ref="F40:G40"/>
    <mergeCell ref="F41:G41"/>
    <mergeCell ref="G42:H42"/>
    <mergeCell ref="F44:G44"/>
    <mergeCell ref="G46:H46"/>
    <mergeCell ref="F25:G25"/>
    <mergeCell ref="F26:G26"/>
    <mergeCell ref="F27:G27"/>
    <mergeCell ref="F28:G28"/>
    <mergeCell ref="G29:H29"/>
    <mergeCell ref="F31:G31"/>
    <mergeCell ref="G32:I32"/>
    <mergeCell ref="G34:H34"/>
    <mergeCell ref="H35:I35"/>
    <mergeCell ref="H13:I13"/>
    <mergeCell ref="H14:I14"/>
    <mergeCell ref="H15:I15"/>
    <mergeCell ref="H16:I16"/>
    <mergeCell ref="H17:I17"/>
    <mergeCell ref="G18:H18"/>
    <mergeCell ref="F22:G22"/>
    <mergeCell ref="H23:I23"/>
    <mergeCell ref="H24:I24"/>
    <mergeCell ref="F2:G2"/>
    <mergeCell ref="F3:G3"/>
    <mergeCell ref="H4:I4"/>
    <mergeCell ref="F5:G5"/>
    <mergeCell ref="F6:G6"/>
    <mergeCell ref="F7:G7"/>
    <mergeCell ref="H9:I9"/>
    <mergeCell ref="F11:G11"/>
    <mergeCell ref="F12:G12"/>
  </mergeCells>
  <hyperlinks>
    <hyperlink ref="F201" r:id="rId1" xr:uid="{00000000-0004-0000-0000-000000000000}"/>
    <hyperlink ref="F213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73E8"/>
    <outlinePr summaryBelow="0" summaryRight="0"/>
  </sheetPr>
  <dimension ref="A1:AE42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defaultColWidth="12.6640625" defaultRowHeight="15.75" customHeight="1" x14ac:dyDescent="0.25"/>
  <cols>
    <col min="1" max="1" width="25.109375" customWidth="1"/>
    <col min="2" max="4" width="17.6640625" customWidth="1"/>
    <col min="6" max="6" width="13.88671875" customWidth="1"/>
    <col min="7" max="7" width="52.6640625" customWidth="1"/>
    <col min="8" max="8" width="15.109375" customWidth="1"/>
    <col min="9" max="9" width="2.6640625" customWidth="1"/>
    <col min="10" max="10" width="13.88671875" customWidth="1"/>
    <col min="11" max="11" width="52.6640625" customWidth="1"/>
    <col min="12" max="12" width="15.109375" customWidth="1"/>
    <col min="13" max="13" width="13.88671875" customWidth="1"/>
    <col min="14" max="15" width="2.6640625" customWidth="1"/>
    <col min="16" max="16" width="13.88671875" customWidth="1"/>
    <col min="17" max="17" width="52.6640625" customWidth="1"/>
    <col min="18" max="18" width="15.109375" customWidth="1"/>
    <col min="19" max="19" width="13.88671875" customWidth="1"/>
    <col min="20" max="21" width="2.6640625" customWidth="1"/>
    <col min="22" max="22" width="13.88671875" customWidth="1"/>
    <col min="23" max="23" width="52.6640625" customWidth="1"/>
    <col min="24" max="24" width="15.109375" customWidth="1"/>
    <col min="25" max="25" width="13.88671875" customWidth="1"/>
    <col min="26" max="27" width="2.6640625" customWidth="1"/>
    <col min="28" max="28" width="13.88671875" customWidth="1"/>
    <col min="29" max="29" width="52.6640625" customWidth="1"/>
    <col min="30" max="30" width="15.109375" customWidth="1"/>
    <col min="31" max="31" width="13.88671875" customWidth="1"/>
  </cols>
  <sheetData>
    <row r="1" spans="1:31" ht="15.75" customHeight="1" x14ac:dyDescent="0.3">
      <c r="A1" s="21" t="s">
        <v>445</v>
      </c>
      <c r="F1" s="22"/>
      <c r="J1" s="23" t="s">
        <v>446</v>
      </c>
    </row>
    <row r="2" spans="1:31" x14ac:dyDescent="0.25">
      <c r="A2" s="23" t="s">
        <v>447</v>
      </c>
      <c r="B2" s="24">
        <v>45931</v>
      </c>
      <c r="C2" s="25" t="s">
        <v>448</v>
      </c>
      <c r="F2" s="22"/>
      <c r="J2" s="26" t="s">
        <v>449</v>
      </c>
      <c r="K2" s="27"/>
      <c r="L2" s="27"/>
      <c r="M2" s="27"/>
      <c r="N2" s="22"/>
      <c r="P2" s="26" t="s">
        <v>450</v>
      </c>
      <c r="Q2" s="27"/>
      <c r="R2" s="27"/>
      <c r="S2" s="27"/>
      <c r="V2" s="26" t="s">
        <v>451</v>
      </c>
      <c r="W2" s="27"/>
      <c r="X2" s="27"/>
      <c r="Y2" s="27"/>
      <c r="Z2" s="22"/>
      <c r="AA2" s="22"/>
      <c r="AB2" s="26" t="s">
        <v>452</v>
      </c>
      <c r="AC2" s="27"/>
      <c r="AD2" s="27"/>
      <c r="AE2" s="27"/>
    </row>
    <row r="3" spans="1:31" x14ac:dyDescent="0.25">
      <c r="A3" s="23" t="s">
        <v>453</v>
      </c>
      <c r="B3" s="24">
        <v>46071</v>
      </c>
      <c r="F3" s="22"/>
      <c r="G3" s="22"/>
      <c r="H3" s="22"/>
      <c r="J3" s="26" t="s">
        <v>454</v>
      </c>
      <c r="K3" s="26" t="s">
        <v>5</v>
      </c>
      <c r="L3" s="26" t="s">
        <v>14</v>
      </c>
      <c r="M3" s="26" t="s">
        <v>455</v>
      </c>
      <c r="N3" s="22"/>
      <c r="O3" s="22"/>
      <c r="P3" s="26" t="s">
        <v>454</v>
      </c>
      <c r="Q3" s="26" t="s">
        <v>5</v>
      </c>
      <c r="R3" s="26" t="s">
        <v>14</v>
      </c>
      <c r="S3" s="26" t="s">
        <v>455</v>
      </c>
      <c r="T3" s="22"/>
      <c r="V3" s="26" t="s">
        <v>454</v>
      </c>
      <c r="W3" s="26" t="s">
        <v>5</v>
      </c>
      <c r="X3" s="26" t="s">
        <v>14</v>
      </c>
      <c r="Y3" s="26" t="s">
        <v>455</v>
      </c>
      <c r="Z3" s="22"/>
      <c r="AA3" s="22"/>
      <c r="AB3" s="26" t="s">
        <v>454</v>
      </c>
      <c r="AC3" s="26" t="s">
        <v>5</v>
      </c>
      <c r="AD3" s="26" t="s">
        <v>14</v>
      </c>
      <c r="AE3" s="26" t="s">
        <v>455</v>
      </c>
    </row>
    <row r="4" spans="1:31" x14ac:dyDescent="0.25">
      <c r="A4" s="22"/>
      <c r="F4" s="24"/>
      <c r="G4" s="22"/>
      <c r="H4" s="28"/>
      <c r="J4" s="29" t="str">
        <f ca="1">IFERROR(__xludf.DUMMYFUNCTION("IFERROR(QUERY({IFERROR('JOBS IN'!C2:C1000*1,DATEVALUE('JOBS IN'!C2:C1000)),'JOBS IN'!D2:D1000,'JOBS IN'!E2:E1000,IF('JOBS IN'!G2:G1000="""","""",'JOBS IN'!G2:G1000)},""select Col1,Col2,Col3,Col4 where Col1 &gt;= ""&amp;$B$2&amp;"" and Col1 &lt;= ""&amp;$B$3&amp;"" order by Col"&amp;"1 desc"",0),{"""","""","""",""""})"),"")</f>
        <v/>
      </c>
      <c r="K4" s="27" t="str">
        <f ca="1">IFERROR(__xludf.DUMMYFUNCTION("""COMPUTED_VALUE"""),"")</f>
        <v/>
      </c>
      <c r="L4" s="30" t="str">
        <f ca="1">IFERROR(__xludf.DUMMYFUNCTION("""COMPUTED_VALUE"""),"")</f>
        <v/>
      </c>
      <c r="M4" s="30" t="str">
        <f ca="1">IFERROR(__xludf.DUMMYFUNCTION("""COMPUTED_VALUE"""),"")</f>
        <v/>
      </c>
      <c r="N4" s="24"/>
      <c r="P4" s="29" t="str">
        <f ca="1">IFERROR(__xludf.DUMMYFUNCTION("IFERROR(QUERY({IFERROR('JOBS OUT'!C2:C1000*1,DATEVALUE('JOBS OUT'!C2:C1000)),'JOBS OUT'!D2:D1000,'JOBS OUT'!E2:E1000,IF('JOBS OUT'!G2:G1000="""","""",'JOBS OUT'!G2:G1000)},""select Col1,Col2,Col3,Col4 where Col1 &gt;= ""&amp;$B$2&amp;"" and Col1 &lt;= ""&amp;$B$3&amp;"" order "&amp;"by Col1 desc"",0),{"""","""","""",""""})"),"")</f>
        <v/>
      </c>
      <c r="Q4" s="27" t="str">
        <f ca="1">IFERROR(__xludf.DUMMYFUNCTION("""COMPUTED_VALUE"""),"")</f>
        <v/>
      </c>
      <c r="R4" s="30" t="str">
        <f ca="1">IFERROR(__xludf.DUMMYFUNCTION("""COMPUTED_VALUE"""),"")</f>
        <v/>
      </c>
      <c r="S4" s="30" t="str">
        <f ca="1">IFERROR(__xludf.DUMMYFUNCTION("""COMPUTED_VALUE"""),"")</f>
        <v/>
      </c>
      <c r="T4" s="28"/>
      <c r="V4" s="29" t="str">
        <f ca="1">IFERROR(__xludf.DUMMYFUNCTION("IFERROR(QUERY({IFERROR('WX21VZN IN'!C2:C1000*1,DATEVALUE('WX21VZN IN'!C2:C1000)),'WX21VZN IN'!D2:D1000,'WX21VZN IN'!E2:E1000,IF('WX21VZN IN'!G2:G1000="""","""",'WX21VZN IN'!G2:G1000)},""select Col1,Col2,Col3,Col4 where Col1 &gt;= ""&amp;$B$2&amp;"" and Col1 &lt;= ""&amp;$B"&amp;"$3&amp;"" order by Col1 desc"",0),{"""","""","""",""""})"),"")</f>
        <v/>
      </c>
      <c r="W4" s="27" t="str">
        <f ca="1">IFERROR(__xludf.DUMMYFUNCTION("""COMPUTED_VALUE"""),"")</f>
        <v/>
      </c>
      <c r="X4" s="30" t="str">
        <f ca="1">IFERROR(__xludf.DUMMYFUNCTION("""COMPUTED_VALUE"""),"")</f>
        <v/>
      </c>
      <c r="Y4" s="30" t="str">
        <f ca="1">IFERROR(__xludf.DUMMYFUNCTION("""COMPUTED_VALUE"""),"")</f>
        <v/>
      </c>
      <c r="Z4" s="24"/>
      <c r="AB4" s="29" t="str">
        <f ca="1">IFERROR(__xludf.DUMMYFUNCTION("IFERROR(QUERY({IFERROR('WX21VZN OUT'!C2:C1000*1,DATEVALUE('WX21VZN OUT'!C2:C1000)),'WX21VZN OUT'!D2:D1000,'WX21VZN OUT'!E2:E1000,IF('WX21VZN OUT'!G2:G1000="""","""",'WX21VZN OUT'!G2:G1000)},""select Col1,Col2,Col3,Col4 where Col1 &gt;= ""&amp;$B$2&amp;"" and Col1 &lt;="&amp;" ""&amp;$B$3&amp;"" order by Col1 desc"",0),{"""","""","""",""""})"),"")</f>
        <v/>
      </c>
      <c r="AC4" s="30" t="str">
        <f ca="1">IFERROR(__xludf.DUMMYFUNCTION("""COMPUTED_VALUE"""),"")</f>
        <v/>
      </c>
      <c r="AD4" s="30" t="str">
        <f ca="1">IFERROR(__xludf.DUMMYFUNCTION("""COMPUTED_VALUE"""),"")</f>
        <v/>
      </c>
      <c r="AE4" s="30" t="str">
        <f ca="1">IFERROR(__xludf.DUMMYFUNCTION("""COMPUTED_VALUE"""),"")</f>
        <v/>
      </c>
    </row>
    <row r="5" spans="1:31" x14ac:dyDescent="0.25">
      <c r="A5" s="23" t="s">
        <v>456</v>
      </c>
      <c r="B5" s="23" t="s">
        <v>457</v>
      </c>
      <c r="C5" s="23" t="s">
        <v>458</v>
      </c>
      <c r="D5" s="23" t="s">
        <v>459</v>
      </c>
      <c r="E5" s="23" t="s">
        <v>460</v>
      </c>
      <c r="F5" s="23" t="s">
        <v>461</v>
      </c>
      <c r="G5" s="23" t="s">
        <v>462</v>
      </c>
      <c r="H5" s="31" t="s">
        <v>463</v>
      </c>
      <c r="J5" s="29"/>
      <c r="K5" s="27"/>
      <c r="L5" s="30"/>
      <c r="M5" s="30"/>
      <c r="N5" s="24"/>
      <c r="P5" s="29"/>
      <c r="Q5" s="27"/>
      <c r="R5" s="30"/>
      <c r="S5" s="30"/>
      <c r="T5" s="28"/>
      <c r="V5" s="29"/>
      <c r="W5" s="27"/>
      <c r="X5" s="30"/>
      <c r="Y5" s="30"/>
      <c r="Z5" s="24"/>
      <c r="AB5" s="29"/>
      <c r="AC5" s="30"/>
      <c r="AD5" s="30"/>
      <c r="AE5" s="30"/>
    </row>
    <row r="6" spans="1:31" x14ac:dyDescent="0.25">
      <c r="A6" s="22" t="s">
        <v>464</v>
      </c>
      <c r="B6" s="28">
        <f ca="1">IFERROR(__xludf.DUMMYFUNCTION("IFERROR(INDEX(QUERY({IFERROR('JOBS IN'!C2:C1000*1,DATEVALUE('JOBS IN'!C2:C1000)),'JOBS IN'!E2:E1000},""select sum(Col2) where Col1 &gt;= ""&amp;$B$2&amp;"" and Col1 &lt;= ""&amp;$B$3&amp;"" label sum(Col2) ''"",0),1,1),0)"),89261.4)</f>
        <v>89261.4</v>
      </c>
      <c r="C6" s="28">
        <f ca="1">IFERROR(__xludf.DUMMYFUNCTION("ABS(IFERROR(INDEX(QUERY({IFERROR('JOBS OUT'!C2:C1000*1,DATEVALUE('JOBS OUT'!C2:C1000)),'JOBS OUT'!E2:E1000},""select sum(Col2) where Col1 &gt;= ""&amp;$B$2&amp;"" and Col1 &lt;= ""&amp;$B$3&amp;"" label sum(Col2) ''"",0),1,1),0))"),25654.74)</f>
        <v>25654.74</v>
      </c>
      <c r="D6" s="28">
        <f t="shared" ref="D6:D9" ca="1" si="0">B6-C6</f>
        <v>63606.659999999989</v>
      </c>
      <c r="E6" s="28" t="str">
        <f ca="1">IFERROR(__xludf.DUMMYFUNCTION("IFERROR(INDEX(QUERY({IFERROR('JOBS IN'!C2:C1000*1,DATEVALUE('JOBS IN'!C2:C1000)),IF('JOBS IN'!G2:G1000="""",0,'JOBS IN'!G2:G1000)},""select sum(Col2) where Col1 &gt;= ""&amp;$B$2&amp;"" and Col1 &lt;= ""&amp;$B$3&amp;"" label sum(Col2) ''"",0),1,1),0)"),"")</f>
        <v/>
      </c>
      <c r="F6" s="28">
        <f ca="1">IFERROR(__xludf.DUMMYFUNCTION("ABS(IFERROR(INDEX(QUERY({IFERROR('JOBS OUT'!C2:C1000*1,DATEVALUE('JOBS OUT'!C2:C1000)),IF('JOBS OUT'!G2:G1000="""",0,'JOBS OUT'!G2:G1000)},""select sum(Col2) where Col1 &gt;= ""&amp;$B$2&amp;"" and Col1 &lt;= ""&amp;$B$3&amp;"" label sum(Col2) ''"",0),1,1),0))"),0)</f>
        <v>0</v>
      </c>
      <c r="G6" s="32">
        <f ca="1">IFERROR(__xludf.DUMMYFUNCTION("IF(IFERROR(INDEX(QUERY({IFERROR('JOBS IN'!C2:C1000*1,DATEVALUE('JOBS IN'!C2:C1000)),'JOBS IN'!E2:E1000},""select count(Col2) where Col1 &gt;= ""&amp;$B$2&amp;"" and Col1 &lt;= ""&amp;$B$3&amp;"" label count(Col2) ''"",0),1,1),0)=0,0,IFERROR(INDEX(QUERY({IFERROR('JOBS IN'!C2:C1"&amp;"000*1,DATEVALUE('JOBS IN'!C2:C1000)),IF('JOBS IN'!G2:G1000="""","""",'JOBS IN'!G2:G1000)},""select count(Col2) where Col1 &gt;= ""&amp;$B$2&amp;"" and Col1 &lt;= ""&amp;$B$3&amp;"" label count(Col2) ''"",0),1,1),0)/IFERROR(INDEX(QUERY({IFERROR('JOBS IN'!C2:C1000*1,DATEVALUE('J"&amp;"OBS IN'!C2:C1000)),'JOBS IN'!E2:E1000},""select count(Col2) where Col1 &gt;= ""&amp;$B$2&amp;"" and Col1 &lt;= ""&amp;$B$3&amp;"" label count(Col2) ''"",0),1,1),0))"),1)</f>
        <v>1</v>
      </c>
      <c r="H6" s="32">
        <f ca="1">IFERROR(__xludf.DUMMYFUNCTION("IF(IFERROR(INDEX(QUERY({IFERROR('JOBS OUT'!C2:C1000*1,DATEVALUE('JOBS OUT'!C2:C1000)),'JOBS OUT'!E2:E1000},""select count(Col2) where Col1 &gt;= ""&amp;$B$2&amp;"" and Col1 &lt;= ""&amp;$B$3&amp;"" label count(Col2) ''"",0),1,1),0)=0,0,IFERROR(INDEX(QUERY({IFERROR('JOBS OUT'!C"&amp;"2:C1000*1,DATEVALUE('JOBS OUT'!C2:C1000)),IF('JOBS OUT'!G2:G1000="""","""",'JOBS OUT'!G2:G1000)},""select count(Col2) where Col1 &gt;= ""&amp;$B$2&amp;"" and Col1 &lt;= ""&amp;$B$3&amp;"" label count(Col2) ''"",0),1,1),0)/IFERROR(INDEX(QUERY({IFERROR('JOBS OUT'!C2:C1000*1,DATE"&amp;"VALUE('JOBS OUT'!C2:C1000)),'JOBS OUT'!E2:E1000},""select count(Col2) where Col1 &gt;= ""&amp;$B$2&amp;"" and Col1 &lt;= ""&amp;$B$3&amp;"" label count(Col2) ''"",0),1,1),0))"),1)</f>
        <v>1</v>
      </c>
      <c r="J6" s="29"/>
      <c r="K6" s="27"/>
      <c r="L6" s="30"/>
      <c r="M6" s="30"/>
      <c r="N6" s="24"/>
      <c r="P6" s="29"/>
      <c r="Q6" s="27"/>
      <c r="R6" s="30"/>
      <c r="S6" s="30"/>
      <c r="T6" s="28"/>
      <c r="V6" s="29"/>
      <c r="W6" s="27"/>
      <c r="X6" s="30"/>
      <c r="Y6" s="30"/>
      <c r="Z6" s="24"/>
      <c r="AB6" s="29"/>
      <c r="AC6" s="30"/>
      <c r="AD6" s="30"/>
      <c r="AE6" s="30"/>
    </row>
    <row r="7" spans="1:31" x14ac:dyDescent="0.25">
      <c r="A7" s="22" t="s">
        <v>465</v>
      </c>
      <c r="B7" s="28">
        <f ca="1">IFERROR(__xludf.DUMMYFUNCTION("IFERROR(INDEX(QUERY({IFERROR('WX21VZN IN'!C2:C1000*1,DATEVALUE('WX21VZN IN'!C2:C1000)),'WX21VZN IN'!E2:E1000},""select sum(Col2) where Col1 &gt;= ""&amp;$B$2&amp;"" and Col1 &lt;= ""&amp;$B$3&amp;"" label sum(Col2) ''"",0),1,1),0)"),2367)</f>
        <v>2367</v>
      </c>
      <c r="C7" s="28">
        <f ca="1">IFERROR(__xludf.DUMMYFUNCTION("ABS(IFERROR(INDEX(QUERY({IFERROR('WX21VZN OUT'!C2:C1000*1,DATEVALUE('WX21VZN OUT'!C2:C1000)),'WX21VZN OUT'!E2:E1000},""select sum(Col2) where Col1 &gt;= ""&amp;$B$2&amp;"" and Col1 &lt;= ""&amp;$B$3&amp;"" label sum(Col2) ''"",0),1,1),0))"),530)</f>
        <v>530</v>
      </c>
      <c r="D7" s="28">
        <f t="shared" ca="1" si="0"/>
        <v>1837</v>
      </c>
      <c r="E7" s="28" t="str">
        <f ca="1">IFERROR(__xludf.DUMMYFUNCTION("IFERROR(INDEX(QUERY({IFERROR('WX21VZN IN'!C2:C1000*1,DATEVALUE('WX21VZN IN'!C2:C1000)),IF('WX21VZN IN'!G2:G1000="""",0,'WX21VZN IN'!G2:G1000)},""select sum(Col2) where Col1 &gt;= ""&amp;$B$2&amp;"" and Col1 &lt;= ""&amp;$B$3&amp;"" label sum(Col2) ''"",0),1,1),0)"),"")</f>
        <v/>
      </c>
      <c r="F7" s="28">
        <f ca="1">IFERROR(__xludf.DUMMYFUNCTION("ABS(IFERROR(INDEX(QUERY({IFERROR('WX21VZN OUT'!C2:C1000*1,DATEVALUE('WX21VZN OUT'!C2:C1000)),IF('WX21VZN OUT'!G2:G1000="""",0,'WX21VZN OUT'!G2:G1000)},""select sum(Col2) where Col1 &gt;= ""&amp;$B$2&amp;"" and Col1 &lt;= ""&amp;$B$3&amp;"" label sum(Col2) ''"",0),1,1),0))"),0)</f>
        <v>0</v>
      </c>
      <c r="G7" s="32">
        <f ca="1">IFERROR(__xludf.DUMMYFUNCTION("IF(IFERROR(INDEX(QUERY({IFERROR('WX21VZN IN'!C2:C1000*1,DATEVALUE('WX21VZN IN'!C2:C1000)),'WX21VZN IN'!E2:E1000},""select count(Col2) where Col1 &gt;= ""&amp;$B$2&amp;"" and Col1 &lt;= ""&amp;$B$3&amp;"" label count(Col2) ''"",0),1,1),0)=0,0,IFERROR(INDEX(QUERY({IFERROR('WX21V"&amp;"ZN IN'!C2:C1000*1,DATEVALUE('WX21VZN IN'!C2:C1000)),IF('WX21VZN IN'!G2:G1000="""","""",'WX21VZN IN'!G2:G1000)},""select count(Col2) where Col1 &gt;= ""&amp;$B$2&amp;"" and Col1 &lt;= ""&amp;$B$3&amp;"" label count(Col2) ''"",0),1,1),0)/IFERROR(INDEX(QUERY({IFERROR('WX21VZN IN'"&amp;"!C2:C1000*1,DATEVALUE('WX21VZN IN'!C2:C1000)),'WX21VZN IN'!E2:E1000},""select count(Col2) where Col1 &gt;= ""&amp;$B$2&amp;"" and Col1 &lt;= ""&amp;$B$3&amp;"" label count(Col2) ''"",0),1,1),0))"),1)</f>
        <v>1</v>
      </c>
      <c r="H7" s="32">
        <f ca="1">IFERROR(__xludf.DUMMYFUNCTION("IF(IFERROR(INDEX(QUERY({IFERROR('WX21VZN OUT'!C2:C1000*1,DATEVALUE('WX21VZN OUT'!C2:C1000)),'WX21VZN OUT'!E2:E1000},""select count(Col2) where Col1 &gt;= ""&amp;$B$2&amp;"" and Col1 &lt;= ""&amp;$B$3&amp;"" label count(Col2) ''"",0),1,1),0)=0,0,IFERROR(INDEX(QUERY({IFERROR('WX"&amp;"21VZN OUT'!C2:C1000*1,DATEVALUE('WX21VZN OUT'!C2:C1000)),IF('WX21VZN OUT'!G2:G1000="""","""",'WX21VZN OUT'!G2:G1000)},""select count(Col2) where Col1 &gt;= ""&amp;$B$2&amp;"" and Col1 &lt;= ""&amp;$B$3&amp;"" label count(Col2) ''"",0),1,1),0)/IFERROR(INDEX(QUERY({IFERROR('WX21"&amp;"VZN OUT'!C2:C1000*1,DATEVALUE('WX21VZN OUT'!C2:C1000)),'WX21VZN OUT'!E2:E1000},""select count(Col2) where Col1 &gt;= ""&amp;$B$2&amp;"" and Col1 &lt;= ""&amp;$B$3&amp;"" label count(Col2) ''"",0),1,1),0))"),0)</f>
        <v>0</v>
      </c>
      <c r="J7" s="29"/>
      <c r="K7" s="27"/>
      <c r="L7" s="30"/>
      <c r="M7" s="30"/>
      <c r="N7" s="24"/>
      <c r="P7" s="29"/>
      <c r="Q7" s="27"/>
      <c r="R7" s="30"/>
      <c r="S7" s="30"/>
      <c r="T7" s="28"/>
      <c r="V7" s="29"/>
      <c r="W7" s="27"/>
      <c r="X7" s="30"/>
      <c r="Y7" s="30"/>
      <c r="Z7" s="24"/>
      <c r="AB7" s="29"/>
      <c r="AC7" s="30"/>
      <c r="AD7" s="30"/>
      <c r="AE7" s="30"/>
    </row>
    <row r="8" spans="1:31" x14ac:dyDescent="0.25">
      <c r="A8" s="22" t="s">
        <v>466</v>
      </c>
      <c r="B8" s="28">
        <f ca="1">IFERROR(__xludf.DUMMYFUNCTION("IFERROR(INDEX(QUERY({IFERROR('EQV IN'!C2:C1000*1,DATEVALUE('EQV IN'!C2:C1000)),'EQV IN'!E2:E1000},""select sum(Col2) where Col1 &gt;= ""&amp;$B$2&amp;"" and Col1 &lt;= ""&amp;$B$3&amp;"" label sum(Col2) ''"",0),1,1),0)"),0)</f>
        <v>0</v>
      </c>
      <c r="C8" s="28">
        <f ca="1">IFERROR(__xludf.DUMMYFUNCTION("ABS(IFERROR(INDEX(QUERY({IFERROR('EQV OUT'!C2:C1000*1,DATEVALUE('EQV OUT'!C2:C1000)),'EQV OUT'!E2:E1000},""select sum(Col2) where Col1 &gt;= ""&amp;$B$2&amp;"" and Col1 &lt;= ""&amp;$B$3&amp;"" label sum(Col2) ''"",0),1,1),0))"),815.47)</f>
        <v>815.47</v>
      </c>
      <c r="D8" s="28">
        <f t="shared" ca="1" si="0"/>
        <v>-815.47</v>
      </c>
      <c r="E8" s="28">
        <f ca="1">IFERROR(__xludf.DUMMYFUNCTION("IFERROR(INDEX(QUERY({IFERROR('EQV IN'!C2:C1000*1,DATEVALUE('EQV IN'!C2:C1000)),IF('EQV IN'!G2:G1000="""",0,'EQV IN'!G2:G1000)},""select sum(Col2) where Col1 &gt;= ""&amp;$B$2&amp;"" and Col1 &lt;= ""&amp;$B$3&amp;"" label sum(Col2) ''"",0),1,1),0)"),0)</f>
        <v>0</v>
      </c>
      <c r="F8" s="28">
        <f ca="1">IFERROR(__xludf.DUMMYFUNCTION("ABS(IFERROR(INDEX(QUERY({IFERROR('EQV OUT'!C2:C1000*1,DATEVALUE('EQV OUT'!C2:C1000)),IF('EQV OUT'!G2:G1000="""",0,'EQV OUT'!G2:G1000)},""select sum(Col2) where Col1 &gt;= ""&amp;$B$2&amp;"" and Col1 &lt;= ""&amp;$B$3&amp;"" label sum(Col2) ''"",0),1,1),0))"),135.859999999999)</f>
        <v>135.85999999999899</v>
      </c>
      <c r="G8" s="32">
        <f ca="1">IFERROR(__xludf.DUMMYFUNCTION("IF(IFERROR(INDEX(QUERY({IFERROR('EQV IN'!C2:C1000*1,DATEVALUE('EQV IN'!C2:C1000)),'EQV IN'!E2:E1000},""select count(Col2) where Col1 &gt;= ""&amp;$B$2&amp;"" and Col1 &lt;= ""&amp;$B$3&amp;"" label count(Col2) ''"",0),1,1),0)=0,0,IFERROR(INDEX(QUERY({IFERROR('EQV IN'!C2:C1000*"&amp;"1,DATEVALUE('EQV IN'!C2:C1000)),IF('EQV IN'!G2:G1000="""","""",'EQV IN'!G2:G1000)},""select count(Col2) where Col1 &gt;= ""&amp;$B$2&amp;"" and Col1 &lt;= ""&amp;$B$3&amp;"" label count(Col2) ''"",0),1,1),0)/IFERROR(INDEX(QUERY({IFERROR('EQV IN'!C2:C1000*1,DATEVALUE('EQV IN'!C"&amp;"2:C1000)),'EQV IN'!E2:E1000},""select count(Col2) where Col1 &gt;= ""&amp;$B$2&amp;"" and Col1 &lt;= ""&amp;$B$3&amp;"" label count(Col2) ''"",0),1,1),0))"),0)</f>
        <v>0</v>
      </c>
      <c r="H8" s="32">
        <f ca="1">IFERROR(__xludf.DUMMYFUNCTION("IF(IFERROR(INDEX(QUERY({IFERROR('EQV OUT'!C2:C1000*1,DATEVALUE('EQV OUT'!C2:C1000)),'EQV OUT'!E2:E1000},""select count(Col2) where Col1 &gt;= ""&amp;$B$2&amp;"" and Col1 &lt;= ""&amp;$B$3&amp;"" label count(Col2) ''"",0),1,1),0)=0,0,IFERROR(INDEX(QUERY({IFERROR('EQV OUT'!C2:C1"&amp;"000*1,DATEVALUE('EQV OUT'!C2:C1000)),IF('EQV OUT'!G2:G1000="""","""",'EQV OUT'!G2:G1000)},""select count(Col2) where Col1 &gt;= ""&amp;$B$2&amp;"" and Col1 &lt;= ""&amp;$B$3&amp;"" label count(Col2) ''"",0),1,1),0)/IFERROR(INDEX(QUERY({IFERROR('EQV OUT'!C2:C1000*1,DATEVALUE('E"&amp;"QV OUT'!C2:C1000)),'EQV OUT'!E2:E1000},""select count(Col2) where Col1 &gt;= ""&amp;$B$2&amp;"" and Col1 &lt;= ""&amp;$B$3&amp;"" label count(Col2) ''"",0),1,1),0))"),1)</f>
        <v>1</v>
      </c>
      <c r="J8" s="29"/>
      <c r="K8" s="27"/>
      <c r="L8" s="30"/>
      <c r="M8" s="30"/>
      <c r="N8" s="24"/>
      <c r="P8" s="29"/>
      <c r="Q8" s="27"/>
      <c r="R8" s="30"/>
      <c r="S8" s="30"/>
      <c r="T8" s="28"/>
      <c r="V8" s="29"/>
      <c r="W8" s="27"/>
      <c r="X8" s="30"/>
      <c r="Y8" s="30"/>
      <c r="Z8" s="24"/>
      <c r="AB8" s="29"/>
      <c r="AC8" s="30"/>
      <c r="AD8" s="30"/>
      <c r="AE8" s="30"/>
    </row>
    <row r="9" spans="1:31" x14ac:dyDescent="0.25">
      <c r="A9" s="22" t="s">
        <v>467</v>
      </c>
      <c r="B9" s="28">
        <f ca="1">IFERROR(__xludf.DUMMYFUNCTION("IFERROR(INDEX(QUERY({IFERROR('MISC PAYMENT IN'!C2:C1000*1,DATEVALUE('MISC PAYMENT IN'!C2:C1000)),'MISC PAYMENT IN'!E2:E1000},""select sum(Col2) where Col1 &gt;= ""&amp;$B$2&amp;"" and Col1 &lt;= ""&amp;$B$3&amp;"" label sum(Col2) ''"",0),1,1),0)"),25203.41)</f>
        <v>25203.41</v>
      </c>
      <c r="C9" s="28">
        <f ca="1">IFERROR(__xludf.DUMMYFUNCTION("ABS(IFERROR(INDEX(QUERY({IFERROR('MISC PAYMENT OUT'!C2:C1000*1,DATEVALUE('MISC PAYMENT OUT'!C2:C1000)),'MISC PAYMENT OUT'!E2:E1000},""select sum(Col2) where Col1 &gt;= ""&amp;$B$2&amp;"" and Col1 &lt;= ""&amp;$B$3&amp;"" label sum(Col2) ''"",0),1,1),0))"),14338.6)</f>
        <v>14338.6</v>
      </c>
      <c r="D9" s="28">
        <f t="shared" ca="1" si="0"/>
        <v>10864.81</v>
      </c>
      <c r="E9" s="28" t="str">
        <f ca="1">IFERROR(__xludf.DUMMYFUNCTION("IFERROR(INDEX(QUERY({IFERROR('MISC PAYMENT IN'!C2:C1000*1,DATEVALUE('MISC PAYMENT IN'!C2:C1000)),IF('MISC PAYMENT IN'!G2:G1000="""",0,'MISC PAYMENT IN'!G2:G1000)},""select sum(Col2) where Col1 &gt;= ""&amp;$B$2&amp;"" and Col1 &lt;= ""&amp;$B$3&amp;"" label sum(Col2) ''"",0),1"&amp;",1),0)"),"")</f>
        <v/>
      </c>
      <c r="F9" s="28">
        <f ca="1">IFERROR(__xludf.DUMMYFUNCTION("ABS(IFERROR(INDEX(QUERY({IFERROR('MISC PAYMENT OUT'!C2:C1000*1,DATEVALUE('MISC PAYMENT OUT'!C2:C1000)),IF('MISC PAYMENT OUT'!G2:G1000="""",0,'MISC PAYMENT OUT'!G2:G1000)},""select sum(Col2) where Col1 &gt;= ""&amp;$B$2&amp;"" and Col1 &lt;= ""&amp;$B$3&amp;"" label sum(Col2) '"&amp;"'"",0),1,1),0))"),0)</f>
        <v>0</v>
      </c>
      <c r="G9" s="32">
        <f ca="1">IFERROR(__xludf.DUMMYFUNCTION("IF(IFERROR(INDEX(QUERY({IFERROR('MISC PAYMENT IN'!C2:C1000*1,DATEVALUE('MISC PAYMENT IN'!C2:C1000)),'MISC PAYMENT IN'!E2:E1000},""select count(Col2) where Col1 &gt;= ""&amp;$B$2&amp;"" and Col1 &lt;= ""&amp;$B$3&amp;"" label count(Col2) ''"",0),1,1),0)=0,0,IFERROR(INDEX(QUERY("&amp;"{IFERROR('MISC PAYMENT IN'!C2:C1000*1,DATEVALUE('MISC PAYMENT IN'!C2:C1000)),IF('MISC PAYMENT IN'!G2:G1000="""","""",'MISC PAYMENT IN'!G2:G1000)},""select count(Col2) where Col1 &gt;= ""&amp;$B$2&amp;"" and Col1 &lt;= ""&amp;$B$3&amp;"" label count(Col2) ''"",0),1,1),0)/IFERRO"&amp;"R(INDEX(QUERY({IFERROR('MISC PAYMENT IN'!C2:C1000*1,DATEVALUE('MISC PAYMENT IN'!C2:C1000)),'MISC PAYMENT IN'!E2:E1000},""select count(Col2) where Col1 &gt;= ""&amp;$B$2&amp;"" and Col1 &lt;= ""&amp;$B$3&amp;"" label count(Col2) ''"",0),1,1),0))"),1)</f>
        <v>1</v>
      </c>
      <c r="H9" s="32">
        <f ca="1">IFERROR(__xludf.DUMMYFUNCTION("IF(IFERROR(INDEX(QUERY({IFERROR('MISC PAYMENT OUT'!C2:C1000*1,DATEVALUE('MISC PAYMENT OUT'!C2:C1000)),'MISC PAYMENT OUT'!E2:E1000},""select count(Col2) where Col1 &gt;= ""&amp;$B$2&amp;"" and Col1 &lt;= ""&amp;$B$3&amp;"" label count(Col2) ''"",0),1,1),0)=0,0,IFERROR(INDEX(QUE"&amp;"RY({IFERROR('MISC PAYMENT OUT'!C2:C1000*1,DATEVALUE('MISC PAYMENT OUT'!C2:C1000)),IF('MISC PAYMENT OUT'!G2:G1000="""","""",'MISC PAYMENT OUT'!G2:G1000)},""select count(Col2) where Col1 &gt;= ""&amp;$B$2&amp;"" and Col1 &lt;= ""&amp;$B$3&amp;"" label count(Col2) ''"",0),1,1),0)"&amp;"/IFERROR(INDEX(QUERY({IFERROR('MISC PAYMENT OUT'!C2:C1000*1,DATEVALUE('MISC PAYMENT OUT'!C2:C1000)),'MISC PAYMENT OUT'!E2:E1000},""select count(Col2) where Col1 &gt;= ""&amp;$B$2&amp;"" and Col1 &lt;= ""&amp;$B$3&amp;"" label count(Col2) ''"",0),1,1),0))"),0.625)</f>
        <v>0.625</v>
      </c>
      <c r="J9" s="29"/>
      <c r="K9" s="27"/>
      <c r="L9" s="30"/>
      <c r="M9" s="30"/>
      <c r="N9" s="24"/>
      <c r="P9" s="29"/>
      <c r="Q9" s="27"/>
      <c r="R9" s="30"/>
      <c r="S9" s="30"/>
      <c r="T9" s="28"/>
      <c r="V9" s="29"/>
      <c r="W9" s="27"/>
      <c r="X9" s="30"/>
      <c r="Y9" s="30"/>
      <c r="Z9" s="24"/>
      <c r="AB9" s="29"/>
      <c r="AC9" s="30"/>
      <c r="AD9" s="30"/>
      <c r="AE9" s="30"/>
    </row>
    <row r="10" spans="1:31" x14ac:dyDescent="0.25">
      <c r="A10" s="22" t="s">
        <v>468</v>
      </c>
      <c r="B10" s="28"/>
      <c r="C10" s="28">
        <f ca="1">IFERROR(__xludf.DUMMYFUNCTION("ABS(IFERROR(INDEX(QUERY({IFERROR(EXPENSES!C2:C1000*1,DATEVALUE(EXPENSES!C2:C1000)),EXPENSES!E2:E1000},""select sum(Col2) where Col1 &gt;= ""&amp;$B$2&amp;"" and Col1 &lt;= ""&amp;$B$3&amp;"" label sum(Col2) ''"",0),1,1),0))"),38381.08)</f>
        <v>38381.08</v>
      </c>
      <c r="D10" s="28">
        <f t="shared" ref="D10:D14" ca="1" si="1">-C10</f>
        <v>-38381.08</v>
      </c>
      <c r="E10" s="28"/>
      <c r="F10" s="28">
        <f ca="1">IFERROR(__xludf.DUMMYFUNCTION("ABS(IFERROR(INDEX(QUERY({IFERROR(EXPENSES!C2:C1000*1,DATEVALUE(EXPENSES!C2:C1000)),IF(EXPENSES!G2:G1000="""",0,EXPENSES!G2:G1000)},""select sum(Col2) where Col1 &gt;= ""&amp;$B$2&amp;"" and Col1 &lt;= ""&amp;$B$3&amp;"" label sum(Col2) ''"",0),1,1),0))"),0)</f>
        <v>0</v>
      </c>
      <c r="G10" s="32"/>
      <c r="H10" s="32">
        <f ca="1">IFERROR(__xludf.DUMMYFUNCTION("IF(IFERROR(INDEX(QUERY({IFERROR(EXPENSES!C2:C1000*1,DATEVALUE(EXPENSES!C2:C1000)),EXPENSES!E2:E1000},""select count(Col2) where Col1 &gt;= ""&amp;$B$2&amp;"" and Col1 &lt;= ""&amp;$B$3&amp;"" label count(Col2) ''"",0),1,1),0)=0,0,IFERROR(INDEX(QUERY({IFERROR(EXPENSES!C2:C1000*"&amp;"1,DATEVALUE(EXPENSES!C2:C1000)),IF(EXPENSES!G2:G1000="""","""",EXPENSES!G2:G1000)},""select count(Col2) where Col1 &gt;= ""&amp;$B$2&amp;"" and Col1 &lt;= ""&amp;$B$3&amp;"" label count(Col2) ''"",0),1,1),0)/IFERROR(INDEX(QUERY({IFERROR(EXPENSES!C2:C1000*1,DATEVALUE(EXPENSES!C"&amp;"2:C1000)),EXPENSES!E2:E1000},""select count(Col2) where Col1 &gt;= ""&amp;$B$2&amp;"" and Col1 &lt;= ""&amp;$B$3&amp;"" label count(Col2) ''"",0),1,1),0))"),1)</f>
        <v>1</v>
      </c>
      <c r="J10" s="29"/>
      <c r="K10" s="27"/>
      <c r="L10" s="30"/>
      <c r="M10" s="30"/>
      <c r="N10" s="24"/>
      <c r="P10" s="29"/>
      <c r="Q10" s="27"/>
      <c r="R10" s="30"/>
      <c r="S10" s="30"/>
      <c r="T10" s="28"/>
      <c r="V10" s="29"/>
      <c r="W10" s="27"/>
      <c r="X10" s="30"/>
      <c r="Y10" s="30"/>
      <c r="Z10" s="24"/>
      <c r="AB10" s="29"/>
      <c r="AC10" s="30"/>
      <c r="AD10" s="30"/>
      <c r="AE10" s="30"/>
    </row>
    <row r="11" spans="1:31" x14ac:dyDescent="0.25">
      <c r="A11" s="22" t="s">
        <v>469</v>
      </c>
      <c r="B11" s="28"/>
      <c r="C11" s="28">
        <f ca="1">IFERROR(__xludf.DUMMYFUNCTION("ABS(IFERROR(INDEX(QUERY({IFERROR(FUEL!C2:C1000*1,DATEVALUE(FUEL!C2:C1000)),FUEL!E2:E1000},""select sum(Col2) where Col1 &gt;= ""&amp;$B$2&amp;"" and Col1 &lt;= ""&amp;$B$3&amp;"" label sum(Col2) ''"",0),1,1),0))"),168.31)</f>
        <v>168.31</v>
      </c>
      <c r="D11" s="28">
        <f t="shared" ca="1" si="1"/>
        <v>-168.31</v>
      </c>
      <c r="E11" s="28"/>
      <c r="F11" s="28">
        <f ca="1">IFERROR(__xludf.DUMMYFUNCTION("ABS(IFERROR(INDEX(QUERY({IFERROR(FUEL!C2:C1000*1,DATEVALUE(FUEL!C2:C1000)),IF(FUEL!G2:G1000="""",0,FUEL!G2:G1000)},""select sum(Col2) where Col1 &gt;= ""&amp;$B$2&amp;"" and Col1 &lt;= ""&amp;$B$3&amp;"" label sum(Col2) ''"",0),1,1),0))"),23.5499999999999)</f>
        <v>23.549999999999901</v>
      </c>
      <c r="G11" s="32"/>
      <c r="H11" s="32">
        <f ca="1">IFERROR(__xludf.DUMMYFUNCTION("IF(IFERROR(INDEX(QUERY({IFERROR(FUEL!C2:C1000*1,DATEVALUE(FUEL!C2:C1000)),FUEL!E2:E1000},""select count(Col2) where Col1 &gt;= ""&amp;$B$2&amp;"" and Col1 &lt;= ""&amp;$B$3&amp;"" label count(Col2) ''"",0),1,1),0)=0,0,IFERROR(INDEX(QUERY({IFERROR(FUEL!C2:C1000*1,DATEVALUE(FUEL"&amp;"!C2:C1000)),IF(FUEL!G2:G1000="""","""",FUEL!G2:G1000)},""select count(Col2) where Col1 &gt;= ""&amp;$B$2&amp;"" and Col1 &lt;= ""&amp;$B$3&amp;"" label count(Col2) ''"",0),1,1),0)/IFERROR(INDEX(QUERY({IFERROR(FUEL!C2:C1000*1,DATEVALUE(FUEL!C2:C1000)),FUEL!E2:E1000},""select co"&amp;"unt(Col2) where Col1 &gt;= ""&amp;$B$2&amp;"" and Col1 &lt;= ""&amp;$B$3&amp;"" label count(Col2) ''"",0),1,1),0))"),0.733333333333333)</f>
        <v>0.73333333333333295</v>
      </c>
      <c r="J11" s="29"/>
      <c r="K11" s="27"/>
      <c r="L11" s="30"/>
      <c r="M11" s="30"/>
      <c r="N11" s="24"/>
      <c r="P11" s="29"/>
      <c r="Q11" s="27"/>
      <c r="R11" s="30"/>
      <c r="S11" s="30"/>
      <c r="T11" s="28"/>
      <c r="V11" s="29"/>
      <c r="W11" s="27"/>
      <c r="X11" s="30"/>
      <c r="Y11" s="30"/>
      <c r="Z11" s="24"/>
      <c r="AB11" s="29"/>
      <c r="AC11" s="30"/>
      <c r="AD11" s="30"/>
      <c r="AE11" s="30"/>
    </row>
    <row r="12" spans="1:31" x14ac:dyDescent="0.25">
      <c r="A12" s="22" t="s">
        <v>470</v>
      </c>
      <c r="B12" s="28"/>
      <c r="C12" s="28">
        <f ca="1">IFERROR(__xludf.DUMMYFUNCTION("ABS(IFERROR(INDEX(QUERY({IFERROR('WALEED EXPENSE'!C2:C1000*1,DATEVALUE('WALEED EXPENSE'!C2:C1000)),'WALEED EXPENSE'!E2:E1000},""select sum(Col2) where Col1 &gt;= ""&amp;$B$2&amp;"" and Col1 &lt;= ""&amp;$B$3&amp;"" label sum(Col2) ''"",0),1,1),0))"),4211.97)</f>
        <v>4211.97</v>
      </c>
      <c r="D12" s="28">
        <f t="shared" ca="1" si="1"/>
        <v>-4211.97</v>
      </c>
      <c r="E12" s="28"/>
      <c r="F12" s="28">
        <f ca="1">IFERROR(__xludf.DUMMYFUNCTION("ABS(IFERROR(INDEX(QUERY({IFERROR('WALEED EXPENSE'!C2:C1000*1,DATEVALUE('WALEED EXPENSE'!C2:C1000)),IF('WALEED EXPENSE'!H2:H1000="""",0,'WALEED EXPENSE'!H2:H1000)},""select sum(Col2) where Col1 &gt;= ""&amp;$B$2&amp;"" and Col1 &lt;= ""&amp;$B$3&amp;"" label sum(Col2) ''"",0),1"&amp;",1),0))"),0)</f>
        <v>0</v>
      </c>
      <c r="G12" s="32"/>
      <c r="H12" s="32">
        <f ca="1">IFERROR(__xludf.DUMMYFUNCTION("IF(IFERROR(INDEX(QUERY({IFERROR('WALEED EXPENSE'!C2:C1000*1,DATEVALUE('WALEED EXPENSE'!C2:C1000)),'WALEED EXPENSE'!E2:E1000},""select count(Col2) where Col1 &gt;= ""&amp;$B$2&amp;"" and Col1 &lt;= ""&amp;$B$3&amp;"" label count(Col2) ''"",0),1,1),0)=0,0,IFERROR(INDEX(QUERY({IF"&amp;"ERROR('WALEED EXPENSE'!C2:C1000*1,DATEVALUE('WALEED EXPENSE'!C2:C1000)),IF('WALEED EXPENSE'!H2:H1000="""","""",'WALEED EXPENSE'!H2:H1000)},""select count(Col2) where Col1 &gt;= ""&amp;$B$2&amp;"" and Col1 &lt;= ""&amp;$B$3&amp;"" label count(Col2) ''"",0),1,1),0)/IFERROR(INDEX"&amp;"(QUERY({IFERROR('WALEED EXPENSE'!C2:C1000*1,DATEVALUE('WALEED EXPENSE'!C2:C1000)),'WALEED EXPENSE'!E2:E1000},""select count(Col2) where Col1 &gt;= ""&amp;$B$2&amp;"" and Col1 &lt;= ""&amp;$B$3&amp;"" label count(Col2) ''"",0),1,1),0))"),0.710843373493975)</f>
        <v>0.71084337349397497</v>
      </c>
      <c r="J12" s="29"/>
      <c r="K12" s="27"/>
      <c r="L12" s="30"/>
      <c r="M12" s="30"/>
      <c r="N12" s="24"/>
      <c r="P12" s="29"/>
      <c r="Q12" s="27"/>
      <c r="R12" s="30"/>
      <c r="S12" s="30"/>
      <c r="T12" s="28"/>
      <c r="V12" s="29"/>
      <c r="W12" s="27"/>
      <c r="X12" s="30"/>
      <c r="Y12" s="30"/>
      <c r="Z12" s="24"/>
      <c r="AB12" s="29"/>
      <c r="AC12" s="30"/>
      <c r="AD12" s="30"/>
      <c r="AE12" s="30"/>
    </row>
    <row r="13" spans="1:31" x14ac:dyDescent="0.25">
      <c r="A13" s="22" t="s">
        <v>471</v>
      </c>
      <c r="B13" s="28"/>
      <c r="C13" s="28">
        <f ca="1">IFERROR(__xludf.DUMMYFUNCTION("ABS(IFERROR(INDEX(QUERY({IFERROR('IMRAN EXPENSE'!C2:C1000*1,DATEVALUE('IMRAN EXPENSE'!C2:C1000)),'IMRAN EXPENSE'!E2:E1000},""select sum(Col2) where Col1 &gt;= ""&amp;$B$2&amp;"" and Col1 &lt;= ""&amp;$B$3&amp;"" label sum(Col2) ''"",0),1,1),0))"),15586.05)</f>
        <v>15586.05</v>
      </c>
      <c r="D13" s="28">
        <f t="shared" ca="1" si="1"/>
        <v>-15586.05</v>
      </c>
      <c r="E13" s="28"/>
      <c r="F13" s="28">
        <f ca="1">IFERROR(__xludf.DUMMYFUNCTION("ABS(IFERROR(INDEX(QUERY({IFERROR('IMRAN EXPENSE'!C2:C1000*1,DATEVALUE('IMRAN EXPENSE'!C2:C1000)),IF('IMRAN EXPENSE'!H2:H1000="""",0,'IMRAN EXPENSE'!H2:H1000)},""select sum(Col2) where Col1 &gt;= ""&amp;$B$2&amp;"" and Col1 &lt;= ""&amp;$B$3&amp;"" label sum(Col2) ''"",0),1,1),"&amp;"0))"),0)</f>
        <v>0</v>
      </c>
      <c r="G13" s="32"/>
      <c r="H13" s="32">
        <f ca="1">IFERROR(__xludf.DUMMYFUNCTION("IF(IFERROR(INDEX(QUERY({IFERROR('IMRAN EXPENSE'!C2:C1000*1,DATEVALUE('IMRAN EXPENSE'!C2:C1000)),'IMRAN EXPENSE'!E2:E1000},""select count(Col2) where Col1 &gt;= ""&amp;$B$2&amp;"" and Col1 &lt;= ""&amp;$B$3&amp;"" label count(Col2) ''"",0),1,1),0)=0,0,IFERROR(INDEX(QUERY({IFERR"&amp;"OR('IMRAN EXPENSE'!C2:C1000*1,DATEVALUE('IMRAN EXPENSE'!C2:C1000)),IF('IMRAN EXPENSE'!H2:H1000="""","""",'IMRAN EXPENSE'!H2:H1000)},""select count(Col2) where Col1 &gt;= ""&amp;$B$2&amp;"" and Col1 &lt;= ""&amp;$B$3&amp;"" label count(Col2) ''"",0),1,1),0)/IFERROR(INDEX(QUERY("&amp;"{IFERROR('IMRAN EXPENSE'!C2:C1000*1,DATEVALUE('IMRAN EXPENSE'!C2:C1000)),'IMRAN EXPENSE'!E2:E1000},""select count(Col2) where Col1 &gt;= ""&amp;$B$2&amp;"" and Col1 &lt;= ""&amp;$B$3&amp;"" label count(Col2) ''"",0),1,1),0))"),0)</f>
        <v>0</v>
      </c>
      <c r="J13" s="29"/>
      <c r="K13" s="27"/>
      <c r="L13" s="30"/>
      <c r="M13" s="30"/>
      <c r="N13" s="24"/>
      <c r="P13" s="29"/>
      <c r="Q13" s="27"/>
      <c r="R13" s="30"/>
      <c r="S13" s="30"/>
      <c r="T13" s="28"/>
      <c r="V13" s="29"/>
      <c r="W13" s="27"/>
      <c r="X13" s="30"/>
      <c r="Y13" s="30"/>
      <c r="Z13" s="24"/>
      <c r="AB13" s="29"/>
      <c r="AC13" s="30"/>
      <c r="AD13" s="30"/>
      <c r="AE13" s="30"/>
    </row>
    <row r="14" spans="1:31" x14ac:dyDescent="0.25">
      <c r="A14" s="22" t="s">
        <v>472</v>
      </c>
      <c r="B14" s="28"/>
      <c r="C14" s="28">
        <f ca="1">IFERROR(__xludf.DUMMYFUNCTION("ABS(IFERROR(INDEX(QUERY({IFERROR('WAYZ MOTORS'!C2:C1000*1,DATEVALUE('WAYZ MOTORS'!C2:C1000)),'WAYZ MOTORS'!E2:E1000},""select sum(Col2) where Col1 &gt;= ""&amp;$B$2&amp;"" and Col1 &lt;= ""&amp;$B$3&amp;"" label sum(Col2) ''"",0),1,1),0))"),1873.8)</f>
        <v>1873.8</v>
      </c>
      <c r="D14" s="28">
        <f t="shared" ca="1" si="1"/>
        <v>-1873.8</v>
      </c>
      <c r="E14" s="28"/>
      <c r="F14" s="28">
        <f ca="1">IFERROR(__xludf.DUMMYFUNCTION("ABS(IFERROR(INDEX(QUERY({IFERROR('WAYZ MOTORS'!C2:C1000*1,DATEVALUE('WAYZ MOTORS'!C2:C1000)),IF('WAYZ MOTORS'!G2:G1000="""",0,'WAYZ MOTORS'!G2:G1000)},""select sum(Col2) where Col1 &gt;= ""&amp;$B$2&amp;"" and Col1 &lt;= ""&amp;$B$3&amp;"" label sum(Col2) ''"",0),1,1),0))"),0)</f>
        <v>0</v>
      </c>
      <c r="G14" s="32"/>
      <c r="H14" s="32">
        <f ca="1">IFERROR(__xludf.DUMMYFUNCTION("IF(IFERROR(INDEX(QUERY({IFERROR('WAYZ MOTORS'!C2:C1000*1,DATEVALUE('WAYZ MOTORS'!C2:C1000)),'WAYZ MOTORS'!E2:E1000},""select count(Col2) where Col1 &gt;= ""&amp;$B$2&amp;"" and Col1 &lt;= ""&amp;$B$3&amp;"" label count(Col2) ''"",0),1,1),0)=0,0,IFERROR(INDEX(QUERY({IFERROR('WA"&amp;"YZ MOTORS'!C2:C1000*1,DATEVALUE('WAYZ MOTORS'!C2:C1000)),IF('WAYZ MOTORS'!G2:G1000="""","""",'WAYZ MOTORS'!G2:G1000)},""select count(Col2) where Col1 &gt;= ""&amp;$B$2&amp;"" and Col1 &lt;= ""&amp;$B$3&amp;"" label count(Col2) ''"",0),1,1),0)/IFERROR(INDEX(QUERY({IFERROR('WAYZ"&amp;" MOTORS'!C2:C1000*1,DATEVALUE('WAYZ MOTORS'!C2:C1000)),'WAYZ MOTORS'!E2:E1000},""select count(Col2) where Col1 &gt;= ""&amp;$B$2&amp;"" and Col1 &lt;= ""&amp;$B$3&amp;"" label count(Col2) ''"",0),1,1),0))"),1)</f>
        <v>1</v>
      </c>
      <c r="J14" s="29"/>
      <c r="K14" s="27"/>
      <c r="L14" s="30"/>
      <c r="M14" s="30"/>
      <c r="N14" s="24"/>
      <c r="P14" s="29"/>
      <c r="Q14" s="27"/>
      <c r="R14" s="30"/>
      <c r="S14" s="30"/>
      <c r="T14" s="28"/>
      <c r="V14" s="29"/>
      <c r="W14" s="27"/>
      <c r="X14" s="30"/>
      <c r="Y14" s="30"/>
      <c r="Z14" s="24"/>
      <c r="AB14" s="29"/>
      <c r="AC14" s="30"/>
      <c r="AD14" s="30"/>
      <c r="AE14" s="30"/>
    </row>
    <row r="15" spans="1:31" x14ac:dyDescent="0.25">
      <c r="A15" s="22" t="s">
        <v>473</v>
      </c>
      <c r="B15" s="28"/>
      <c r="C15" s="28"/>
      <c r="D15" s="28">
        <f ca="1">D6</f>
        <v>63606.659999999989</v>
      </c>
      <c r="E15" s="28"/>
      <c r="F15" s="28"/>
      <c r="G15" s="32"/>
      <c r="H15" s="32"/>
      <c r="J15" s="29"/>
      <c r="K15" s="27"/>
      <c r="L15" s="30"/>
      <c r="M15" s="30"/>
      <c r="N15" s="24"/>
      <c r="P15" s="29"/>
      <c r="Q15" s="27"/>
      <c r="R15" s="30"/>
      <c r="S15" s="30"/>
      <c r="T15" s="28"/>
      <c r="V15" s="29"/>
      <c r="W15" s="27"/>
      <c r="X15" s="30"/>
      <c r="Y15" s="30"/>
      <c r="Z15" s="24"/>
      <c r="AB15" s="29"/>
      <c r="AC15" s="30"/>
      <c r="AD15" s="30"/>
      <c r="AE15" s="30"/>
    </row>
    <row r="16" spans="1:31" x14ac:dyDescent="0.25">
      <c r="A16" s="23" t="s">
        <v>474</v>
      </c>
      <c r="B16" s="28"/>
      <c r="C16" s="28"/>
      <c r="D16" s="31">
        <f ca="1">SUM(D6,D7,D8,D9,D10,D11)</f>
        <v>36943.609999999986</v>
      </c>
      <c r="E16" s="31">
        <f t="shared" ref="E16:F16" ca="1" si="2">SUM(E6:E14)</f>
        <v>0</v>
      </c>
      <c r="F16" s="31">
        <f t="shared" ca="1" si="2"/>
        <v>159.40999999999889</v>
      </c>
      <c r="G16" s="33" t="s">
        <v>3882</v>
      </c>
      <c r="H16" s="33" t="s">
        <v>3882</v>
      </c>
      <c r="J16" s="29"/>
      <c r="K16" s="27"/>
      <c r="L16" s="30"/>
      <c r="M16" s="30"/>
      <c r="N16" s="24"/>
      <c r="P16" s="29"/>
      <c r="Q16" s="27"/>
      <c r="R16" s="30"/>
      <c r="S16" s="30"/>
      <c r="T16" s="28"/>
      <c r="V16" s="29"/>
      <c r="W16" s="27"/>
      <c r="X16" s="30"/>
      <c r="Y16" s="30"/>
      <c r="Z16" s="24"/>
      <c r="AB16" s="29"/>
      <c r="AC16" s="30"/>
      <c r="AD16" s="30"/>
      <c r="AE16" s="30"/>
    </row>
    <row r="17" spans="6:31" x14ac:dyDescent="0.25">
      <c r="F17" s="24"/>
      <c r="H17" s="28"/>
      <c r="J17" s="29"/>
      <c r="K17" s="27"/>
      <c r="L17" s="30"/>
      <c r="M17" s="30"/>
      <c r="N17" s="24"/>
      <c r="P17" s="29"/>
      <c r="Q17" s="27"/>
      <c r="R17" s="30"/>
      <c r="S17" s="30"/>
      <c r="T17" s="28"/>
      <c r="V17" s="29"/>
      <c r="W17" s="27"/>
      <c r="X17" s="30"/>
      <c r="Y17" s="30"/>
      <c r="Z17" s="24"/>
      <c r="AB17" s="29"/>
      <c r="AC17" s="30"/>
      <c r="AD17" s="30"/>
      <c r="AE17" s="30"/>
    </row>
    <row r="18" spans="6:31" x14ac:dyDescent="0.25">
      <c r="F18" s="24"/>
      <c r="H18" s="28"/>
      <c r="J18" s="29"/>
      <c r="K18" s="27"/>
      <c r="L18" s="30"/>
      <c r="M18" s="30"/>
      <c r="N18" s="24"/>
      <c r="P18" s="29"/>
      <c r="Q18" s="27"/>
      <c r="R18" s="30"/>
      <c r="S18" s="30"/>
      <c r="T18" s="28"/>
      <c r="V18" s="29"/>
      <c r="W18" s="27"/>
      <c r="X18" s="30"/>
      <c r="Y18" s="30"/>
      <c r="Z18" s="24"/>
      <c r="AB18" s="29"/>
      <c r="AC18" s="30"/>
      <c r="AD18" s="30"/>
      <c r="AE18" s="30"/>
    </row>
    <row r="19" spans="6:31" x14ac:dyDescent="0.25">
      <c r="F19" s="24"/>
      <c r="H19" s="28"/>
      <c r="J19" s="29"/>
      <c r="K19" s="27"/>
      <c r="L19" s="30"/>
      <c r="M19" s="30"/>
      <c r="N19" s="24"/>
      <c r="P19" s="29"/>
      <c r="Q19" s="27"/>
      <c r="R19" s="30"/>
      <c r="S19" s="30"/>
      <c r="T19" s="28"/>
      <c r="V19" s="29"/>
      <c r="W19" s="27"/>
      <c r="X19" s="30"/>
      <c r="Y19" s="30"/>
      <c r="Z19" s="24"/>
      <c r="AB19" s="29"/>
      <c r="AC19" s="30"/>
      <c r="AD19" s="30"/>
      <c r="AE19" s="30"/>
    </row>
    <row r="20" spans="6:31" x14ac:dyDescent="0.25">
      <c r="F20" s="24"/>
      <c r="H20" s="28"/>
      <c r="J20" s="29"/>
      <c r="K20" s="27"/>
      <c r="L20" s="30"/>
      <c r="M20" s="30"/>
      <c r="N20" s="24"/>
      <c r="P20" s="29"/>
      <c r="Q20" s="27"/>
      <c r="R20" s="30"/>
      <c r="S20" s="30"/>
      <c r="T20" s="28"/>
      <c r="V20" s="29"/>
      <c r="W20" s="27"/>
      <c r="X20" s="30"/>
      <c r="Y20" s="30"/>
      <c r="Z20" s="24"/>
      <c r="AB20" s="29"/>
      <c r="AC20" s="30"/>
      <c r="AD20" s="30"/>
      <c r="AE20" s="30"/>
    </row>
    <row r="21" spans="6:31" x14ac:dyDescent="0.25">
      <c r="F21" s="24"/>
      <c r="H21" s="28"/>
      <c r="J21" s="29"/>
      <c r="K21" s="27"/>
      <c r="L21" s="30"/>
      <c r="M21" s="30"/>
      <c r="N21" s="24"/>
      <c r="P21" s="29"/>
      <c r="Q21" s="27"/>
      <c r="R21" s="30"/>
      <c r="S21" s="30"/>
      <c r="T21" s="28"/>
      <c r="V21" s="29"/>
      <c r="W21" s="27"/>
      <c r="X21" s="30"/>
      <c r="Y21" s="30"/>
      <c r="Z21" s="24"/>
      <c r="AB21" s="29"/>
      <c r="AC21" s="30"/>
      <c r="AD21" s="30"/>
      <c r="AE21" s="30"/>
    </row>
    <row r="22" spans="6:31" x14ac:dyDescent="0.25">
      <c r="F22" s="24"/>
      <c r="H22" s="28"/>
      <c r="J22" s="29"/>
      <c r="K22" s="27"/>
      <c r="L22" s="30"/>
      <c r="M22" s="30"/>
      <c r="N22" s="24"/>
      <c r="P22" s="29"/>
      <c r="Q22" s="27"/>
      <c r="R22" s="30"/>
      <c r="S22" s="30"/>
      <c r="T22" s="28"/>
      <c r="V22" s="29"/>
      <c r="W22" s="27"/>
      <c r="X22" s="30"/>
      <c r="Y22" s="30"/>
      <c r="Z22" s="24"/>
      <c r="AB22" s="29"/>
      <c r="AC22" s="30"/>
      <c r="AD22" s="30"/>
      <c r="AE22" s="30"/>
    </row>
    <row r="23" spans="6:31" x14ac:dyDescent="0.25">
      <c r="F23" s="24"/>
      <c r="H23" s="28"/>
      <c r="J23" s="29"/>
      <c r="K23" s="27"/>
      <c r="L23" s="30"/>
      <c r="M23" s="30"/>
      <c r="N23" s="24"/>
      <c r="P23" s="29"/>
      <c r="Q23" s="27"/>
      <c r="R23" s="30"/>
      <c r="S23" s="30"/>
      <c r="T23" s="28"/>
      <c r="V23" s="29"/>
      <c r="W23" s="27"/>
      <c r="X23" s="30"/>
      <c r="Y23" s="30"/>
      <c r="Z23" s="24"/>
      <c r="AB23" s="29"/>
      <c r="AC23" s="30"/>
      <c r="AD23" s="30"/>
      <c r="AE23" s="30"/>
    </row>
    <row r="24" spans="6:31" x14ac:dyDescent="0.25">
      <c r="F24" s="24"/>
      <c r="H24" s="28"/>
      <c r="J24" s="29"/>
      <c r="K24" s="27"/>
      <c r="L24" s="30"/>
      <c r="M24" s="30"/>
      <c r="N24" s="24"/>
      <c r="P24" s="29"/>
      <c r="Q24" s="27"/>
      <c r="R24" s="30"/>
      <c r="S24" s="30"/>
      <c r="T24" s="28"/>
      <c r="V24" s="29"/>
      <c r="W24" s="27"/>
      <c r="X24" s="30"/>
      <c r="Y24" s="30"/>
      <c r="Z24" s="24"/>
      <c r="AB24" s="29"/>
      <c r="AC24" s="30"/>
      <c r="AD24" s="30"/>
      <c r="AE24" s="30"/>
    </row>
    <row r="25" spans="6:31" x14ac:dyDescent="0.25">
      <c r="F25" s="24"/>
      <c r="H25" s="28"/>
      <c r="J25" s="29"/>
      <c r="K25" s="27"/>
      <c r="L25" s="30"/>
      <c r="M25" s="30"/>
      <c r="N25" s="24"/>
      <c r="P25" s="29"/>
      <c r="Q25" s="27"/>
      <c r="R25" s="30"/>
      <c r="S25" s="30"/>
      <c r="T25" s="28"/>
      <c r="V25" s="29"/>
      <c r="W25" s="27"/>
      <c r="X25" s="30"/>
      <c r="Y25" s="30"/>
      <c r="Z25" s="24"/>
      <c r="AB25" s="29"/>
      <c r="AC25" s="30"/>
      <c r="AD25" s="30"/>
      <c r="AE25" s="30"/>
    </row>
    <row r="26" spans="6:31" x14ac:dyDescent="0.25">
      <c r="F26" s="24"/>
      <c r="H26" s="28"/>
      <c r="J26" s="29"/>
      <c r="K26" s="27"/>
      <c r="L26" s="30"/>
      <c r="M26" s="30"/>
      <c r="N26" s="24"/>
      <c r="P26" s="29"/>
      <c r="Q26" s="27"/>
      <c r="R26" s="30"/>
      <c r="S26" s="30"/>
      <c r="T26" s="28"/>
      <c r="V26" s="29"/>
      <c r="W26" s="27"/>
      <c r="X26" s="30"/>
      <c r="Y26" s="30"/>
      <c r="Z26" s="24"/>
      <c r="AB26" s="29"/>
      <c r="AC26" s="30"/>
      <c r="AD26" s="30"/>
      <c r="AE26" s="30"/>
    </row>
    <row r="27" spans="6:31" x14ac:dyDescent="0.25">
      <c r="F27" s="24"/>
      <c r="H27" s="28"/>
      <c r="J27" s="29"/>
      <c r="K27" s="27"/>
      <c r="L27" s="30"/>
      <c r="M27" s="30"/>
      <c r="N27" s="24"/>
      <c r="P27" s="29"/>
      <c r="Q27" s="27"/>
      <c r="R27" s="30"/>
      <c r="S27" s="30"/>
      <c r="T27" s="28"/>
      <c r="V27" s="29"/>
      <c r="W27" s="27"/>
      <c r="X27" s="30"/>
      <c r="Y27" s="30"/>
      <c r="Z27" s="24"/>
      <c r="AB27" s="29"/>
      <c r="AC27" s="30"/>
      <c r="AD27" s="30"/>
      <c r="AE27" s="30"/>
    </row>
    <row r="28" spans="6:31" x14ac:dyDescent="0.25">
      <c r="F28" s="24"/>
      <c r="H28" s="28"/>
      <c r="J28" s="29"/>
      <c r="K28" s="27"/>
      <c r="L28" s="30"/>
      <c r="M28" s="30"/>
      <c r="N28" s="24"/>
      <c r="P28" s="29"/>
      <c r="Q28" s="27"/>
      <c r="R28" s="30"/>
      <c r="S28" s="30"/>
      <c r="T28" s="28"/>
      <c r="V28" s="29"/>
      <c r="W28" s="27"/>
      <c r="X28" s="30"/>
      <c r="Y28" s="30"/>
      <c r="Z28" s="24"/>
      <c r="AB28" s="29"/>
      <c r="AC28" s="30"/>
      <c r="AD28" s="30"/>
      <c r="AE28" s="30"/>
    </row>
    <row r="29" spans="6:31" x14ac:dyDescent="0.25">
      <c r="F29" s="24"/>
      <c r="H29" s="28"/>
      <c r="J29" s="29"/>
      <c r="K29" s="27"/>
      <c r="L29" s="30"/>
      <c r="M29" s="30"/>
      <c r="N29" s="24"/>
      <c r="P29" s="29"/>
      <c r="Q29" s="27"/>
      <c r="R29" s="30"/>
      <c r="S29" s="30"/>
      <c r="T29" s="28"/>
      <c r="V29" s="29"/>
      <c r="W29" s="27"/>
      <c r="X29" s="30"/>
      <c r="Y29" s="30"/>
      <c r="Z29" s="24"/>
      <c r="AB29" s="29"/>
      <c r="AC29" s="30"/>
      <c r="AD29" s="30"/>
      <c r="AE29" s="30"/>
    </row>
    <row r="30" spans="6:31" ht="13.2" x14ac:dyDescent="0.25">
      <c r="F30" s="24"/>
      <c r="H30" s="28"/>
      <c r="J30" s="29"/>
      <c r="K30" s="27"/>
      <c r="L30" s="30"/>
      <c r="M30" s="30"/>
      <c r="N30" s="24"/>
      <c r="P30" s="29"/>
      <c r="Q30" s="27"/>
      <c r="R30" s="30"/>
      <c r="S30" s="30"/>
      <c r="T30" s="28"/>
      <c r="V30" s="29"/>
      <c r="W30" s="27"/>
      <c r="X30" s="30"/>
      <c r="Y30" s="30"/>
      <c r="Z30" s="24"/>
      <c r="AB30" s="29"/>
      <c r="AC30" s="30"/>
      <c r="AD30" s="30"/>
      <c r="AE30" s="30"/>
    </row>
    <row r="31" spans="6:31" ht="13.2" x14ac:dyDescent="0.25">
      <c r="F31" s="24"/>
      <c r="H31" s="28"/>
      <c r="J31" s="29"/>
      <c r="K31" s="27"/>
      <c r="L31" s="30"/>
      <c r="M31" s="30"/>
      <c r="N31" s="24"/>
      <c r="P31" s="29"/>
      <c r="Q31" s="27"/>
      <c r="R31" s="30"/>
      <c r="S31" s="30"/>
      <c r="T31" s="28"/>
      <c r="V31" s="29"/>
      <c r="W31" s="27"/>
      <c r="X31" s="30"/>
      <c r="Y31" s="30"/>
      <c r="Z31" s="24"/>
      <c r="AB31" s="29"/>
      <c r="AC31" s="30"/>
      <c r="AD31" s="30"/>
      <c r="AE31" s="30"/>
    </row>
    <row r="32" spans="6:31" ht="13.2" x14ac:dyDescent="0.25">
      <c r="F32" s="24"/>
      <c r="H32" s="28"/>
      <c r="J32" s="29"/>
      <c r="K32" s="27"/>
      <c r="L32" s="30"/>
      <c r="M32" s="30"/>
      <c r="N32" s="24"/>
      <c r="P32" s="29"/>
      <c r="Q32" s="27"/>
      <c r="R32" s="30"/>
      <c r="S32" s="30"/>
      <c r="T32" s="28"/>
      <c r="V32" s="29"/>
      <c r="W32" s="27"/>
      <c r="X32" s="30"/>
      <c r="Y32" s="30"/>
      <c r="Z32" s="24"/>
      <c r="AB32" s="29"/>
      <c r="AC32" s="30"/>
      <c r="AD32" s="30"/>
      <c r="AE32" s="30"/>
    </row>
    <row r="33" spans="6:31" ht="13.2" x14ac:dyDescent="0.25">
      <c r="F33" s="24"/>
      <c r="H33" s="28"/>
      <c r="J33" s="29"/>
      <c r="K33" s="27"/>
      <c r="L33" s="30"/>
      <c r="M33" s="30"/>
      <c r="N33" s="24"/>
      <c r="P33" s="29"/>
      <c r="Q33" s="27"/>
      <c r="R33" s="30"/>
      <c r="S33" s="30"/>
      <c r="T33" s="28"/>
      <c r="V33" s="29"/>
      <c r="W33" s="27"/>
      <c r="X33" s="30"/>
      <c r="Y33" s="30"/>
      <c r="Z33" s="24"/>
      <c r="AB33" s="29"/>
      <c r="AC33" s="30"/>
      <c r="AD33" s="30"/>
      <c r="AE33" s="30"/>
    </row>
    <row r="34" spans="6:31" ht="13.2" x14ac:dyDescent="0.25">
      <c r="F34" s="24"/>
      <c r="H34" s="28"/>
      <c r="J34" s="29"/>
      <c r="K34" s="27"/>
      <c r="L34" s="30"/>
      <c r="M34" s="30"/>
      <c r="N34" s="24"/>
      <c r="P34" s="29"/>
      <c r="Q34" s="27"/>
      <c r="R34" s="30"/>
      <c r="S34" s="30"/>
      <c r="T34" s="28"/>
      <c r="V34" s="29"/>
      <c r="W34" s="27"/>
      <c r="X34" s="30"/>
      <c r="Y34" s="30"/>
      <c r="Z34" s="24"/>
      <c r="AB34" s="29"/>
      <c r="AC34" s="30"/>
      <c r="AD34" s="30"/>
      <c r="AE34" s="30"/>
    </row>
    <row r="35" spans="6:31" ht="13.2" x14ac:dyDescent="0.25">
      <c r="F35" s="24"/>
      <c r="H35" s="28"/>
      <c r="J35" s="29"/>
      <c r="K35" s="27"/>
      <c r="L35" s="30"/>
      <c r="M35" s="30"/>
      <c r="N35" s="24"/>
      <c r="P35" s="29"/>
      <c r="Q35" s="27"/>
      <c r="R35" s="30"/>
      <c r="S35" s="30"/>
      <c r="T35" s="28"/>
      <c r="V35" s="29"/>
      <c r="W35" s="27"/>
      <c r="X35" s="30"/>
      <c r="Y35" s="30"/>
      <c r="Z35" s="24"/>
      <c r="AB35" s="29"/>
      <c r="AC35" s="30"/>
      <c r="AD35" s="30"/>
      <c r="AE35" s="30"/>
    </row>
    <row r="36" spans="6:31" ht="13.2" x14ac:dyDescent="0.25">
      <c r="F36" s="24"/>
      <c r="H36" s="28"/>
      <c r="J36" s="29"/>
      <c r="K36" s="27"/>
      <c r="L36" s="30"/>
      <c r="M36" s="30"/>
      <c r="N36" s="24"/>
      <c r="P36" s="29"/>
      <c r="Q36" s="27"/>
      <c r="R36" s="30"/>
      <c r="S36" s="30"/>
      <c r="T36" s="28"/>
      <c r="V36" s="29"/>
      <c r="W36" s="27"/>
      <c r="X36" s="30"/>
      <c r="Y36" s="30"/>
      <c r="Z36" s="24"/>
      <c r="AB36" s="29"/>
      <c r="AC36" s="30"/>
      <c r="AD36" s="30"/>
      <c r="AE36" s="30"/>
    </row>
    <row r="37" spans="6:31" ht="13.2" x14ac:dyDescent="0.25">
      <c r="F37" s="24"/>
      <c r="H37" s="28"/>
      <c r="J37" s="29"/>
      <c r="K37" s="27"/>
      <c r="L37" s="30"/>
      <c r="M37" s="30"/>
      <c r="N37" s="24"/>
      <c r="P37" s="29"/>
      <c r="Q37" s="27"/>
      <c r="R37" s="30"/>
      <c r="S37" s="30"/>
      <c r="T37" s="28"/>
      <c r="V37" s="29"/>
      <c r="W37" s="27"/>
      <c r="X37" s="30"/>
      <c r="Y37" s="30"/>
      <c r="Z37" s="24"/>
      <c r="AB37" s="29"/>
      <c r="AC37" s="30"/>
      <c r="AD37" s="30"/>
      <c r="AE37" s="30"/>
    </row>
    <row r="38" spans="6:31" ht="13.2" x14ac:dyDescent="0.25">
      <c r="F38" s="24"/>
      <c r="H38" s="28"/>
      <c r="J38" s="29"/>
      <c r="K38" s="27"/>
      <c r="L38" s="30"/>
      <c r="M38" s="30"/>
      <c r="N38" s="24"/>
      <c r="P38" s="29"/>
      <c r="Q38" s="27"/>
      <c r="R38" s="30"/>
      <c r="S38" s="30"/>
      <c r="T38" s="28"/>
      <c r="V38" s="29"/>
      <c r="W38" s="27"/>
      <c r="X38" s="30"/>
      <c r="Y38" s="30"/>
      <c r="Z38" s="24"/>
      <c r="AB38" s="29"/>
      <c r="AC38" s="30"/>
      <c r="AD38" s="30"/>
      <c r="AE38" s="30"/>
    </row>
    <row r="39" spans="6:31" ht="13.2" x14ac:dyDescent="0.25">
      <c r="F39" s="24"/>
      <c r="H39" s="28"/>
      <c r="J39" s="29"/>
      <c r="K39" s="27"/>
      <c r="L39" s="30"/>
      <c r="M39" s="30"/>
      <c r="N39" s="24"/>
      <c r="P39" s="29"/>
      <c r="Q39" s="27"/>
      <c r="R39" s="30"/>
      <c r="S39" s="30"/>
      <c r="T39" s="28"/>
      <c r="V39" s="29"/>
      <c r="W39" s="27"/>
      <c r="X39" s="30"/>
      <c r="Y39" s="30"/>
      <c r="Z39" s="24"/>
      <c r="AB39" s="29"/>
      <c r="AC39" s="30"/>
      <c r="AD39" s="30"/>
      <c r="AE39" s="30"/>
    </row>
    <row r="40" spans="6:31" ht="13.2" x14ac:dyDescent="0.25">
      <c r="F40" s="24"/>
      <c r="H40" s="28"/>
      <c r="J40" s="29"/>
      <c r="K40" s="27"/>
      <c r="L40" s="30"/>
      <c r="M40" s="30"/>
      <c r="N40" s="24"/>
      <c r="P40" s="29"/>
      <c r="Q40" s="27"/>
      <c r="R40" s="30"/>
      <c r="S40" s="30"/>
      <c r="T40" s="28"/>
      <c r="V40" s="29"/>
      <c r="W40" s="27"/>
      <c r="X40" s="30"/>
      <c r="Y40" s="30"/>
      <c r="Z40" s="24"/>
      <c r="AB40" s="29"/>
      <c r="AC40" s="30"/>
      <c r="AD40" s="30"/>
      <c r="AE40" s="30"/>
    </row>
    <row r="41" spans="6:31" ht="13.2" x14ac:dyDescent="0.25">
      <c r="F41" s="24"/>
      <c r="H41" s="28"/>
      <c r="J41" s="29"/>
      <c r="K41" s="27"/>
      <c r="L41" s="30"/>
      <c r="M41" s="30"/>
      <c r="N41" s="24"/>
      <c r="P41" s="29"/>
      <c r="Q41" s="27"/>
      <c r="R41" s="30"/>
      <c r="S41" s="30"/>
      <c r="T41" s="28"/>
      <c r="V41" s="29"/>
      <c r="W41" s="27"/>
      <c r="X41" s="30"/>
      <c r="Y41" s="30"/>
      <c r="Z41" s="24"/>
      <c r="AB41" s="29"/>
      <c r="AC41" s="30"/>
      <c r="AD41" s="30"/>
      <c r="AE41" s="30"/>
    </row>
    <row r="42" spans="6:31" ht="13.2" x14ac:dyDescent="0.25">
      <c r="F42" s="24"/>
      <c r="H42" s="28"/>
      <c r="J42" s="29"/>
      <c r="K42" s="27"/>
      <c r="L42" s="30"/>
      <c r="M42" s="30"/>
      <c r="N42" s="24"/>
      <c r="P42" s="29"/>
      <c r="Q42" s="27"/>
      <c r="R42" s="30"/>
      <c r="S42" s="30"/>
      <c r="T42" s="28"/>
      <c r="V42" s="29"/>
      <c r="W42" s="27"/>
      <c r="X42" s="30"/>
      <c r="Y42" s="30"/>
      <c r="Z42" s="24"/>
      <c r="AB42" s="29"/>
      <c r="AC42" s="30"/>
      <c r="AD42" s="30"/>
      <c r="AE42" s="30"/>
    </row>
    <row r="43" spans="6:31" ht="13.2" x14ac:dyDescent="0.25">
      <c r="F43" s="24"/>
      <c r="H43" s="28"/>
      <c r="J43" s="29"/>
      <c r="K43" s="27"/>
      <c r="L43" s="30"/>
      <c r="M43" s="30"/>
      <c r="N43" s="24"/>
      <c r="P43" s="29"/>
      <c r="Q43" s="27"/>
      <c r="R43" s="30"/>
      <c r="S43" s="30"/>
      <c r="T43" s="28"/>
      <c r="V43" s="29"/>
      <c r="W43" s="27"/>
      <c r="X43" s="30"/>
      <c r="Y43" s="30"/>
      <c r="Z43" s="24"/>
      <c r="AB43" s="29"/>
      <c r="AC43" s="30"/>
      <c r="AD43" s="30"/>
      <c r="AE43" s="30"/>
    </row>
    <row r="44" spans="6:31" ht="13.2" x14ac:dyDescent="0.25">
      <c r="F44" s="24"/>
      <c r="H44" s="28"/>
      <c r="J44" s="29"/>
      <c r="K44" s="27"/>
      <c r="L44" s="30"/>
      <c r="M44" s="30"/>
      <c r="N44" s="24"/>
      <c r="P44" s="29"/>
      <c r="Q44" s="27"/>
      <c r="R44" s="30"/>
      <c r="S44" s="30"/>
      <c r="T44" s="28"/>
      <c r="V44" s="29"/>
      <c r="W44" s="27"/>
      <c r="X44" s="30"/>
      <c r="Y44" s="30"/>
      <c r="Z44" s="24"/>
      <c r="AB44" s="29"/>
      <c r="AC44" s="30"/>
      <c r="AD44" s="30"/>
      <c r="AE44" s="30"/>
    </row>
    <row r="45" spans="6:31" ht="13.2" x14ac:dyDescent="0.25">
      <c r="F45" s="24"/>
      <c r="H45" s="28"/>
      <c r="J45" s="29"/>
      <c r="K45" s="27"/>
      <c r="L45" s="30"/>
      <c r="M45" s="30"/>
      <c r="N45" s="24"/>
      <c r="P45" s="29"/>
      <c r="Q45" s="27"/>
      <c r="R45" s="30"/>
      <c r="S45" s="30"/>
      <c r="T45" s="28"/>
      <c r="V45" s="29"/>
      <c r="W45" s="27"/>
      <c r="X45" s="30"/>
      <c r="Y45" s="30"/>
      <c r="Z45" s="24"/>
      <c r="AB45" s="29"/>
      <c r="AC45" s="30"/>
      <c r="AD45" s="30"/>
      <c r="AE45" s="30"/>
    </row>
    <row r="46" spans="6:31" ht="13.2" x14ac:dyDescent="0.25">
      <c r="F46" s="24"/>
      <c r="H46" s="28"/>
      <c r="J46" s="29"/>
      <c r="K46" s="27"/>
      <c r="L46" s="30"/>
      <c r="M46" s="30"/>
      <c r="N46" s="24"/>
      <c r="P46" s="29"/>
      <c r="Q46" s="27"/>
      <c r="R46" s="30"/>
      <c r="S46" s="30"/>
      <c r="T46" s="28"/>
      <c r="V46" s="29"/>
      <c r="W46" s="27"/>
      <c r="X46" s="30"/>
      <c r="Y46" s="30"/>
      <c r="Z46" s="24"/>
      <c r="AB46" s="29"/>
      <c r="AC46" s="30"/>
      <c r="AD46" s="30"/>
      <c r="AE46" s="30"/>
    </row>
    <row r="47" spans="6:31" ht="13.2" x14ac:dyDescent="0.25">
      <c r="F47" s="24"/>
      <c r="H47" s="28"/>
      <c r="J47" s="29"/>
      <c r="K47" s="27"/>
      <c r="L47" s="30"/>
      <c r="M47" s="30"/>
      <c r="N47" s="24"/>
      <c r="P47" s="29"/>
      <c r="Q47" s="27"/>
      <c r="R47" s="30"/>
      <c r="S47" s="30"/>
      <c r="T47" s="28"/>
      <c r="V47" s="29"/>
      <c r="W47" s="27"/>
      <c r="X47" s="30"/>
      <c r="Y47" s="30"/>
      <c r="Z47" s="24"/>
      <c r="AB47" s="29"/>
      <c r="AC47" s="30"/>
      <c r="AD47" s="30"/>
      <c r="AE47" s="30"/>
    </row>
    <row r="48" spans="6:31" ht="13.2" x14ac:dyDescent="0.25">
      <c r="F48" s="24"/>
      <c r="H48" s="28"/>
      <c r="J48" s="29"/>
      <c r="K48" s="27"/>
      <c r="L48" s="30"/>
      <c r="M48" s="30"/>
      <c r="N48" s="24"/>
      <c r="P48" s="29"/>
      <c r="Q48" s="27"/>
      <c r="R48" s="30"/>
      <c r="S48" s="30"/>
      <c r="T48" s="28"/>
      <c r="V48" s="29"/>
      <c r="W48" s="27"/>
      <c r="X48" s="30"/>
      <c r="Y48" s="30"/>
      <c r="Z48" s="24"/>
      <c r="AB48" s="29"/>
      <c r="AC48" s="30"/>
      <c r="AD48" s="30"/>
      <c r="AE48" s="30"/>
    </row>
    <row r="49" spans="6:31" ht="13.2" x14ac:dyDescent="0.25">
      <c r="F49" s="24"/>
      <c r="H49" s="28"/>
      <c r="J49" s="29"/>
      <c r="K49" s="27"/>
      <c r="L49" s="30"/>
      <c r="M49" s="30"/>
      <c r="N49" s="24"/>
      <c r="P49" s="29"/>
      <c r="Q49" s="27"/>
      <c r="R49" s="30"/>
      <c r="S49" s="30"/>
      <c r="T49" s="28"/>
      <c r="V49" s="29"/>
      <c r="W49" s="27"/>
      <c r="X49" s="30"/>
      <c r="Y49" s="30"/>
      <c r="Z49" s="24"/>
      <c r="AB49" s="29"/>
      <c r="AC49" s="30"/>
      <c r="AD49" s="30"/>
      <c r="AE49" s="30"/>
    </row>
    <row r="50" spans="6:31" ht="13.2" x14ac:dyDescent="0.25">
      <c r="F50" s="24"/>
      <c r="H50" s="28"/>
      <c r="J50" s="29"/>
      <c r="K50" s="27"/>
      <c r="L50" s="30"/>
      <c r="M50" s="30"/>
      <c r="N50" s="24"/>
      <c r="P50" s="29"/>
      <c r="Q50" s="27"/>
      <c r="R50" s="30"/>
      <c r="S50" s="30"/>
      <c r="T50" s="28"/>
      <c r="V50" s="29"/>
      <c r="W50" s="27"/>
      <c r="X50" s="30"/>
      <c r="Y50" s="30"/>
      <c r="Z50" s="24"/>
      <c r="AB50" s="29"/>
      <c r="AC50" s="30"/>
      <c r="AD50" s="30"/>
      <c r="AE50" s="30"/>
    </row>
    <row r="51" spans="6:31" ht="13.2" x14ac:dyDescent="0.25">
      <c r="F51" s="24"/>
      <c r="G51" s="22"/>
      <c r="H51" s="28"/>
      <c r="J51" s="29"/>
      <c r="K51" s="27"/>
      <c r="L51" s="30"/>
      <c r="M51" s="30"/>
      <c r="N51" s="24"/>
      <c r="P51" s="29"/>
      <c r="Q51" s="27"/>
      <c r="R51" s="30"/>
      <c r="S51" s="30"/>
      <c r="T51" s="28"/>
      <c r="V51" s="29"/>
      <c r="W51" s="27"/>
      <c r="X51" s="30"/>
      <c r="Y51" s="30"/>
      <c r="Z51" s="24"/>
      <c r="AB51" s="29"/>
      <c r="AC51" s="30"/>
      <c r="AD51" s="30"/>
      <c r="AE51" s="30"/>
    </row>
    <row r="52" spans="6:31" ht="13.2" x14ac:dyDescent="0.25">
      <c r="F52" s="24"/>
      <c r="H52" s="28"/>
      <c r="J52" s="29"/>
      <c r="K52" s="27"/>
      <c r="L52" s="30"/>
      <c r="M52" s="30"/>
      <c r="N52" s="24"/>
      <c r="P52" s="29"/>
      <c r="Q52" s="27"/>
      <c r="R52" s="30"/>
      <c r="S52" s="30"/>
      <c r="T52" s="28"/>
      <c r="V52" s="29"/>
      <c r="W52" s="27"/>
      <c r="X52" s="30"/>
      <c r="Y52" s="30"/>
      <c r="Z52" s="24"/>
      <c r="AB52" s="29"/>
      <c r="AC52" s="30"/>
      <c r="AD52" s="30"/>
      <c r="AE52" s="30"/>
    </row>
    <row r="53" spans="6:31" ht="13.2" x14ac:dyDescent="0.25">
      <c r="F53" s="24"/>
      <c r="H53" s="28"/>
      <c r="J53" s="29"/>
      <c r="K53" s="27"/>
      <c r="L53" s="30"/>
      <c r="M53" s="30"/>
      <c r="N53" s="24"/>
      <c r="P53" s="29"/>
      <c r="Q53" s="27"/>
      <c r="R53" s="30"/>
      <c r="S53" s="30"/>
      <c r="T53" s="28"/>
      <c r="V53" s="29"/>
      <c r="W53" s="27"/>
      <c r="X53" s="30"/>
      <c r="Y53" s="30"/>
      <c r="Z53" s="24"/>
      <c r="AB53" s="29"/>
      <c r="AC53" s="30"/>
      <c r="AD53" s="30"/>
      <c r="AE53" s="30"/>
    </row>
    <row r="54" spans="6:31" ht="13.2" x14ac:dyDescent="0.25">
      <c r="F54" s="24"/>
      <c r="H54" s="28"/>
      <c r="J54" s="29"/>
      <c r="K54" s="27"/>
      <c r="L54" s="30"/>
      <c r="M54" s="30"/>
      <c r="N54" s="24"/>
      <c r="P54" s="29"/>
      <c r="Q54" s="27"/>
      <c r="R54" s="30"/>
      <c r="S54" s="30"/>
      <c r="T54" s="28"/>
      <c r="V54" s="29"/>
      <c r="W54" s="27"/>
      <c r="X54" s="30"/>
      <c r="Y54" s="30"/>
      <c r="Z54" s="24"/>
      <c r="AB54" s="29"/>
      <c r="AC54" s="30"/>
      <c r="AD54" s="30"/>
      <c r="AE54" s="30"/>
    </row>
    <row r="55" spans="6:31" ht="13.2" x14ac:dyDescent="0.25">
      <c r="F55" s="24"/>
      <c r="H55" s="28"/>
      <c r="J55" s="29"/>
      <c r="K55" s="27"/>
      <c r="L55" s="30"/>
      <c r="M55" s="30"/>
      <c r="N55" s="24"/>
      <c r="P55" s="29"/>
      <c r="Q55" s="27"/>
      <c r="R55" s="30"/>
      <c r="S55" s="30"/>
      <c r="T55" s="28"/>
      <c r="V55" s="29"/>
      <c r="W55" s="27"/>
      <c r="X55" s="30"/>
      <c r="Y55" s="30"/>
      <c r="Z55" s="24"/>
      <c r="AB55" s="29"/>
      <c r="AC55" s="30"/>
      <c r="AD55" s="30"/>
      <c r="AE55" s="30"/>
    </row>
    <row r="56" spans="6:31" ht="13.2" x14ac:dyDescent="0.25">
      <c r="F56" s="24"/>
      <c r="H56" s="28"/>
      <c r="J56" s="29"/>
      <c r="K56" s="27"/>
      <c r="L56" s="30"/>
      <c r="M56" s="30"/>
      <c r="N56" s="24"/>
      <c r="P56" s="29"/>
      <c r="Q56" s="27"/>
      <c r="R56" s="30"/>
      <c r="S56" s="30"/>
      <c r="T56" s="28"/>
      <c r="V56" s="29"/>
      <c r="W56" s="27"/>
      <c r="X56" s="30"/>
      <c r="Y56" s="30"/>
      <c r="Z56" s="24"/>
      <c r="AB56" s="29"/>
      <c r="AC56" s="30"/>
      <c r="AD56" s="30"/>
      <c r="AE56" s="30"/>
    </row>
    <row r="57" spans="6:31" ht="13.2" x14ac:dyDescent="0.25">
      <c r="F57" s="24"/>
      <c r="H57" s="28"/>
      <c r="J57" s="29"/>
      <c r="K57" s="27"/>
      <c r="L57" s="30"/>
      <c r="M57" s="30"/>
      <c r="N57" s="24"/>
      <c r="P57" s="29"/>
      <c r="Q57" s="27"/>
      <c r="R57" s="30"/>
      <c r="S57" s="30"/>
      <c r="T57" s="28"/>
      <c r="V57" s="29"/>
      <c r="W57" s="27"/>
      <c r="X57" s="30"/>
      <c r="Y57" s="30"/>
      <c r="Z57" s="24"/>
      <c r="AB57" s="29"/>
      <c r="AC57" s="30"/>
      <c r="AD57" s="30"/>
      <c r="AE57" s="30"/>
    </row>
    <row r="58" spans="6:31" ht="13.2" x14ac:dyDescent="0.25">
      <c r="F58" s="24"/>
      <c r="H58" s="28"/>
      <c r="J58" s="29"/>
      <c r="K58" s="27"/>
      <c r="L58" s="30"/>
      <c r="M58" s="30"/>
      <c r="N58" s="24"/>
      <c r="P58" s="29"/>
      <c r="Q58" s="27"/>
      <c r="R58" s="30"/>
      <c r="S58" s="30"/>
      <c r="T58" s="28"/>
      <c r="V58" s="29"/>
      <c r="W58" s="27"/>
      <c r="X58" s="30"/>
      <c r="Y58" s="30"/>
      <c r="Z58" s="24"/>
      <c r="AB58" s="29"/>
      <c r="AC58" s="30"/>
      <c r="AD58" s="30"/>
      <c r="AE58" s="30"/>
    </row>
    <row r="59" spans="6:31" ht="13.2" x14ac:dyDescent="0.25">
      <c r="F59" s="24"/>
      <c r="H59" s="28"/>
      <c r="J59" s="29"/>
      <c r="K59" s="27"/>
      <c r="L59" s="30"/>
      <c r="M59" s="30"/>
      <c r="N59" s="24"/>
      <c r="P59" s="29"/>
      <c r="Q59" s="27"/>
      <c r="R59" s="30"/>
      <c r="S59" s="30"/>
      <c r="T59" s="28"/>
      <c r="V59" s="29"/>
      <c r="W59" s="27"/>
      <c r="X59" s="30"/>
      <c r="Y59" s="30"/>
      <c r="Z59" s="24"/>
      <c r="AB59" s="29"/>
      <c r="AC59" s="30"/>
      <c r="AD59" s="30"/>
      <c r="AE59" s="30"/>
    </row>
    <row r="60" spans="6:31" ht="13.2" x14ac:dyDescent="0.25">
      <c r="F60" s="24"/>
      <c r="H60" s="28"/>
      <c r="J60" s="29"/>
      <c r="K60" s="27"/>
      <c r="L60" s="30"/>
      <c r="M60" s="30"/>
      <c r="N60" s="24"/>
      <c r="P60" s="29"/>
      <c r="Q60" s="27"/>
      <c r="R60" s="30"/>
      <c r="S60" s="30"/>
      <c r="T60" s="28"/>
      <c r="V60" s="29"/>
      <c r="W60" s="27"/>
      <c r="X60" s="30"/>
      <c r="Y60" s="30"/>
      <c r="Z60" s="24"/>
      <c r="AB60" s="29"/>
      <c r="AC60" s="30"/>
      <c r="AD60" s="30"/>
      <c r="AE60" s="30"/>
    </row>
    <row r="61" spans="6:31" ht="13.2" x14ac:dyDescent="0.25">
      <c r="F61" s="24"/>
      <c r="H61" s="28"/>
      <c r="J61" s="29"/>
      <c r="K61" s="27"/>
      <c r="L61" s="30"/>
      <c r="M61" s="30"/>
      <c r="N61" s="24"/>
      <c r="P61" s="29"/>
      <c r="Q61" s="27"/>
      <c r="R61" s="30"/>
      <c r="S61" s="30"/>
      <c r="T61" s="28"/>
      <c r="V61" s="29"/>
      <c r="W61" s="27"/>
      <c r="X61" s="30"/>
      <c r="Y61" s="30"/>
      <c r="Z61" s="24"/>
      <c r="AB61" s="29"/>
      <c r="AC61" s="30"/>
      <c r="AD61" s="30"/>
      <c r="AE61" s="30"/>
    </row>
    <row r="62" spans="6:31" ht="13.2" x14ac:dyDescent="0.25">
      <c r="F62" s="24"/>
      <c r="H62" s="28"/>
      <c r="J62" s="29"/>
      <c r="K62" s="27"/>
      <c r="L62" s="30"/>
      <c r="M62" s="30"/>
      <c r="N62" s="24"/>
      <c r="P62" s="29"/>
      <c r="Q62" s="27"/>
      <c r="R62" s="30"/>
      <c r="S62" s="30"/>
      <c r="T62" s="28"/>
      <c r="V62" s="29"/>
      <c r="W62" s="27"/>
      <c r="X62" s="30"/>
      <c r="Y62" s="30"/>
      <c r="Z62" s="24"/>
      <c r="AB62" s="29"/>
      <c r="AC62" s="30"/>
      <c r="AD62" s="30"/>
      <c r="AE62" s="30"/>
    </row>
    <row r="63" spans="6:31" ht="13.2" x14ac:dyDescent="0.25">
      <c r="F63" s="24"/>
      <c r="H63" s="28"/>
      <c r="J63" s="29"/>
      <c r="K63" s="27"/>
      <c r="L63" s="30"/>
      <c r="M63" s="30"/>
      <c r="N63" s="24"/>
      <c r="P63" s="29"/>
      <c r="Q63" s="27"/>
      <c r="R63" s="30"/>
      <c r="S63" s="30"/>
      <c r="T63" s="28"/>
      <c r="V63" s="29"/>
      <c r="W63" s="27"/>
      <c r="X63" s="30"/>
      <c r="Y63" s="30"/>
      <c r="Z63" s="24"/>
      <c r="AB63" s="29"/>
      <c r="AC63" s="30"/>
      <c r="AD63" s="30"/>
      <c r="AE63" s="30"/>
    </row>
    <row r="64" spans="6:31" ht="13.2" x14ac:dyDescent="0.25">
      <c r="F64" s="24"/>
      <c r="H64" s="28"/>
      <c r="J64" s="29"/>
      <c r="K64" s="27"/>
      <c r="L64" s="30"/>
      <c r="M64" s="30"/>
      <c r="N64" s="24"/>
      <c r="P64" s="29"/>
      <c r="Q64" s="27"/>
      <c r="R64" s="30"/>
      <c r="S64" s="30"/>
      <c r="T64" s="28"/>
      <c r="V64" s="29"/>
      <c r="W64" s="27"/>
      <c r="X64" s="30"/>
      <c r="Y64" s="30"/>
      <c r="Z64" s="24"/>
      <c r="AB64" s="29"/>
      <c r="AC64" s="30"/>
      <c r="AD64" s="30"/>
      <c r="AE64" s="30"/>
    </row>
    <row r="65" spans="6:31" ht="13.2" x14ac:dyDescent="0.25">
      <c r="F65" s="24"/>
      <c r="H65" s="28"/>
      <c r="J65" s="29"/>
      <c r="K65" s="27"/>
      <c r="L65" s="30"/>
      <c r="M65" s="30"/>
      <c r="N65" s="24"/>
      <c r="P65" s="29"/>
      <c r="Q65" s="27"/>
      <c r="R65" s="30"/>
      <c r="S65" s="30"/>
      <c r="T65" s="28"/>
      <c r="V65" s="29"/>
      <c r="W65" s="27"/>
      <c r="X65" s="30"/>
      <c r="Y65" s="30"/>
      <c r="Z65" s="24"/>
      <c r="AB65" s="29"/>
      <c r="AC65" s="30"/>
      <c r="AD65" s="30"/>
      <c r="AE65" s="30"/>
    </row>
    <row r="66" spans="6:31" ht="13.2" x14ac:dyDescent="0.25">
      <c r="F66" s="24"/>
      <c r="H66" s="28"/>
      <c r="J66" s="29"/>
      <c r="K66" s="27"/>
      <c r="L66" s="30"/>
      <c r="M66" s="30"/>
      <c r="N66" s="24"/>
      <c r="P66" s="29"/>
      <c r="Q66" s="27"/>
      <c r="R66" s="30"/>
      <c r="S66" s="30"/>
      <c r="T66" s="28"/>
      <c r="V66" s="29"/>
      <c r="W66" s="27"/>
      <c r="X66" s="30"/>
      <c r="Y66" s="30"/>
      <c r="Z66" s="24"/>
      <c r="AB66" s="29"/>
      <c r="AC66" s="30"/>
      <c r="AD66" s="30"/>
      <c r="AE66" s="30"/>
    </row>
    <row r="67" spans="6:31" ht="13.2" x14ac:dyDescent="0.25">
      <c r="F67" s="24"/>
      <c r="H67" s="28"/>
      <c r="J67" s="29"/>
      <c r="K67" s="27"/>
      <c r="L67" s="30"/>
      <c r="M67" s="30"/>
      <c r="N67" s="24"/>
      <c r="P67" s="29"/>
      <c r="Q67" s="27"/>
      <c r="R67" s="30"/>
      <c r="S67" s="30"/>
      <c r="T67" s="28"/>
      <c r="V67" s="29"/>
      <c r="W67" s="27"/>
      <c r="X67" s="30"/>
      <c r="Y67" s="30"/>
      <c r="Z67" s="24"/>
      <c r="AB67" s="29"/>
      <c r="AC67" s="30"/>
      <c r="AD67" s="30"/>
      <c r="AE67" s="30"/>
    </row>
    <row r="68" spans="6:31" ht="13.2" x14ac:dyDescent="0.25">
      <c r="F68" s="24"/>
      <c r="H68" s="28"/>
      <c r="J68" s="29"/>
      <c r="K68" s="27"/>
      <c r="L68" s="30"/>
      <c r="M68" s="30"/>
      <c r="N68" s="24"/>
      <c r="P68" s="29"/>
      <c r="Q68" s="27"/>
      <c r="R68" s="30"/>
      <c r="S68" s="30"/>
      <c r="T68" s="28"/>
      <c r="V68" s="29"/>
      <c r="W68" s="27"/>
      <c r="X68" s="30"/>
      <c r="Y68" s="30"/>
      <c r="Z68" s="24"/>
      <c r="AB68" s="29"/>
      <c r="AC68" s="30"/>
      <c r="AD68" s="30"/>
      <c r="AE68" s="30"/>
    </row>
    <row r="69" spans="6:31" ht="13.2" x14ac:dyDescent="0.25">
      <c r="F69" s="24"/>
      <c r="H69" s="28"/>
      <c r="J69" s="29"/>
      <c r="K69" s="27"/>
      <c r="L69" s="30"/>
      <c r="M69" s="30"/>
      <c r="N69" s="24"/>
      <c r="P69" s="29"/>
      <c r="Q69" s="27"/>
      <c r="R69" s="30"/>
      <c r="S69" s="30"/>
      <c r="T69" s="28"/>
      <c r="V69" s="29"/>
      <c r="W69" s="27"/>
      <c r="X69" s="30"/>
      <c r="Y69" s="30"/>
      <c r="Z69" s="24"/>
      <c r="AB69" s="29"/>
      <c r="AC69" s="30"/>
      <c r="AD69" s="30"/>
      <c r="AE69" s="30"/>
    </row>
    <row r="70" spans="6:31" ht="13.2" x14ac:dyDescent="0.25">
      <c r="F70" s="24"/>
      <c r="H70" s="28"/>
      <c r="J70" s="29"/>
      <c r="K70" s="27"/>
      <c r="L70" s="30"/>
      <c r="M70" s="30"/>
      <c r="N70" s="24"/>
      <c r="P70" s="29"/>
      <c r="Q70" s="27"/>
      <c r="R70" s="30"/>
      <c r="S70" s="30"/>
      <c r="T70" s="28"/>
      <c r="V70" s="29"/>
      <c r="W70" s="27"/>
      <c r="X70" s="30"/>
      <c r="Y70" s="30"/>
      <c r="Z70" s="24"/>
      <c r="AB70" s="29"/>
      <c r="AC70" s="30"/>
      <c r="AD70" s="30"/>
      <c r="AE70" s="30"/>
    </row>
    <row r="71" spans="6:31" ht="13.2" x14ac:dyDescent="0.25">
      <c r="F71" s="24"/>
      <c r="H71" s="28"/>
      <c r="J71" s="29"/>
      <c r="K71" s="27"/>
      <c r="L71" s="30"/>
      <c r="M71" s="30"/>
      <c r="N71" s="24"/>
      <c r="P71" s="29"/>
      <c r="Q71" s="27"/>
      <c r="R71" s="30"/>
      <c r="S71" s="30"/>
      <c r="T71" s="28"/>
      <c r="V71" s="29"/>
      <c r="W71" s="27"/>
      <c r="X71" s="30"/>
      <c r="Y71" s="30"/>
      <c r="Z71" s="24"/>
      <c r="AB71" s="29"/>
      <c r="AC71" s="30"/>
      <c r="AD71" s="30"/>
      <c r="AE71" s="30"/>
    </row>
    <row r="72" spans="6:31" ht="13.2" x14ac:dyDescent="0.25">
      <c r="F72" s="24"/>
      <c r="H72" s="28"/>
      <c r="J72" s="29"/>
      <c r="K72" s="27"/>
      <c r="L72" s="30"/>
      <c r="M72" s="30"/>
      <c r="N72" s="24"/>
      <c r="P72" s="29"/>
      <c r="Q72" s="27"/>
      <c r="R72" s="30"/>
      <c r="S72" s="30"/>
      <c r="T72" s="28"/>
      <c r="V72" s="29"/>
      <c r="W72" s="27"/>
      <c r="X72" s="30"/>
      <c r="Y72" s="30"/>
      <c r="Z72" s="24"/>
      <c r="AB72" s="29"/>
      <c r="AC72" s="30"/>
      <c r="AD72" s="30"/>
      <c r="AE72" s="30"/>
    </row>
    <row r="73" spans="6:31" ht="13.2" x14ac:dyDescent="0.25">
      <c r="F73" s="24"/>
      <c r="H73" s="28"/>
      <c r="J73" s="29"/>
      <c r="K73" s="27"/>
      <c r="L73" s="30"/>
      <c r="M73" s="30"/>
      <c r="N73" s="24"/>
      <c r="P73" s="29"/>
      <c r="Q73" s="27"/>
      <c r="R73" s="30"/>
      <c r="S73" s="30"/>
      <c r="T73" s="28"/>
      <c r="V73" s="29"/>
      <c r="W73" s="27"/>
      <c r="X73" s="30"/>
      <c r="Y73" s="30"/>
      <c r="Z73" s="24"/>
      <c r="AB73" s="29"/>
      <c r="AC73" s="30"/>
      <c r="AD73" s="30"/>
      <c r="AE73" s="30"/>
    </row>
    <row r="74" spans="6:31" ht="13.2" x14ac:dyDescent="0.25">
      <c r="F74" s="24"/>
      <c r="H74" s="28"/>
      <c r="J74" s="29"/>
      <c r="K74" s="27"/>
      <c r="L74" s="30"/>
      <c r="M74" s="30"/>
      <c r="N74" s="24"/>
      <c r="P74" s="29"/>
      <c r="Q74" s="27"/>
      <c r="R74" s="30"/>
      <c r="S74" s="30"/>
      <c r="T74" s="28"/>
      <c r="V74" s="29"/>
      <c r="W74" s="27"/>
      <c r="X74" s="30"/>
      <c r="Y74" s="30"/>
      <c r="Z74" s="24"/>
      <c r="AB74" s="29"/>
      <c r="AC74" s="30"/>
      <c r="AD74" s="30"/>
      <c r="AE74" s="30"/>
    </row>
    <row r="75" spans="6:31" ht="13.2" x14ac:dyDescent="0.25">
      <c r="F75" s="24"/>
      <c r="H75" s="28"/>
      <c r="J75" s="29"/>
      <c r="K75" s="27"/>
      <c r="L75" s="30"/>
      <c r="M75" s="30"/>
      <c r="N75" s="24"/>
      <c r="P75" s="29"/>
      <c r="Q75" s="27"/>
      <c r="R75" s="30"/>
      <c r="S75" s="30"/>
      <c r="T75" s="28"/>
      <c r="V75" s="29"/>
      <c r="W75" s="27"/>
      <c r="X75" s="30"/>
      <c r="Y75" s="30"/>
      <c r="Z75" s="24"/>
      <c r="AB75" s="29"/>
      <c r="AC75" s="30"/>
      <c r="AD75" s="30"/>
      <c r="AE75" s="30"/>
    </row>
    <row r="76" spans="6:31" ht="13.2" x14ac:dyDescent="0.25">
      <c r="F76" s="24"/>
      <c r="H76" s="28"/>
      <c r="J76" s="29"/>
      <c r="K76" s="27"/>
      <c r="L76" s="30"/>
      <c r="M76" s="30"/>
      <c r="N76" s="24"/>
      <c r="P76" s="29"/>
      <c r="Q76" s="27"/>
      <c r="R76" s="30"/>
      <c r="S76" s="30"/>
      <c r="T76" s="28"/>
      <c r="V76" s="29"/>
      <c r="W76" s="27"/>
      <c r="X76" s="30"/>
      <c r="Y76" s="30"/>
      <c r="Z76" s="24"/>
      <c r="AB76" s="29"/>
      <c r="AC76" s="30"/>
      <c r="AD76" s="30"/>
      <c r="AE76" s="30"/>
    </row>
    <row r="77" spans="6:31" ht="13.2" x14ac:dyDescent="0.25">
      <c r="F77" s="24"/>
      <c r="H77" s="28"/>
      <c r="J77" s="29"/>
      <c r="K77" s="27"/>
      <c r="L77" s="30"/>
      <c r="M77" s="30"/>
      <c r="N77" s="24"/>
      <c r="P77" s="29"/>
      <c r="Q77" s="27"/>
      <c r="R77" s="30"/>
      <c r="S77" s="30"/>
      <c r="T77" s="28"/>
      <c r="V77" s="29"/>
      <c r="W77" s="27"/>
      <c r="X77" s="30"/>
      <c r="Y77" s="30"/>
      <c r="Z77" s="24"/>
      <c r="AB77" s="29"/>
      <c r="AC77" s="30"/>
      <c r="AD77" s="30"/>
      <c r="AE77" s="30"/>
    </row>
    <row r="78" spans="6:31" ht="13.2" x14ac:dyDescent="0.25">
      <c r="F78" s="24"/>
      <c r="H78" s="28"/>
      <c r="J78" s="29"/>
      <c r="K78" s="27"/>
      <c r="L78" s="30"/>
      <c r="M78" s="30"/>
      <c r="N78" s="24"/>
      <c r="P78" s="29"/>
      <c r="Q78" s="27"/>
      <c r="R78" s="30"/>
      <c r="S78" s="30"/>
      <c r="T78" s="28"/>
      <c r="V78" s="29"/>
      <c r="W78" s="27"/>
      <c r="X78" s="30"/>
      <c r="Y78" s="30"/>
      <c r="Z78" s="24"/>
      <c r="AB78" s="29"/>
      <c r="AC78" s="30"/>
      <c r="AD78" s="30"/>
      <c r="AE78" s="30"/>
    </row>
    <row r="79" spans="6:31" ht="13.2" x14ac:dyDescent="0.25">
      <c r="F79" s="24"/>
      <c r="H79" s="28"/>
      <c r="J79" s="29"/>
      <c r="K79" s="27"/>
      <c r="L79" s="30"/>
      <c r="M79" s="30"/>
      <c r="N79" s="24"/>
      <c r="P79" s="29"/>
      <c r="Q79" s="27"/>
      <c r="R79" s="30"/>
      <c r="S79" s="30"/>
      <c r="T79" s="28"/>
      <c r="V79" s="29"/>
      <c r="W79" s="27"/>
      <c r="X79" s="30"/>
      <c r="Y79" s="30"/>
      <c r="Z79" s="24"/>
      <c r="AB79" s="29"/>
      <c r="AC79" s="30"/>
      <c r="AD79" s="30"/>
      <c r="AE79" s="30"/>
    </row>
    <row r="80" spans="6:31" ht="13.2" x14ac:dyDescent="0.25">
      <c r="F80" s="24"/>
      <c r="H80" s="28"/>
      <c r="J80" s="29"/>
      <c r="K80" s="27"/>
      <c r="L80" s="30"/>
      <c r="M80" s="30"/>
      <c r="N80" s="24"/>
      <c r="P80" s="29"/>
      <c r="Q80" s="27"/>
      <c r="R80" s="30"/>
      <c r="S80" s="30"/>
      <c r="T80" s="28"/>
      <c r="V80" s="29"/>
      <c r="W80" s="27"/>
      <c r="X80" s="30"/>
      <c r="Y80" s="30"/>
      <c r="Z80" s="24"/>
      <c r="AB80" s="29"/>
      <c r="AC80" s="30"/>
      <c r="AD80" s="30"/>
      <c r="AE80" s="30"/>
    </row>
    <row r="81" spans="6:31" ht="13.2" x14ac:dyDescent="0.25">
      <c r="F81" s="24"/>
      <c r="H81" s="28"/>
      <c r="J81" s="29"/>
      <c r="K81" s="27"/>
      <c r="L81" s="30"/>
      <c r="M81" s="30"/>
      <c r="N81" s="24"/>
      <c r="P81" s="29"/>
      <c r="Q81" s="27"/>
      <c r="R81" s="30"/>
      <c r="S81" s="30"/>
      <c r="T81" s="28"/>
      <c r="V81" s="29"/>
      <c r="W81" s="27"/>
      <c r="X81" s="30"/>
      <c r="Y81" s="30"/>
      <c r="Z81" s="24"/>
      <c r="AB81" s="29"/>
      <c r="AC81" s="30"/>
      <c r="AD81" s="30"/>
      <c r="AE81" s="30"/>
    </row>
    <row r="82" spans="6:31" ht="13.2" x14ac:dyDescent="0.25">
      <c r="F82" s="24"/>
      <c r="H82" s="28"/>
      <c r="J82" s="29"/>
      <c r="K82" s="27"/>
      <c r="L82" s="30"/>
      <c r="M82" s="30"/>
      <c r="N82" s="24"/>
      <c r="P82" s="29"/>
      <c r="Q82" s="27"/>
      <c r="R82" s="30"/>
      <c r="S82" s="30"/>
      <c r="T82" s="28"/>
      <c r="V82" s="29"/>
      <c r="W82" s="27"/>
      <c r="X82" s="30"/>
      <c r="Y82" s="30"/>
      <c r="Z82" s="24"/>
      <c r="AB82" s="29"/>
      <c r="AC82" s="30"/>
      <c r="AD82" s="30"/>
      <c r="AE82" s="30"/>
    </row>
    <row r="83" spans="6:31" ht="13.2" x14ac:dyDescent="0.25">
      <c r="F83" s="24"/>
      <c r="H83" s="28"/>
      <c r="J83" s="29"/>
      <c r="K83" s="27"/>
      <c r="L83" s="30"/>
      <c r="M83" s="30"/>
      <c r="N83" s="24"/>
      <c r="P83" s="29"/>
      <c r="Q83" s="27"/>
      <c r="R83" s="30"/>
      <c r="S83" s="30"/>
      <c r="T83" s="28"/>
      <c r="V83" s="29"/>
      <c r="W83" s="27"/>
      <c r="X83" s="30"/>
      <c r="Y83" s="30"/>
      <c r="Z83" s="24"/>
      <c r="AB83" s="29"/>
      <c r="AC83" s="30"/>
      <c r="AD83" s="30"/>
      <c r="AE83" s="30"/>
    </row>
    <row r="84" spans="6:31" ht="13.2" x14ac:dyDescent="0.25">
      <c r="F84" s="24"/>
      <c r="H84" s="28"/>
    </row>
    <row r="85" spans="6:31" ht="13.2" x14ac:dyDescent="0.25">
      <c r="F85" s="24"/>
      <c r="H85" s="28"/>
    </row>
    <row r="86" spans="6:31" ht="13.2" x14ac:dyDescent="0.25">
      <c r="F86" s="24"/>
      <c r="H86" s="28"/>
    </row>
    <row r="87" spans="6:31" ht="13.2" x14ac:dyDescent="0.25">
      <c r="F87" s="24"/>
      <c r="H87" s="28"/>
    </row>
    <row r="88" spans="6:31" ht="13.2" x14ac:dyDescent="0.25">
      <c r="F88" s="24"/>
      <c r="H88" s="28"/>
    </row>
    <row r="89" spans="6:31" ht="13.2" x14ac:dyDescent="0.25">
      <c r="F89" s="24"/>
      <c r="H89" s="28"/>
    </row>
    <row r="90" spans="6:31" ht="13.2" x14ac:dyDescent="0.25">
      <c r="F90" s="24"/>
      <c r="H90" s="28"/>
    </row>
    <row r="91" spans="6:31" ht="13.2" x14ac:dyDescent="0.25">
      <c r="F91" s="24"/>
      <c r="H91" s="28"/>
    </row>
    <row r="92" spans="6:31" ht="13.2" x14ac:dyDescent="0.25">
      <c r="F92" s="24"/>
      <c r="H92" s="28"/>
    </row>
    <row r="93" spans="6:31" ht="13.2" x14ac:dyDescent="0.25">
      <c r="F93" s="24"/>
      <c r="H93" s="28"/>
    </row>
    <row r="94" spans="6:31" ht="13.2" x14ac:dyDescent="0.25">
      <c r="F94" s="24"/>
      <c r="H94" s="28"/>
    </row>
    <row r="97" spans="6:8" ht="13.2" x14ac:dyDescent="0.25">
      <c r="F97" s="22"/>
    </row>
    <row r="98" spans="6:8" ht="13.2" x14ac:dyDescent="0.25">
      <c r="F98" s="22"/>
      <c r="G98" s="22"/>
      <c r="H98" s="22"/>
    </row>
    <row r="99" spans="6:8" ht="13.2" x14ac:dyDescent="0.25">
      <c r="F99" s="24"/>
      <c r="H99" s="28"/>
    </row>
    <row r="100" spans="6:8" ht="13.2" x14ac:dyDescent="0.25">
      <c r="F100" s="24"/>
      <c r="H100" s="28"/>
    </row>
    <row r="101" spans="6:8" ht="13.2" x14ac:dyDescent="0.25">
      <c r="F101" s="24"/>
      <c r="H101" s="28"/>
    </row>
    <row r="102" spans="6:8" ht="13.2" x14ac:dyDescent="0.25">
      <c r="F102" s="24"/>
      <c r="H102" s="28"/>
    </row>
    <row r="103" spans="6:8" ht="13.2" x14ac:dyDescent="0.25">
      <c r="F103" s="24"/>
      <c r="H103" s="28"/>
    </row>
    <row r="104" spans="6:8" ht="13.2" x14ac:dyDescent="0.25">
      <c r="F104" s="24"/>
      <c r="H104" s="28"/>
    </row>
    <row r="105" spans="6:8" ht="13.2" x14ac:dyDescent="0.25">
      <c r="F105" s="24"/>
      <c r="H105" s="28"/>
    </row>
    <row r="106" spans="6:8" ht="13.2" x14ac:dyDescent="0.25">
      <c r="F106" s="24"/>
      <c r="H106" s="28"/>
    </row>
    <row r="107" spans="6:8" ht="13.2" x14ac:dyDescent="0.25">
      <c r="F107" s="24"/>
      <c r="H107" s="28"/>
    </row>
    <row r="108" spans="6:8" ht="13.2" x14ac:dyDescent="0.25">
      <c r="F108" s="24"/>
      <c r="H108" s="28"/>
    </row>
    <row r="109" spans="6:8" ht="13.2" x14ac:dyDescent="0.25">
      <c r="F109" s="24"/>
      <c r="H109" s="28"/>
    </row>
    <row r="110" spans="6:8" ht="13.2" x14ac:dyDescent="0.25">
      <c r="F110" s="24"/>
      <c r="H110" s="28"/>
    </row>
    <row r="111" spans="6:8" ht="13.2" x14ac:dyDescent="0.25">
      <c r="F111" s="24"/>
      <c r="H111" s="28"/>
    </row>
    <row r="112" spans="6:8" ht="13.2" x14ac:dyDescent="0.25">
      <c r="F112" s="24"/>
      <c r="H112" s="28"/>
    </row>
    <row r="113" spans="6:8" ht="13.2" x14ac:dyDescent="0.25">
      <c r="F113" s="24"/>
      <c r="H113" s="28"/>
    </row>
    <row r="114" spans="6:8" ht="13.2" x14ac:dyDescent="0.25">
      <c r="F114" s="24"/>
      <c r="H114" s="28"/>
    </row>
    <row r="115" spans="6:8" ht="13.2" x14ac:dyDescent="0.25">
      <c r="F115" s="24"/>
      <c r="H115" s="28"/>
    </row>
    <row r="116" spans="6:8" ht="13.2" x14ac:dyDescent="0.25">
      <c r="F116" s="24"/>
      <c r="H116" s="28"/>
    </row>
    <row r="117" spans="6:8" ht="13.2" x14ac:dyDescent="0.25">
      <c r="F117" s="24"/>
      <c r="H117" s="28"/>
    </row>
    <row r="118" spans="6:8" ht="13.2" x14ac:dyDescent="0.25">
      <c r="F118" s="24"/>
      <c r="H118" s="28"/>
    </row>
    <row r="119" spans="6:8" ht="13.2" x14ac:dyDescent="0.25">
      <c r="F119" s="24"/>
      <c r="H119" s="28"/>
    </row>
    <row r="120" spans="6:8" ht="13.2" x14ac:dyDescent="0.25">
      <c r="F120" s="24"/>
      <c r="H120" s="28"/>
    </row>
    <row r="121" spans="6:8" ht="13.2" x14ac:dyDescent="0.25">
      <c r="F121" s="24"/>
      <c r="H121" s="28"/>
    </row>
    <row r="122" spans="6:8" ht="13.2" x14ac:dyDescent="0.25">
      <c r="F122" s="24"/>
      <c r="H122" s="28"/>
    </row>
    <row r="123" spans="6:8" ht="13.2" x14ac:dyDescent="0.25">
      <c r="F123" s="24"/>
      <c r="H123" s="28"/>
    </row>
    <row r="124" spans="6:8" ht="13.2" x14ac:dyDescent="0.25">
      <c r="F124" s="24"/>
      <c r="H124" s="28"/>
    </row>
    <row r="125" spans="6:8" ht="13.2" x14ac:dyDescent="0.25">
      <c r="F125" s="24"/>
      <c r="H125" s="28"/>
    </row>
    <row r="126" spans="6:8" ht="13.2" x14ac:dyDescent="0.25">
      <c r="F126" s="24"/>
      <c r="H126" s="28"/>
    </row>
    <row r="127" spans="6:8" ht="13.2" x14ac:dyDescent="0.25">
      <c r="F127" s="24"/>
      <c r="H127" s="28"/>
    </row>
    <row r="128" spans="6:8" ht="13.2" x14ac:dyDescent="0.25">
      <c r="F128" s="24"/>
      <c r="H128" s="28"/>
    </row>
    <row r="129" spans="6:8" ht="13.2" x14ac:dyDescent="0.25">
      <c r="F129" s="24"/>
      <c r="H129" s="28"/>
    </row>
    <row r="130" spans="6:8" ht="13.2" x14ac:dyDescent="0.25">
      <c r="F130" s="24"/>
      <c r="H130" s="28"/>
    </row>
    <row r="131" spans="6:8" ht="13.2" x14ac:dyDescent="0.25">
      <c r="F131" s="24"/>
      <c r="H131" s="28"/>
    </row>
    <row r="132" spans="6:8" ht="13.2" x14ac:dyDescent="0.25">
      <c r="F132" s="24"/>
      <c r="H132" s="28"/>
    </row>
    <row r="133" spans="6:8" ht="13.2" x14ac:dyDescent="0.25">
      <c r="F133" s="24"/>
      <c r="H133" s="28"/>
    </row>
    <row r="134" spans="6:8" ht="13.2" x14ac:dyDescent="0.25">
      <c r="F134" s="24"/>
      <c r="H134" s="28"/>
    </row>
    <row r="135" spans="6:8" ht="13.2" x14ac:dyDescent="0.25">
      <c r="F135" s="24"/>
      <c r="H135" s="28"/>
    </row>
    <row r="136" spans="6:8" ht="13.2" x14ac:dyDescent="0.25">
      <c r="F136" s="24"/>
      <c r="H136" s="28"/>
    </row>
    <row r="137" spans="6:8" ht="13.2" x14ac:dyDescent="0.25">
      <c r="F137" s="24"/>
      <c r="H137" s="28"/>
    </row>
    <row r="138" spans="6:8" ht="13.2" x14ac:dyDescent="0.25">
      <c r="F138" s="24"/>
      <c r="H138" s="28"/>
    </row>
    <row r="139" spans="6:8" ht="13.2" x14ac:dyDescent="0.25">
      <c r="F139" s="24"/>
      <c r="H139" s="28"/>
    </row>
    <row r="140" spans="6:8" ht="13.2" x14ac:dyDescent="0.25">
      <c r="F140" s="24"/>
      <c r="H140" s="28"/>
    </row>
    <row r="141" spans="6:8" ht="13.2" x14ac:dyDescent="0.25">
      <c r="F141" s="24"/>
      <c r="H141" s="28"/>
    </row>
    <row r="144" spans="6:8" ht="13.2" x14ac:dyDescent="0.25">
      <c r="F144" s="22"/>
    </row>
    <row r="145" spans="6:8" ht="13.2" x14ac:dyDescent="0.25">
      <c r="F145" s="22"/>
      <c r="G145" s="22"/>
      <c r="H145" s="22"/>
    </row>
    <row r="146" spans="6:8" ht="13.2" x14ac:dyDescent="0.25">
      <c r="F146" s="24"/>
      <c r="H146" s="28"/>
    </row>
    <row r="147" spans="6:8" ht="13.2" x14ac:dyDescent="0.25">
      <c r="F147" s="24"/>
      <c r="H147" s="28"/>
    </row>
    <row r="148" spans="6:8" ht="13.2" x14ac:dyDescent="0.25">
      <c r="F148" s="24"/>
      <c r="H148" s="28"/>
    </row>
    <row r="149" spans="6:8" ht="13.2" x14ac:dyDescent="0.25">
      <c r="F149" s="24"/>
      <c r="H149" s="28"/>
    </row>
    <row r="150" spans="6:8" ht="13.2" x14ac:dyDescent="0.25">
      <c r="F150" s="24"/>
      <c r="H150" s="28"/>
    </row>
    <row r="151" spans="6:8" ht="13.2" x14ac:dyDescent="0.25">
      <c r="F151" s="24"/>
      <c r="H151" s="28"/>
    </row>
    <row r="152" spans="6:8" ht="13.2" x14ac:dyDescent="0.25">
      <c r="F152" s="24"/>
      <c r="H152" s="28"/>
    </row>
    <row r="153" spans="6:8" ht="13.2" x14ac:dyDescent="0.25">
      <c r="F153" s="24"/>
      <c r="H153" s="28"/>
    </row>
    <row r="154" spans="6:8" ht="13.2" x14ac:dyDescent="0.25">
      <c r="F154" s="24"/>
      <c r="H154" s="28"/>
    </row>
    <row r="155" spans="6:8" ht="13.2" x14ac:dyDescent="0.25">
      <c r="F155" s="24"/>
      <c r="H155" s="28"/>
    </row>
    <row r="156" spans="6:8" ht="13.2" x14ac:dyDescent="0.25">
      <c r="F156" s="24"/>
      <c r="H156" s="28"/>
    </row>
    <row r="157" spans="6:8" ht="13.2" x14ac:dyDescent="0.25">
      <c r="F157" s="24"/>
      <c r="H157" s="28"/>
    </row>
    <row r="158" spans="6:8" ht="13.2" x14ac:dyDescent="0.25">
      <c r="F158" s="24"/>
      <c r="H158" s="28"/>
    </row>
    <row r="159" spans="6:8" ht="13.2" x14ac:dyDescent="0.25">
      <c r="F159" s="24"/>
      <c r="H159" s="28"/>
    </row>
    <row r="160" spans="6:8" ht="13.2" x14ac:dyDescent="0.25">
      <c r="F160" s="24"/>
      <c r="H160" s="28"/>
    </row>
    <row r="161" spans="6:8" ht="13.2" x14ac:dyDescent="0.25">
      <c r="F161" s="24"/>
      <c r="H161" s="28"/>
    </row>
    <row r="162" spans="6:8" ht="13.2" x14ac:dyDescent="0.25">
      <c r="F162" s="24"/>
      <c r="H162" s="28"/>
    </row>
    <row r="163" spans="6:8" ht="13.2" x14ac:dyDescent="0.25">
      <c r="F163" s="24"/>
      <c r="H163" s="28"/>
    </row>
    <row r="164" spans="6:8" ht="13.2" x14ac:dyDescent="0.25">
      <c r="F164" s="24"/>
      <c r="H164" s="28"/>
    </row>
    <row r="165" spans="6:8" ht="13.2" x14ac:dyDescent="0.25">
      <c r="F165" s="24"/>
      <c r="H165" s="28"/>
    </row>
    <row r="166" spans="6:8" ht="13.2" x14ac:dyDescent="0.25">
      <c r="F166" s="24"/>
      <c r="H166" s="28"/>
    </row>
    <row r="167" spans="6:8" ht="13.2" x14ac:dyDescent="0.25">
      <c r="F167" s="24"/>
      <c r="H167" s="28"/>
    </row>
    <row r="168" spans="6:8" ht="13.2" x14ac:dyDescent="0.25">
      <c r="F168" s="24"/>
      <c r="H168" s="28"/>
    </row>
    <row r="169" spans="6:8" ht="13.2" x14ac:dyDescent="0.25">
      <c r="F169" s="24"/>
      <c r="H169" s="28"/>
    </row>
    <row r="170" spans="6:8" ht="13.2" x14ac:dyDescent="0.25">
      <c r="F170" s="24"/>
      <c r="H170" s="28"/>
    </row>
    <row r="171" spans="6:8" ht="13.2" x14ac:dyDescent="0.25">
      <c r="F171" s="24"/>
      <c r="H171" s="28"/>
    </row>
    <row r="172" spans="6:8" ht="13.2" x14ac:dyDescent="0.25">
      <c r="F172" s="24"/>
      <c r="H172" s="28"/>
    </row>
    <row r="173" spans="6:8" ht="13.2" x14ac:dyDescent="0.25">
      <c r="F173" s="24"/>
      <c r="H173" s="28"/>
    </row>
    <row r="174" spans="6:8" ht="13.2" x14ac:dyDescent="0.25">
      <c r="F174" s="24"/>
      <c r="H174" s="28"/>
    </row>
    <row r="175" spans="6:8" ht="13.2" x14ac:dyDescent="0.25">
      <c r="F175" s="24"/>
      <c r="H175" s="28"/>
    </row>
    <row r="176" spans="6:8" ht="13.2" x14ac:dyDescent="0.25">
      <c r="F176" s="24"/>
      <c r="H176" s="28"/>
    </row>
    <row r="177" spans="6:8" ht="13.2" x14ac:dyDescent="0.25">
      <c r="F177" s="24"/>
      <c r="H177" s="28"/>
    </row>
    <row r="178" spans="6:8" ht="13.2" x14ac:dyDescent="0.25">
      <c r="F178" s="24"/>
      <c r="H178" s="28"/>
    </row>
    <row r="179" spans="6:8" ht="13.2" x14ac:dyDescent="0.25">
      <c r="F179" s="24"/>
      <c r="H179" s="28"/>
    </row>
    <row r="180" spans="6:8" ht="13.2" x14ac:dyDescent="0.25">
      <c r="F180" s="24"/>
      <c r="H180" s="28"/>
    </row>
    <row r="181" spans="6:8" ht="13.2" x14ac:dyDescent="0.25">
      <c r="F181" s="24"/>
      <c r="H181" s="28"/>
    </row>
    <row r="182" spans="6:8" ht="13.2" x14ac:dyDescent="0.25">
      <c r="F182" s="24"/>
      <c r="H182" s="28"/>
    </row>
    <row r="183" spans="6:8" ht="13.2" x14ac:dyDescent="0.25">
      <c r="F183" s="24"/>
      <c r="H183" s="28"/>
    </row>
    <row r="184" spans="6:8" ht="13.2" x14ac:dyDescent="0.25">
      <c r="F184" s="24"/>
      <c r="H184" s="28"/>
    </row>
    <row r="185" spans="6:8" ht="13.2" x14ac:dyDescent="0.25">
      <c r="F185" s="24"/>
      <c r="H185" s="28"/>
    </row>
    <row r="186" spans="6:8" ht="13.2" x14ac:dyDescent="0.25">
      <c r="F186" s="24"/>
      <c r="H186" s="28"/>
    </row>
    <row r="187" spans="6:8" ht="13.2" x14ac:dyDescent="0.25">
      <c r="F187" s="24"/>
      <c r="H187" s="28"/>
    </row>
    <row r="188" spans="6:8" ht="13.2" x14ac:dyDescent="0.25">
      <c r="F188" s="24"/>
      <c r="H188" s="28"/>
    </row>
    <row r="191" spans="6:8" ht="13.2" x14ac:dyDescent="0.25">
      <c r="F191" s="22"/>
    </row>
    <row r="192" spans="6:8" ht="13.2" x14ac:dyDescent="0.25">
      <c r="F192" s="22"/>
      <c r="G192" s="22"/>
      <c r="H192" s="22"/>
    </row>
    <row r="193" spans="6:8" ht="13.2" x14ac:dyDescent="0.25">
      <c r="F193" s="24"/>
      <c r="H193" s="28"/>
    </row>
    <row r="194" spans="6:8" ht="13.2" x14ac:dyDescent="0.25">
      <c r="F194" s="24"/>
      <c r="H194" s="28"/>
    </row>
    <row r="195" spans="6:8" ht="13.2" x14ac:dyDescent="0.25">
      <c r="F195" s="24"/>
      <c r="H195" s="28"/>
    </row>
    <row r="196" spans="6:8" ht="13.2" x14ac:dyDescent="0.25">
      <c r="F196" s="24"/>
      <c r="H196" s="28"/>
    </row>
    <row r="197" spans="6:8" ht="13.2" x14ac:dyDescent="0.25">
      <c r="F197" s="24"/>
      <c r="H197" s="28"/>
    </row>
    <row r="198" spans="6:8" ht="13.2" x14ac:dyDescent="0.25">
      <c r="F198" s="24"/>
      <c r="H198" s="28"/>
    </row>
    <row r="199" spans="6:8" ht="13.2" x14ac:dyDescent="0.25">
      <c r="F199" s="24"/>
      <c r="H199" s="28"/>
    </row>
    <row r="200" spans="6:8" ht="13.2" x14ac:dyDescent="0.25">
      <c r="F200" s="24"/>
      <c r="H200" s="28"/>
    </row>
    <row r="201" spans="6:8" ht="13.2" x14ac:dyDescent="0.25">
      <c r="F201" s="24"/>
      <c r="H201" s="28"/>
    </row>
    <row r="202" spans="6:8" ht="13.2" x14ac:dyDescent="0.25">
      <c r="F202" s="24"/>
      <c r="H202" s="28"/>
    </row>
    <row r="203" spans="6:8" ht="13.2" x14ac:dyDescent="0.25">
      <c r="F203" s="24"/>
      <c r="H203" s="28"/>
    </row>
    <row r="204" spans="6:8" ht="13.2" x14ac:dyDescent="0.25">
      <c r="F204" s="24"/>
      <c r="H204" s="28"/>
    </row>
    <row r="205" spans="6:8" ht="13.2" x14ac:dyDescent="0.25">
      <c r="F205" s="24"/>
      <c r="H205" s="28"/>
    </row>
    <row r="206" spans="6:8" ht="13.2" x14ac:dyDescent="0.25">
      <c r="F206" s="24"/>
      <c r="H206" s="28"/>
    </row>
    <row r="207" spans="6:8" ht="13.2" x14ac:dyDescent="0.25">
      <c r="F207" s="24"/>
      <c r="H207" s="28"/>
    </row>
    <row r="208" spans="6:8" ht="13.2" x14ac:dyDescent="0.25">
      <c r="F208" s="24"/>
      <c r="H208" s="28"/>
    </row>
    <row r="209" spans="6:8" ht="13.2" x14ac:dyDescent="0.25">
      <c r="F209" s="24"/>
      <c r="H209" s="28"/>
    </row>
    <row r="210" spans="6:8" ht="13.2" x14ac:dyDescent="0.25">
      <c r="F210" s="24"/>
      <c r="H210" s="28"/>
    </row>
    <row r="211" spans="6:8" ht="13.2" x14ac:dyDescent="0.25">
      <c r="F211" s="24"/>
      <c r="H211" s="28"/>
    </row>
    <row r="212" spans="6:8" ht="13.2" x14ac:dyDescent="0.25">
      <c r="F212" s="24"/>
      <c r="H212" s="28"/>
    </row>
    <row r="213" spans="6:8" ht="13.2" x14ac:dyDescent="0.25">
      <c r="F213" s="24"/>
      <c r="H213" s="28"/>
    </row>
    <row r="214" spans="6:8" ht="13.2" x14ac:dyDescent="0.25">
      <c r="F214" s="24"/>
      <c r="H214" s="28"/>
    </row>
    <row r="215" spans="6:8" ht="13.2" x14ac:dyDescent="0.25">
      <c r="F215" s="24"/>
      <c r="H215" s="28"/>
    </row>
    <row r="216" spans="6:8" ht="13.2" x14ac:dyDescent="0.25">
      <c r="F216" s="24"/>
      <c r="H216" s="28"/>
    </row>
    <row r="217" spans="6:8" ht="13.2" x14ac:dyDescent="0.25">
      <c r="F217" s="24"/>
      <c r="H217" s="28"/>
    </row>
    <row r="218" spans="6:8" ht="13.2" x14ac:dyDescent="0.25">
      <c r="F218" s="24"/>
      <c r="H218" s="28"/>
    </row>
    <row r="219" spans="6:8" ht="13.2" x14ac:dyDescent="0.25">
      <c r="F219" s="24"/>
      <c r="H219" s="28"/>
    </row>
    <row r="220" spans="6:8" ht="13.2" x14ac:dyDescent="0.25">
      <c r="F220" s="24"/>
      <c r="H220" s="28"/>
    </row>
    <row r="221" spans="6:8" ht="13.2" x14ac:dyDescent="0.25">
      <c r="F221" s="24"/>
      <c r="H221" s="28"/>
    </row>
    <row r="222" spans="6:8" ht="13.2" x14ac:dyDescent="0.25">
      <c r="F222" s="24"/>
      <c r="H222" s="28"/>
    </row>
    <row r="223" spans="6:8" ht="13.2" x14ac:dyDescent="0.25">
      <c r="F223" s="24"/>
      <c r="H223" s="28"/>
    </row>
    <row r="224" spans="6:8" ht="13.2" x14ac:dyDescent="0.25">
      <c r="F224" s="24"/>
      <c r="H224" s="28"/>
    </row>
    <row r="225" spans="6:8" ht="13.2" x14ac:dyDescent="0.25">
      <c r="F225" s="24"/>
      <c r="H225" s="28"/>
    </row>
    <row r="226" spans="6:8" ht="13.2" x14ac:dyDescent="0.25">
      <c r="F226" s="24"/>
      <c r="H226" s="28"/>
    </row>
    <row r="227" spans="6:8" ht="13.2" x14ac:dyDescent="0.25">
      <c r="F227" s="24"/>
      <c r="H227" s="28"/>
    </row>
    <row r="228" spans="6:8" ht="13.2" x14ac:dyDescent="0.25">
      <c r="F228" s="24"/>
      <c r="H228" s="28"/>
    </row>
    <row r="229" spans="6:8" ht="13.2" x14ac:dyDescent="0.25">
      <c r="F229" s="24"/>
      <c r="H229" s="28"/>
    </row>
    <row r="230" spans="6:8" ht="13.2" x14ac:dyDescent="0.25">
      <c r="F230" s="24"/>
      <c r="H230" s="28"/>
    </row>
    <row r="231" spans="6:8" ht="13.2" x14ac:dyDescent="0.25">
      <c r="F231" s="24"/>
      <c r="H231" s="28"/>
    </row>
    <row r="232" spans="6:8" ht="13.2" x14ac:dyDescent="0.25">
      <c r="F232" s="24"/>
      <c r="H232" s="28"/>
    </row>
    <row r="233" spans="6:8" ht="13.2" x14ac:dyDescent="0.25">
      <c r="F233" s="24"/>
      <c r="H233" s="28"/>
    </row>
    <row r="234" spans="6:8" ht="13.2" x14ac:dyDescent="0.25">
      <c r="F234" s="24"/>
      <c r="H234" s="28"/>
    </row>
    <row r="235" spans="6:8" ht="13.2" x14ac:dyDescent="0.25">
      <c r="F235" s="24"/>
      <c r="H235" s="28"/>
    </row>
    <row r="238" spans="6:8" ht="13.2" x14ac:dyDescent="0.25">
      <c r="F238" s="22"/>
    </row>
    <row r="239" spans="6:8" ht="13.2" x14ac:dyDescent="0.25">
      <c r="F239" s="22"/>
      <c r="G239" s="22"/>
      <c r="H239" s="22"/>
    </row>
    <row r="240" spans="6:8" ht="13.2" x14ac:dyDescent="0.25">
      <c r="F240" s="24"/>
      <c r="H240" s="28"/>
    </row>
    <row r="241" spans="6:8" ht="13.2" x14ac:dyDescent="0.25">
      <c r="F241" s="24"/>
      <c r="H241" s="28"/>
    </row>
    <row r="242" spans="6:8" ht="13.2" x14ac:dyDescent="0.25">
      <c r="F242" s="24"/>
      <c r="H242" s="28"/>
    </row>
    <row r="243" spans="6:8" ht="13.2" x14ac:dyDescent="0.25">
      <c r="F243" s="24"/>
      <c r="H243" s="28"/>
    </row>
    <row r="244" spans="6:8" ht="13.2" x14ac:dyDescent="0.25">
      <c r="F244" s="24"/>
      <c r="H244" s="28"/>
    </row>
    <row r="245" spans="6:8" ht="13.2" x14ac:dyDescent="0.25">
      <c r="F245" s="24"/>
      <c r="H245" s="28"/>
    </row>
    <row r="246" spans="6:8" ht="13.2" x14ac:dyDescent="0.25">
      <c r="F246" s="24"/>
      <c r="H246" s="28"/>
    </row>
    <row r="247" spans="6:8" ht="13.2" x14ac:dyDescent="0.25">
      <c r="F247" s="24"/>
      <c r="H247" s="28"/>
    </row>
    <row r="248" spans="6:8" ht="13.2" x14ac:dyDescent="0.25">
      <c r="F248" s="24"/>
      <c r="H248" s="28"/>
    </row>
    <row r="249" spans="6:8" ht="13.2" x14ac:dyDescent="0.25">
      <c r="F249" s="24"/>
      <c r="H249" s="28"/>
    </row>
    <row r="250" spans="6:8" ht="13.2" x14ac:dyDescent="0.25">
      <c r="F250" s="24"/>
      <c r="H250" s="28"/>
    </row>
    <row r="251" spans="6:8" ht="13.2" x14ac:dyDescent="0.25">
      <c r="F251" s="24"/>
      <c r="H251" s="28"/>
    </row>
    <row r="252" spans="6:8" ht="13.2" x14ac:dyDescent="0.25">
      <c r="F252" s="24"/>
      <c r="H252" s="28"/>
    </row>
    <row r="253" spans="6:8" ht="13.2" x14ac:dyDescent="0.25">
      <c r="F253" s="24"/>
      <c r="H253" s="28"/>
    </row>
    <row r="254" spans="6:8" ht="13.2" x14ac:dyDescent="0.25">
      <c r="F254" s="24"/>
      <c r="H254" s="28"/>
    </row>
    <row r="255" spans="6:8" ht="13.2" x14ac:dyDescent="0.25">
      <c r="F255" s="24"/>
      <c r="H255" s="28"/>
    </row>
    <row r="256" spans="6:8" ht="13.2" x14ac:dyDescent="0.25">
      <c r="F256" s="24"/>
      <c r="H256" s="28"/>
    </row>
    <row r="257" spans="6:8" ht="13.2" x14ac:dyDescent="0.25">
      <c r="F257" s="24"/>
      <c r="H257" s="28"/>
    </row>
    <row r="258" spans="6:8" ht="13.2" x14ac:dyDescent="0.25">
      <c r="F258" s="24"/>
      <c r="H258" s="28"/>
    </row>
    <row r="259" spans="6:8" ht="13.2" x14ac:dyDescent="0.25">
      <c r="F259" s="24"/>
      <c r="H259" s="28"/>
    </row>
    <row r="260" spans="6:8" ht="13.2" x14ac:dyDescent="0.25">
      <c r="F260" s="24"/>
      <c r="H260" s="28"/>
    </row>
    <row r="261" spans="6:8" ht="13.2" x14ac:dyDescent="0.25">
      <c r="F261" s="24"/>
      <c r="H261" s="28"/>
    </row>
    <row r="262" spans="6:8" ht="13.2" x14ac:dyDescent="0.25">
      <c r="F262" s="24"/>
      <c r="H262" s="28"/>
    </row>
    <row r="263" spans="6:8" ht="13.2" x14ac:dyDescent="0.25">
      <c r="F263" s="24"/>
      <c r="H263" s="28"/>
    </row>
    <row r="264" spans="6:8" ht="13.2" x14ac:dyDescent="0.25">
      <c r="F264" s="24"/>
      <c r="H264" s="28"/>
    </row>
    <row r="265" spans="6:8" ht="13.2" x14ac:dyDescent="0.25">
      <c r="F265" s="24"/>
      <c r="H265" s="28"/>
    </row>
    <row r="266" spans="6:8" ht="13.2" x14ac:dyDescent="0.25">
      <c r="F266" s="24"/>
      <c r="H266" s="28"/>
    </row>
    <row r="267" spans="6:8" ht="13.2" x14ac:dyDescent="0.25">
      <c r="F267" s="24"/>
      <c r="H267" s="28"/>
    </row>
    <row r="268" spans="6:8" ht="13.2" x14ac:dyDescent="0.25">
      <c r="F268" s="24"/>
      <c r="H268" s="28"/>
    </row>
    <row r="269" spans="6:8" ht="13.2" x14ac:dyDescent="0.25">
      <c r="F269" s="24"/>
      <c r="H269" s="28"/>
    </row>
    <row r="270" spans="6:8" ht="13.2" x14ac:dyDescent="0.25">
      <c r="F270" s="24"/>
      <c r="H270" s="28"/>
    </row>
    <row r="271" spans="6:8" ht="13.2" x14ac:dyDescent="0.25">
      <c r="F271" s="24"/>
      <c r="H271" s="28"/>
    </row>
    <row r="272" spans="6:8" ht="13.2" x14ac:dyDescent="0.25">
      <c r="F272" s="24"/>
      <c r="H272" s="28"/>
    </row>
    <row r="273" spans="6:8" ht="13.2" x14ac:dyDescent="0.25">
      <c r="F273" s="24"/>
      <c r="H273" s="28"/>
    </row>
    <row r="274" spans="6:8" ht="13.2" x14ac:dyDescent="0.25">
      <c r="F274" s="24"/>
      <c r="H274" s="28"/>
    </row>
    <row r="275" spans="6:8" ht="13.2" x14ac:dyDescent="0.25">
      <c r="F275" s="24"/>
      <c r="H275" s="28"/>
    </row>
    <row r="276" spans="6:8" ht="13.2" x14ac:dyDescent="0.25">
      <c r="F276" s="24"/>
      <c r="H276" s="28"/>
    </row>
    <row r="277" spans="6:8" ht="13.2" x14ac:dyDescent="0.25">
      <c r="F277" s="24"/>
      <c r="H277" s="28"/>
    </row>
    <row r="278" spans="6:8" ht="13.2" x14ac:dyDescent="0.25">
      <c r="F278" s="24"/>
      <c r="H278" s="28"/>
    </row>
    <row r="279" spans="6:8" ht="13.2" x14ac:dyDescent="0.25">
      <c r="F279" s="24"/>
      <c r="H279" s="28"/>
    </row>
    <row r="280" spans="6:8" ht="13.2" x14ac:dyDescent="0.25">
      <c r="F280" s="24"/>
      <c r="H280" s="28"/>
    </row>
    <row r="281" spans="6:8" ht="13.2" x14ac:dyDescent="0.25">
      <c r="F281" s="24"/>
      <c r="H281" s="28"/>
    </row>
    <row r="282" spans="6:8" ht="13.2" x14ac:dyDescent="0.25">
      <c r="F282" s="24"/>
      <c r="H282" s="28"/>
    </row>
    <row r="285" spans="6:8" ht="13.2" x14ac:dyDescent="0.25">
      <c r="F285" s="22"/>
    </row>
    <row r="286" spans="6:8" ht="13.2" x14ac:dyDescent="0.25">
      <c r="F286" s="22"/>
      <c r="G286" s="22"/>
      <c r="H286" s="22"/>
    </row>
    <row r="287" spans="6:8" ht="13.2" x14ac:dyDescent="0.25">
      <c r="F287" s="24"/>
      <c r="H287" s="28"/>
    </row>
    <row r="288" spans="6:8" ht="13.2" x14ac:dyDescent="0.25">
      <c r="F288" s="24"/>
      <c r="H288" s="28"/>
    </row>
    <row r="289" spans="6:8" ht="13.2" x14ac:dyDescent="0.25">
      <c r="F289" s="24"/>
      <c r="H289" s="28"/>
    </row>
    <row r="290" spans="6:8" ht="13.2" x14ac:dyDescent="0.25">
      <c r="F290" s="24"/>
      <c r="H290" s="28"/>
    </row>
    <row r="291" spans="6:8" ht="13.2" x14ac:dyDescent="0.25">
      <c r="F291" s="24"/>
      <c r="H291" s="28"/>
    </row>
    <row r="292" spans="6:8" ht="13.2" x14ac:dyDescent="0.25">
      <c r="F292" s="24"/>
      <c r="H292" s="28"/>
    </row>
    <row r="293" spans="6:8" ht="13.2" x14ac:dyDescent="0.25">
      <c r="F293" s="24"/>
      <c r="H293" s="28"/>
    </row>
    <row r="294" spans="6:8" ht="13.2" x14ac:dyDescent="0.25">
      <c r="F294" s="24"/>
      <c r="H294" s="28"/>
    </row>
    <row r="295" spans="6:8" ht="13.2" x14ac:dyDescent="0.25">
      <c r="F295" s="24"/>
      <c r="H295" s="28"/>
    </row>
    <row r="296" spans="6:8" ht="13.2" x14ac:dyDescent="0.25">
      <c r="F296" s="24"/>
      <c r="H296" s="28"/>
    </row>
    <row r="297" spans="6:8" ht="13.2" x14ac:dyDescent="0.25">
      <c r="F297" s="24"/>
      <c r="H297" s="28"/>
    </row>
    <row r="298" spans="6:8" ht="13.2" x14ac:dyDescent="0.25">
      <c r="F298" s="24"/>
      <c r="H298" s="28"/>
    </row>
    <row r="299" spans="6:8" ht="13.2" x14ac:dyDescent="0.25">
      <c r="F299" s="24"/>
      <c r="H299" s="28"/>
    </row>
    <row r="300" spans="6:8" ht="13.2" x14ac:dyDescent="0.25">
      <c r="F300" s="24"/>
      <c r="H300" s="28"/>
    </row>
    <row r="301" spans="6:8" ht="13.2" x14ac:dyDescent="0.25">
      <c r="F301" s="24"/>
      <c r="H301" s="28"/>
    </row>
    <row r="302" spans="6:8" ht="13.2" x14ac:dyDescent="0.25">
      <c r="F302" s="24"/>
      <c r="H302" s="28"/>
    </row>
    <row r="303" spans="6:8" ht="13.2" x14ac:dyDescent="0.25">
      <c r="F303" s="24"/>
      <c r="H303" s="28"/>
    </row>
    <row r="304" spans="6:8" ht="13.2" x14ac:dyDescent="0.25">
      <c r="F304" s="24"/>
      <c r="H304" s="28"/>
    </row>
    <row r="305" spans="6:8" ht="13.2" x14ac:dyDescent="0.25">
      <c r="F305" s="24"/>
      <c r="H305" s="28"/>
    </row>
    <row r="306" spans="6:8" ht="13.2" x14ac:dyDescent="0.25">
      <c r="F306" s="24"/>
      <c r="H306" s="28"/>
    </row>
    <row r="307" spans="6:8" ht="13.2" x14ac:dyDescent="0.25">
      <c r="F307" s="24"/>
      <c r="H307" s="28"/>
    </row>
    <row r="308" spans="6:8" ht="13.2" x14ac:dyDescent="0.25">
      <c r="F308" s="24"/>
      <c r="H308" s="28"/>
    </row>
    <row r="309" spans="6:8" ht="13.2" x14ac:dyDescent="0.25">
      <c r="F309" s="24"/>
      <c r="H309" s="28"/>
    </row>
    <row r="310" spans="6:8" ht="13.2" x14ac:dyDescent="0.25">
      <c r="F310" s="24"/>
      <c r="H310" s="28"/>
    </row>
    <row r="311" spans="6:8" ht="13.2" x14ac:dyDescent="0.25">
      <c r="F311" s="24"/>
      <c r="H311" s="28"/>
    </row>
    <row r="312" spans="6:8" ht="13.2" x14ac:dyDescent="0.25">
      <c r="F312" s="24"/>
      <c r="H312" s="28"/>
    </row>
    <row r="313" spans="6:8" ht="13.2" x14ac:dyDescent="0.25">
      <c r="F313" s="24"/>
      <c r="H313" s="28"/>
    </row>
    <row r="314" spans="6:8" ht="13.2" x14ac:dyDescent="0.25">
      <c r="F314" s="24"/>
      <c r="H314" s="28"/>
    </row>
    <row r="315" spans="6:8" ht="13.2" x14ac:dyDescent="0.25">
      <c r="F315" s="24"/>
      <c r="H315" s="28"/>
    </row>
    <row r="316" spans="6:8" ht="13.2" x14ac:dyDescent="0.25">
      <c r="F316" s="24"/>
      <c r="H316" s="28"/>
    </row>
    <row r="317" spans="6:8" ht="13.2" x14ac:dyDescent="0.25">
      <c r="F317" s="24"/>
      <c r="H317" s="28"/>
    </row>
    <row r="318" spans="6:8" ht="13.2" x14ac:dyDescent="0.25">
      <c r="F318" s="24"/>
      <c r="H318" s="28"/>
    </row>
    <row r="319" spans="6:8" ht="13.2" x14ac:dyDescent="0.25">
      <c r="F319" s="24"/>
      <c r="H319" s="28"/>
    </row>
    <row r="320" spans="6:8" ht="13.2" x14ac:dyDescent="0.25">
      <c r="F320" s="24"/>
      <c r="H320" s="28"/>
    </row>
    <row r="321" spans="6:8" ht="13.2" x14ac:dyDescent="0.25">
      <c r="F321" s="24"/>
      <c r="H321" s="28"/>
    </row>
    <row r="322" spans="6:8" ht="13.2" x14ac:dyDescent="0.25">
      <c r="F322" s="24"/>
      <c r="H322" s="28"/>
    </row>
    <row r="323" spans="6:8" ht="13.2" x14ac:dyDescent="0.25">
      <c r="F323" s="24"/>
      <c r="H323" s="28"/>
    </row>
    <row r="324" spans="6:8" ht="13.2" x14ac:dyDescent="0.25">
      <c r="F324" s="24"/>
      <c r="H324" s="28"/>
    </row>
    <row r="325" spans="6:8" ht="13.2" x14ac:dyDescent="0.25">
      <c r="F325" s="24"/>
      <c r="H325" s="28"/>
    </row>
    <row r="326" spans="6:8" ht="13.2" x14ac:dyDescent="0.25">
      <c r="F326" s="24"/>
      <c r="H326" s="28"/>
    </row>
    <row r="327" spans="6:8" ht="13.2" x14ac:dyDescent="0.25">
      <c r="F327" s="24"/>
      <c r="H327" s="28"/>
    </row>
    <row r="328" spans="6:8" ht="13.2" x14ac:dyDescent="0.25">
      <c r="F328" s="24"/>
      <c r="H328" s="28"/>
    </row>
    <row r="329" spans="6:8" ht="13.2" x14ac:dyDescent="0.25">
      <c r="F329" s="24"/>
      <c r="H329" s="28"/>
    </row>
    <row r="332" spans="6:8" ht="13.2" x14ac:dyDescent="0.25">
      <c r="F332" s="22"/>
    </row>
    <row r="333" spans="6:8" ht="13.2" x14ac:dyDescent="0.25">
      <c r="F333" s="22"/>
      <c r="G333" s="22"/>
      <c r="H333" s="22"/>
    </row>
    <row r="334" spans="6:8" ht="13.2" x14ac:dyDescent="0.25">
      <c r="F334" s="24"/>
      <c r="H334" s="28"/>
    </row>
    <row r="335" spans="6:8" ht="13.2" x14ac:dyDescent="0.25">
      <c r="F335" s="24"/>
      <c r="H335" s="28"/>
    </row>
    <row r="336" spans="6:8" ht="13.2" x14ac:dyDescent="0.25">
      <c r="F336" s="24"/>
      <c r="H336" s="28"/>
    </row>
    <row r="337" spans="6:8" ht="13.2" x14ac:dyDescent="0.25">
      <c r="F337" s="24"/>
      <c r="H337" s="28"/>
    </row>
    <row r="338" spans="6:8" ht="13.2" x14ac:dyDescent="0.25">
      <c r="F338" s="24"/>
      <c r="H338" s="28"/>
    </row>
    <row r="339" spans="6:8" ht="13.2" x14ac:dyDescent="0.25">
      <c r="F339" s="24"/>
      <c r="H339" s="28"/>
    </row>
    <row r="340" spans="6:8" ht="13.2" x14ac:dyDescent="0.25">
      <c r="F340" s="24"/>
      <c r="H340" s="28"/>
    </row>
    <row r="341" spans="6:8" ht="13.2" x14ac:dyDescent="0.25">
      <c r="F341" s="24"/>
      <c r="H341" s="28"/>
    </row>
    <row r="342" spans="6:8" ht="13.2" x14ac:dyDescent="0.25">
      <c r="F342" s="24"/>
      <c r="H342" s="28"/>
    </row>
    <row r="343" spans="6:8" ht="13.2" x14ac:dyDescent="0.25">
      <c r="F343" s="24"/>
      <c r="H343" s="28"/>
    </row>
    <row r="344" spans="6:8" ht="13.2" x14ac:dyDescent="0.25">
      <c r="F344" s="24"/>
      <c r="H344" s="28"/>
    </row>
    <row r="345" spans="6:8" ht="13.2" x14ac:dyDescent="0.25">
      <c r="F345" s="24"/>
      <c r="H345" s="28"/>
    </row>
    <row r="346" spans="6:8" ht="13.2" x14ac:dyDescent="0.25">
      <c r="F346" s="24"/>
      <c r="H346" s="28"/>
    </row>
    <row r="347" spans="6:8" ht="13.2" x14ac:dyDescent="0.25">
      <c r="F347" s="24"/>
      <c r="H347" s="28"/>
    </row>
    <row r="348" spans="6:8" ht="13.2" x14ac:dyDescent="0.25">
      <c r="F348" s="24"/>
      <c r="H348" s="28"/>
    </row>
    <row r="349" spans="6:8" ht="13.2" x14ac:dyDescent="0.25">
      <c r="F349" s="24"/>
      <c r="H349" s="28"/>
    </row>
    <row r="350" spans="6:8" ht="13.2" x14ac:dyDescent="0.25">
      <c r="F350" s="24"/>
      <c r="H350" s="28"/>
    </row>
    <row r="351" spans="6:8" ht="13.2" x14ac:dyDescent="0.25">
      <c r="F351" s="24"/>
      <c r="H351" s="28"/>
    </row>
    <row r="352" spans="6:8" ht="13.2" x14ac:dyDescent="0.25">
      <c r="F352" s="24"/>
      <c r="H352" s="28"/>
    </row>
    <row r="353" spans="6:8" ht="13.2" x14ac:dyDescent="0.25">
      <c r="F353" s="24"/>
      <c r="H353" s="28"/>
    </row>
    <row r="354" spans="6:8" ht="13.2" x14ac:dyDescent="0.25">
      <c r="F354" s="24"/>
      <c r="H354" s="28"/>
    </row>
    <row r="355" spans="6:8" ht="13.2" x14ac:dyDescent="0.25">
      <c r="F355" s="24"/>
      <c r="H355" s="28"/>
    </row>
    <row r="356" spans="6:8" ht="13.2" x14ac:dyDescent="0.25">
      <c r="F356" s="24"/>
      <c r="H356" s="28"/>
    </row>
    <row r="357" spans="6:8" ht="13.2" x14ac:dyDescent="0.25">
      <c r="F357" s="24"/>
      <c r="H357" s="28"/>
    </row>
    <row r="358" spans="6:8" ht="13.2" x14ac:dyDescent="0.25">
      <c r="F358" s="24"/>
      <c r="H358" s="28"/>
    </row>
    <row r="359" spans="6:8" ht="13.2" x14ac:dyDescent="0.25">
      <c r="F359" s="24"/>
      <c r="H359" s="28"/>
    </row>
    <row r="360" spans="6:8" ht="13.2" x14ac:dyDescent="0.25">
      <c r="F360" s="24"/>
      <c r="H360" s="28"/>
    </row>
    <row r="361" spans="6:8" ht="13.2" x14ac:dyDescent="0.25">
      <c r="F361" s="24"/>
      <c r="H361" s="28"/>
    </row>
    <row r="362" spans="6:8" ht="13.2" x14ac:dyDescent="0.25">
      <c r="F362" s="24"/>
      <c r="H362" s="28"/>
    </row>
    <row r="363" spans="6:8" ht="13.2" x14ac:dyDescent="0.25">
      <c r="F363" s="24"/>
      <c r="H363" s="28"/>
    </row>
    <row r="364" spans="6:8" ht="13.2" x14ac:dyDescent="0.25">
      <c r="F364" s="24"/>
      <c r="H364" s="28"/>
    </row>
    <row r="365" spans="6:8" ht="13.2" x14ac:dyDescent="0.25">
      <c r="F365" s="24"/>
      <c r="H365" s="28"/>
    </row>
    <row r="366" spans="6:8" ht="13.2" x14ac:dyDescent="0.25">
      <c r="F366" s="24"/>
      <c r="H366" s="28"/>
    </row>
    <row r="367" spans="6:8" ht="13.2" x14ac:dyDescent="0.25">
      <c r="F367" s="24"/>
      <c r="H367" s="28"/>
    </row>
    <row r="368" spans="6:8" ht="13.2" x14ac:dyDescent="0.25">
      <c r="F368" s="24"/>
      <c r="H368" s="28"/>
    </row>
    <row r="369" spans="6:8" ht="13.2" x14ac:dyDescent="0.25">
      <c r="F369" s="24"/>
      <c r="H369" s="28"/>
    </row>
    <row r="370" spans="6:8" ht="13.2" x14ac:dyDescent="0.25">
      <c r="F370" s="24"/>
      <c r="H370" s="28"/>
    </row>
    <row r="371" spans="6:8" ht="13.2" x14ac:dyDescent="0.25">
      <c r="F371" s="24"/>
      <c r="H371" s="28"/>
    </row>
    <row r="372" spans="6:8" ht="13.2" x14ac:dyDescent="0.25">
      <c r="F372" s="24"/>
      <c r="H372" s="28"/>
    </row>
    <row r="373" spans="6:8" ht="13.2" x14ac:dyDescent="0.25">
      <c r="F373" s="24"/>
      <c r="H373" s="28"/>
    </row>
    <row r="374" spans="6:8" ht="13.2" x14ac:dyDescent="0.25">
      <c r="F374" s="24"/>
      <c r="H374" s="28"/>
    </row>
    <row r="375" spans="6:8" ht="13.2" x14ac:dyDescent="0.25">
      <c r="F375" s="24"/>
      <c r="H375" s="28"/>
    </row>
    <row r="376" spans="6:8" ht="13.2" x14ac:dyDescent="0.25">
      <c r="F376" s="24"/>
      <c r="H376" s="28"/>
    </row>
    <row r="379" spans="6:8" ht="13.2" x14ac:dyDescent="0.25">
      <c r="F379" s="22"/>
    </row>
    <row r="380" spans="6:8" ht="13.2" x14ac:dyDescent="0.25">
      <c r="F380" s="22"/>
      <c r="G380" s="22"/>
      <c r="H380" s="22"/>
    </row>
    <row r="381" spans="6:8" ht="13.2" x14ac:dyDescent="0.25">
      <c r="F381" s="24"/>
      <c r="H381" s="28"/>
    </row>
    <row r="382" spans="6:8" ht="13.2" x14ac:dyDescent="0.25">
      <c r="F382" s="24"/>
      <c r="H382" s="28"/>
    </row>
    <row r="383" spans="6:8" ht="13.2" x14ac:dyDescent="0.25">
      <c r="F383" s="24"/>
      <c r="H383" s="28"/>
    </row>
    <row r="384" spans="6:8" ht="13.2" x14ac:dyDescent="0.25">
      <c r="F384" s="24"/>
      <c r="H384" s="28"/>
    </row>
    <row r="385" spans="6:8" ht="13.2" x14ac:dyDescent="0.25">
      <c r="F385" s="24"/>
      <c r="H385" s="28"/>
    </row>
    <row r="386" spans="6:8" ht="13.2" x14ac:dyDescent="0.25">
      <c r="F386" s="24"/>
      <c r="H386" s="28"/>
    </row>
    <row r="387" spans="6:8" ht="13.2" x14ac:dyDescent="0.25">
      <c r="F387" s="24"/>
      <c r="H387" s="28"/>
    </row>
    <row r="388" spans="6:8" ht="13.2" x14ac:dyDescent="0.25">
      <c r="F388" s="24"/>
      <c r="H388" s="28"/>
    </row>
    <row r="389" spans="6:8" ht="13.2" x14ac:dyDescent="0.25">
      <c r="F389" s="24"/>
      <c r="H389" s="28"/>
    </row>
    <row r="390" spans="6:8" ht="13.2" x14ac:dyDescent="0.25">
      <c r="F390" s="24"/>
      <c r="H390" s="28"/>
    </row>
    <row r="391" spans="6:8" ht="13.2" x14ac:dyDescent="0.25">
      <c r="F391" s="24"/>
      <c r="H391" s="28"/>
    </row>
    <row r="392" spans="6:8" ht="13.2" x14ac:dyDescent="0.25">
      <c r="F392" s="24"/>
      <c r="H392" s="28"/>
    </row>
    <row r="393" spans="6:8" ht="13.2" x14ac:dyDescent="0.25">
      <c r="F393" s="24"/>
      <c r="H393" s="28"/>
    </row>
    <row r="394" spans="6:8" ht="13.2" x14ac:dyDescent="0.25">
      <c r="F394" s="24"/>
      <c r="H394" s="28"/>
    </row>
    <row r="395" spans="6:8" ht="13.2" x14ac:dyDescent="0.25">
      <c r="F395" s="24"/>
      <c r="H395" s="28"/>
    </row>
    <row r="396" spans="6:8" ht="13.2" x14ac:dyDescent="0.25">
      <c r="F396" s="24"/>
      <c r="H396" s="28"/>
    </row>
    <row r="397" spans="6:8" ht="13.2" x14ac:dyDescent="0.25">
      <c r="F397" s="24"/>
      <c r="H397" s="28"/>
    </row>
    <row r="398" spans="6:8" ht="13.2" x14ac:dyDescent="0.25">
      <c r="F398" s="24"/>
      <c r="H398" s="28"/>
    </row>
    <row r="399" spans="6:8" ht="13.2" x14ac:dyDescent="0.25">
      <c r="F399" s="24"/>
      <c r="H399" s="28"/>
    </row>
    <row r="400" spans="6:8" ht="13.2" x14ac:dyDescent="0.25">
      <c r="F400" s="24"/>
      <c r="H400" s="28"/>
    </row>
    <row r="401" spans="6:8" ht="13.2" x14ac:dyDescent="0.25">
      <c r="F401" s="24"/>
      <c r="H401" s="28"/>
    </row>
    <row r="402" spans="6:8" ht="13.2" x14ac:dyDescent="0.25">
      <c r="F402" s="24"/>
      <c r="H402" s="28"/>
    </row>
    <row r="403" spans="6:8" ht="13.2" x14ac:dyDescent="0.25">
      <c r="F403" s="24"/>
      <c r="H403" s="28"/>
    </row>
    <row r="404" spans="6:8" ht="13.2" x14ac:dyDescent="0.25">
      <c r="F404" s="24"/>
      <c r="H404" s="28"/>
    </row>
    <row r="405" spans="6:8" ht="13.2" x14ac:dyDescent="0.25">
      <c r="F405" s="24"/>
      <c r="H405" s="28"/>
    </row>
    <row r="406" spans="6:8" ht="13.2" x14ac:dyDescent="0.25">
      <c r="F406" s="24"/>
      <c r="H406" s="28"/>
    </row>
    <row r="407" spans="6:8" ht="13.2" x14ac:dyDescent="0.25">
      <c r="F407" s="24"/>
      <c r="H407" s="28"/>
    </row>
    <row r="408" spans="6:8" ht="13.2" x14ac:dyDescent="0.25">
      <c r="F408" s="24"/>
      <c r="H408" s="28"/>
    </row>
    <row r="409" spans="6:8" ht="13.2" x14ac:dyDescent="0.25">
      <c r="F409" s="24"/>
      <c r="H409" s="28"/>
    </row>
    <row r="410" spans="6:8" ht="13.2" x14ac:dyDescent="0.25">
      <c r="F410" s="24"/>
      <c r="H410" s="28"/>
    </row>
    <row r="411" spans="6:8" ht="13.2" x14ac:dyDescent="0.25">
      <c r="F411" s="24"/>
      <c r="H411" s="28"/>
    </row>
    <row r="412" spans="6:8" ht="13.2" x14ac:dyDescent="0.25">
      <c r="F412" s="24"/>
      <c r="H412" s="28"/>
    </row>
    <row r="413" spans="6:8" ht="13.2" x14ac:dyDescent="0.25">
      <c r="F413" s="24"/>
      <c r="H413" s="28"/>
    </row>
    <row r="414" spans="6:8" ht="13.2" x14ac:dyDescent="0.25">
      <c r="F414" s="24"/>
      <c r="H414" s="28"/>
    </row>
    <row r="415" spans="6:8" ht="13.2" x14ac:dyDescent="0.25">
      <c r="F415" s="24"/>
      <c r="H415" s="28"/>
    </row>
    <row r="416" spans="6:8" ht="13.2" x14ac:dyDescent="0.25">
      <c r="F416" s="24"/>
      <c r="H416" s="28"/>
    </row>
    <row r="417" spans="6:8" ht="13.2" x14ac:dyDescent="0.25">
      <c r="F417" s="24"/>
      <c r="H417" s="28"/>
    </row>
    <row r="418" spans="6:8" ht="13.2" x14ac:dyDescent="0.25">
      <c r="F418" s="24"/>
      <c r="H418" s="28"/>
    </row>
    <row r="419" spans="6:8" ht="13.2" x14ac:dyDescent="0.25">
      <c r="F419" s="24"/>
      <c r="H419" s="28"/>
    </row>
    <row r="420" spans="6:8" ht="13.2" x14ac:dyDescent="0.25">
      <c r="F420" s="24"/>
      <c r="H420" s="28"/>
    </row>
    <row r="421" spans="6:8" ht="13.2" x14ac:dyDescent="0.25">
      <c r="F421" s="24"/>
      <c r="H421" s="28"/>
    </row>
    <row r="422" spans="6:8" ht="13.2" x14ac:dyDescent="0.25">
      <c r="F422" s="24"/>
      <c r="H422" s="28"/>
    </row>
    <row r="423" spans="6:8" ht="13.2" x14ac:dyDescent="0.25">
      <c r="F423" s="24"/>
      <c r="H423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"/>
  <sheetViews>
    <sheetView workbookViewId="0"/>
  </sheetViews>
  <sheetFormatPr defaultColWidth="12.6640625" defaultRowHeight="15.75" customHeight="1" x14ac:dyDescent="0.25"/>
  <cols>
    <col min="4" max="4" width="39.3320312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0</v>
      </c>
      <c r="B2" s="22" t="s">
        <v>154</v>
      </c>
      <c r="C2" s="34">
        <v>46063</v>
      </c>
      <c r="D2" s="22" t="s">
        <v>481</v>
      </c>
      <c r="E2" s="22">
        <v>25</v>
      </c>
      <c r="F2" s="28" t="s">
        <v>482</v>
      </c>
      <c r="G2" s="22" t="s">
        <v>483</v>
      </c>
      <c r="H2" s="22"/>
      <c r="I2" s="22">
        <v>54</v>
      </c>
    </row>
  </sheetData>
  <autoFilter ref="D1:D933" xr:uid="{00000000-0009-0000-0000-000002000000}"/>
  <dataValidations count="1">
    <dataValidation type="list" allowBlank="1" showErrorMessage="1" sqref="H2:I2" xr:uid="{00000000-0002-0000-02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"/>
  <sheetViews>
    <sheetView workbookViewId="0"/>
  </sheetViews>
  <sheetFormatPr defaultColWidth="12.6640625" defaultRowHeight="15.75" customHeight="1" x14ac:dyDescent="0.25"/>
  <cols>
    <col min="3" max="3" width="18.6640625" customWidth="1"/>
    <col min="4" max="4" width="41.8867187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</sheetData>
  <autoFilter ref="D1:D380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3010"/>
  <sheetViews>
    <sheetView workbookViewId="0"/>
  </sheetViews>
  <sheetFormatPr defaultColWidth="12.6640625" defaultRowHeight="15.75" customHeight="1" x14ac:dyDescent="0.25"/>
  <cols>
    <col min="4" max="4" width="29.44140625" customWidth="1"/>
  </cols>
  <sheetData>
    <row r="1" spans="1:5" x14ac:dyDescent="0.25">
      <c r="A1" s="22" t="s">
        <v>484</v>
      </c>
      <c r="B1" s="22" t="s">
        <v>476</v>
      </c>
      <c r="C1" s="22" t="s">
        <v>485</v>
      </c>
      <c r="D1" s="22" t="s">
        <v>486</v>
      </c>
      <c r="E1" s="22" t="s">
        <v>487</v>
      </c>
    </row>
    <row r="2" spans="1:5" x14ac:dyDescent="0.25">
      <c r="A2" s="35">
        <v>46008.902973738426</v>
      </c>
      <c r="B2" s="22" t="s">
        <v>488</v>
      </c>
      <c r="C2" s="22" t="s">
        <v>489</v>
      </c>
      <c r="D2" s="22" t="s">
        <v>468</v>
      </c>
      <c r="E2" s="22" t="s">
        <v>490</v>
      </c>
    </row>
    <row r="3" spans="1:5" x14ac:dyDescent="0.25">
      <c r="A3" s="35">
        <v>46008.902975439814</v>
      </c>
      <c r="B3" s="22" t="s">
        <v>491</v>
      </c>
      <c r="C3" s="22" t="s">
        <v>489</v>
      </c>
      <c r="D3" s="22" t="s">
        <v>492</v>
      </c>
      <c r="E3" s="22" t="s">
        <v>490</v>
      </c>
    </row>
    <row r="4" spans="1:5" x14ac:dyDescent="0.25">
      <c r="A4" s="35">
        <v>46008.902977002319</v>
      </c>
      <c r="B4" s="22" t="s">
        <v>493</v>
      </c>
      <c r="C4" s="22" t="s">
        <v>482</v>
      </c>
      <c r="D4" s="22" t="s">
        <v>449</v>
      </c>
      <c r="E4" s="22" t="s">
        <v>490</v>
      </c>
    </row>
    <row r="5" spans="1:5" x14ac:dyDescent="0.25">
      <c r="A5" s="35">
        <v>46008.902978587968</v>
      </c>
      <c r="B5" s="22" t="s">
        <v>494</v>
      </c>
      <c r="C5" s="22" t="s">
        <v>489</v>
      </c>
      <c r="D5" s="22" t="s">
        <v>468</v>
      </c>
      <c r="E5" s="22" t="s">
        <v>490</v>
      </c>
    </row>
    <row r="6" spans="1:5" x14ac:dyDescent="0.25">
      <c r="A6" s="35">
        <v>46008.902980902778</v>
      </c>
      <c r="B6" s="22" t="s">
        <v>495</v>
      </c>
      <c r="C6" s="22" t="s">
        <v>489</v>
      </c>
      <c r="D6" s="22" t="s">
        <v>468</v>
      </c>
      <c r="E6" s="22" t="s">
        <v>490</v>
      </c>
    </row>
    <row r="7" spans="1:5" x14ac:dyDescent="0.25">
      <c r="A7" s="35">
        <v>46008.902982476851</v>
      </c>
      <c r="B7" s="22" t="s">
        <v>496</v>
      </c>
      <c r="C7" s="22" t="s">
        <v>489</v>
      </c>
      <c r="D7" s="22" t="s">
        <v>468</v>
      </c>
      <c r="E7" s="22" t="s">
        <v>490</v>
      </c>
    </row>
    <row r="8" spans="1:5" x14ac:dyDescent="0.25">
      <c r="A8" s="35">
        <v>46008.902983969907</v>
      </c>
      <c r="B8" s="22" t="s">
        <v>497</v>
      </c>
      <c r="C8" s="22" t="s">
        <v>489</v>
      </c>
      <c r="D8" s="22" t="s">
        <v>468</v>
      </c>
      <c r="E8" s="22" t="s">
        <v>490</v>
      </c>
    </row>
    <row r="9" spans="1:5" x14ac:dyDescent="0.25">
      <c r="A9" s="35">
        <v>46008.90298554398</v>
      </c>
      <c r="B9" s="22" t="s">
        <v>498</v>
      </c>
      <c r="C9" s="22" t="s">
        <v>482</v>
      </c>
      <c r="D9" s="22" t="s">
        <v>449</v>
      </c>
      <c r="E9" s="22" t="s">
        <v>490</v>
      </c>
    </row>
    <row r="10" spans="1:5" x14ac:dyDescent="0.25">
      <c r="A10" s="35">
        <v>46008.902987222224</v>
      </c>
      <c r="B10" s="22" t="s">
        <v>499</v>
      </c>
      <c r="C10" s="22" t="s">
        <v>489</v>
      </c>
      <c r="D10" s="22" t="s">
        <v>500</v>
      </c>
      <c r="E10" s="22" t="s">
        <v>490</v>
      </c>
    </row>
    <row r="11" spans="1:5" x14ac:dyDescent="0.25">
      <c r="A11" s="35">
        <v>46008.902989328708</v>
      </c>
      <c r="B11" s="22" t="s">
        <v>501</v>
      </c>
      <c r="C11" s="22" t="s">
        <v>489</v>
      </c>
      <c r="D11" s="22" t="s">
        <v>468</v>
      </c>
      <c r="E11" s="22" t="s">
        <v>490</v>
      </c>
    </row>
    <row r="12" spans="1:5" x14ac:dyDescent="0.25">
      <c r="A12" s="35">
        <v>46008.902996365738</v>
      </c>
      <c r="B12" s="22" t="s">
        <v>502</v>
      </c>
      <c r="C12" s="22" t="s">
        <v>482</v>
      </c>
      <c r="D12" s="22" t="s">
        <v>449</v>
      </c>
      <c r="E12" s="22" t="s">
        <v>490</v>
      </c>
    </row>
    <row r="13" spans="1:5" x14ac:dyDescent="0.25">
      <c r="A13" s="35">
        <v>46008.902998078702</v>
      </c>
      <c r="B13" s="22" t="s">
        <v>503</v>
      </c>
      <c r="C13" s="22" t="s">
        <v>489</v>
      </c>
      <c r="D13" s="22" t="s">
        <v>468</v>
      </c>
      <c r="E13" s="22" t="s">
        <v>490</v>
      </c>
    </row>
    <row r="14" spans="1:5" x14ac:dyDescent="0.25">
      <c r="A14" s="35">
        <v>46008.902999861108</v>
      </c>
      <c r="B14" s="22" t="s">
        <v>504</v>
      </c>
      <c r="C14" s="22" t="s">
        <v>489</v>
      </c>
      <c r="D14" s="22" t="s">
        <v>468</v>
      </c>
      <c r="E14" s="22" t="s">
        <v>490</v>
      </c>
    </row>
    <row r="15" spans="1:5" x14ac:dyDescent="0.25">
      <c r="A15" s="35">
        <v>46008.903001400467</v>
      </c>
      <c r="B15" s="22" t="s">
        <v>505</v>
      </c>
      <c r="C15" s="22" t="s">
        <v>489</v>
      </c>
      <c r="D15" s="22" t="s">
        <v>468</v>
      </c>
      <c r="E15" s="22" t="s">
        <v>490</v>
      </c>
    </row>
    <row r="16" spans="1:5" x14ac:dyDescent="0.25">
      <c r="A16" s="35">
        <v>46008.903002974534</v>
      </c>
      <c r="B16" s="22" t="s">
        <v>506</v>
      </c>
      <c r="C16" s="22" t="s">
        <v>489</v>
      </c>
      <c r="D16" s="22" t="s">
        <v>468</v>
      </c>
      <c r="E16" s="22" t="s">
        <v>490</v>
      </c>
    </row>
    <row r="17" spans="1:5" x14ac:dyDescent="0.25">
      <c r="A17" s="35">
        <v>46008.903004652777</v>
      </c>
      <c r="B17" s="22" t="s">
        <v>507</v>
      </c>
      <c r="C17" s="22" t="s">
        <v>489</v>
      </c>
      <c r="D17" s="22" t="s">
        <v>469</v>
      </c>
      <c r="E17" s="22" t="s">
        <v>490</v>
      </c>
    </row>
    <row r="18" spans="1:5" x14ac:dyDescent="0.25">
      <c r="A18" s="35">
        <v>46008.903006354165</v>
      </c>
      <c r="B18" s="22" t="s">
        <v>508</v>
      </c>
      <c r="C18" s="22" t="s">
        <v>489</v>
      </c>
      <c r="D18" s="22" t="s">
        <v>500</v>
      </c>
      <c r="E18" s="22" t="s">
        <v>490</v>
      </c>
    </row>
    <row r="19" spans="1:5" x14ac:dyDescent="0.25">
      <c r="A19" s="35">
        <v>46008.903007939814</v>
      </c>
      <c r="B19" s="22" t="s">
        <v>509</v>
      </c>
      <c r="C19" s="22" t="s">
        <v>489</v>
      </c>
      <c r="D19" s="22" t="s">
        <v>468</v>
      </c>
      <c r="E19" s="22" t="s">
        <v>490</v>
      </c>
    </row>
    <row r="20" spans="1:5" x14ac:dyDescent="0.25">
      <c r="A20" s="35">
        <v>46008.903009386573</v>
      </c>
      <c r="B20" s="22" t="s">
        <v>510</v>
      </c>
      <c r="C20" s="22" t="s">
        <v>489</v>
      </c>
      <c r="D20" s="22" t="s">
        <v>468</v>
      </c>
      <c r="E20" s="22" t="s">
        <v>490</v>
      </c>
    </row>
    <row r="21" spans="1:5" x14ac:dyDescent="0.25">
      <c r="A21" s="35">
        <v>46008.90301094907</v>
      </c>
      <c r="B21" s="22" t="s">
        <v>511</v>
      </c>
      <c r="C21" s="22" t="s">
        <v>482</v>
      </c>
      <c r="D21" s="22" t="s">
        <v>449</v>
      </c>
      <c r="E21" s="22" t="s">
        <v>490</v>
      </c>
    </row>
    <row r="22" spans="1:5" x14ac:dyDescent="0.25">
      <c r="A22" s="35">
        <v>46008.903012465278</v>
      </c>
      <c r="B22" s="22" t="s">
        <v>512</v>
      </c>
      <c r="C22" s="22" t="s">
        <v>482</v>
      </c>
      <c r="D22" s="22" t="s">
        <v>449</v>
      </c>
      <c r="E22" s="22" t="s">
        <v>490</v>
      </c>
    </row>
    <row r="23" spans="1:5" x14ac:dyDescent="0.25">
      <c r="A23" s="35">
        <v>46008.903013946758</v>
      </c>
      <c r="B23" s="22" t="s">
        <v>513</v>
      </c>
      <c r="C23" s="22" t="s">
        <v>489</v>
      </c>
      <c r="D23" s="22" t="s">
        <v>468</v>
      </c>
      <c r="E23" s="22" t="s">
        <v>490</v>
      </c>
    </row>
    <row r="24" spans="1:5" x14ac:dyDescent="0.25">
      <c r="A24" s="35">
        <v>46008.903015752316</v>
      </c>
      <c r="B24" s="22" t="s">
        <v>514</v>
      </c>
      <c r="C24" s="22" t="s">
        <v>482</v>
      </c>
      <c r="D24" s="22" t="s">
        <v>449</v>
      </c>
      <c r="E24" s="22" t="s">
        <v>490</v>
      </c>
    </row>
    <row r="25" spans="1:5" x14ac:dyDescent="0.25">
      <c r="A25" s="35">
        <v>46008.903017847224</v>
      </c>
      <c r="B25" s="22" t="s">
        <v>515</v>
      </c>
      <c r="C25" s="22" t="s">
        <v>482</v>
      </c>
      <c r="D25" s="22" t="s">
        <v>516</v>
      </c>
      <c r="E25" s="22" t="s">
        <v>490</v>
      </c>
    </row>
    <row r="26" spans="1:5" x14ac:dyDescent="0.25">
      <c r="A26" s="35">
        <v>46008.903019548612</v>
      </c>
      <c r="B26" s="22" t="s">
        <v>517</v>
      </c>
      <c r="C26" s="22" t="s">
        <v>482</v>
      </c>
      <c r="D26" s="22" t="s">
        <v>516</v>
      </c>
      <c r="E26" s="22" t="s">
        <v>490</v>
      </c>
    </row>
    <row r="27" spans="1:5" x14ac:dyDescent="0.25">
      <c r="A27" s="35">
        <v>46008.903024050931</v>
      </c>
      <c r="B27" s="22" t="s">
        <v>518</v>
      </c>
      <c r="C27" s="22" t="s">
        <v>489</v>
      </c>
      <c r="D27" s="22" t="s">
        <v>468</v>
      </c>
      <c r="E27" s="22" t="s">
        <v>490</v>
      </c>
    </row>
    <row r="28" spans="1:5" x14ac:dyDescent="0.25">
      <c r="A28" s="35">
        <v>46008.903025543987</v>
      </c>
      <c r="B28" s="22" t="s">
        <v>519</v>
      </c>
      <c r="C28" s="22" t="s">
        <v>489</v>
      </c>
      <c r="D28" s="22" t="s">
        <v>468</v>
      </c>
      <c r="E28" s="22" t="s">
        <v>490</v>
      </c>
    </row>
    <row r="29" spans="1:5" x14ac:dyDescent="0.25">
      <c r="A29" s="35">
        <v>46008.903027175926</v>
      </c>
      <c r="B29" s="22" t="s">
        <v>520</v>
      </c>
      <c r="C29" s="22" t="s">
        <v>489</v>
      </c>
      <c r="D29" s="22" t="s">
        <v>468</v>
      </c>
      <c r="E29" s="22" t="s">
        <v>490</v>
      </c>
    </row>
    <row r="30" spans="1:5" x14ac:dyDescent="0.25">
      <c r="A30" s="35">
        <v>46008.903028611108</v>
      </c>
      <c r="B30" s="22" t="s">
        <v>521</v>
      </c>
      <c r="C30" s="22" t="s">
        <v>489</v>
      </c>
      <c r="D30" s="22" t="s">
        <v>468</v>
      </c>
      <c r="E30" s="22" t="s">
        <v>490</v>
      </c>
    </row>
    <row r="31" spans="1:5" x14ac:dyDescent="0.25">
      <c r="A31" s="35">
        <v>46008.903030173606</v>
      </c>
      <c r="B31" s="22" t="s">
        <v>522</v>
      </c>
      <c r="C31" s="22" t="s">
        <v>489</v>
      </c>
      <c r="D31" s="22" t="s">
        <v>468</v>
      </c>
      <c r="E31" s="22" t="s">
        <v>490</v>
      </c>
    </row>
    <row r="32" spans="1:5" x14ac:dyDescent="0.25">
      <c r="A32" s="35">
        <v>46008.903040104167</v>
      </c>
      <c r="B32" s="22" t="s">
        <v>523</v>
      </c>
      <c r="C32" s="22" t="s">
        <v>482</v>
      </c>
      <c r="D32" s="22" t="s">
        <v>449</v>
      </c>
      <c r="E32" s="22" t="s">
        <v>490</v>
      </c>
    </row>
    <row r="33" spans="1:5" x14ac:dyDescent="0.25">
      <c r="A33" s="35">
        <v>46008.903041817131</v>
      </c>
      <c r="B33" s="22" t="s">
        <v>524</v>
      </c>
      <c r="C33" s="22" t="s">
        <v>482</v>
      </c>
      <c r="D33" s="22" t="s">
        <v>449</v>
      </c>
      <c r="E33" s="22" t="s">
        <v>490</v>
      </c>
    </row>
    <row r="34" spans="1:5" x14ac:dyDescent="0.25">
      <c r="A34" s="35">
        <v>46008.90304351852</v>
      </c>
      <c r="B34" s="22" t="s">
        <v>525</v>
      </c>
      <c r="C34" s="22" t="s">
        <v>482</v>
      </c>
      <c r="D34" s="22" t="s">
        <v>449</v>
      </c>
      <c r="E34" s="22" t="s">
        <v>490</v>
      </c>
    </row>
    <row r="35" spans="1:5" x14ac:dyDescent="0.25">
      <c r="A35" s="35">
        <v>46008.903045127314</v>
      </c>
      <c r="B35" s="22" t="s">
        <v>526</v>
      </c>
      <c r="C35" s="22" t="s">
        <v>482</v>
      </c>
      <c r="D35" s="22" t="s">
        <v>449</v>
      </c>
      <c r="E35" s="22" t="s">
        <v>490</v>
      </c>
    </row>
    <row r="36" spans="1:5" x14ac:dyDescent="0.25">
      <c r="A36" s="35">
        <v>46008.903046886575</v>
      </c>
      <c r="B36" s="22" t="s">
        <v>527</v>
      </c>
      <c r="C36" s="22" t="s">
        <v>489</v>
      </c>
      <c r="D36" s="22" t="s">
        <v>468</v>
      </c>
      <c r="E36" s="22" t="s">
        <v>490</v>
      </c>
    </row>
    <row r="37" spans="1:5" x14ac:dyDescent="0.25">
      <c r="A37" s="35">
        <v>46008.903048495369</v>
      </c>
      <c r="B37" s="22" t="s">
        <v>528</v>
      </c>
      <c r="C37" s="22" t="s">
        <v>482</v>
      </c>
      <c r="D37" s="22" t="s">
        <v>449</v>
      </c>
      <c r="E37" s="22" t="s">
        <v>490</v>
      </c>
    </row>
    <row r="38" spans="1:5" x14ac:dyDescent="0.25">
      <c r="A38" s="35">
        <v>46008.903050266206</v>
      </c>
      <c r="B38" s="22" t="s">
        <v>529</v>
      </c>
      <c r="C38" s="22" t="s">
        <v>482</v>
      </c>
      <c r="D38" s="22" t="s">
        <v>449</v>
      </c>
      <c r="E38" s="22" t="s">
        <v>490</v>
      </c>
    </row>
    <row r="39" spans="1:5" x14ac:dyDescent="0.25">
      <c r="A39" s="35">
        <v>46008.903051909721</v>
      </c>
      <c r="B39" s="22" t="s">
        <v>530</v>
      </c>
      <c r="C39" s="22" t="s">
        <v>482</v>
      </c>
      <c r="D39" s="22" t="s">
        <v>449</v>
      </c>
      <c r="E39" s="22" t="s">
        <v>490</v>
      </c>
    </row>
    <row r="40" spans="1:5" x14ac:dyDescent="0.25">
      <c r="A40" s="35">
        <v>46008.903053622686</v>
      </c>
      <c r="B40" s="22" t="s">
        <v>531</v>
      </c>
      <c r="C40" s="22" t="s">
        <v>489</v>
      </c>
      <c r="D40" s="22" t="s">
        <v>500</v>
      </c>
      <c r="E40" s="22" t="s">
        <v>490</v>
      </c>
    </row>
    <row r="41" spans="1:5" x14ac:dyDescent="0.25">
      <c r="A41" s="35">
        <v>46008.903063692131</v>
      </c>
      <c r="B41" s="22" t="s">
        <v>532</v>
      </c>
      <c r="C41" s="22" t="s">
        <v>489</v>
      </c>
      <c r="D41" s="22" t="s">
        <v>468</v>
      </c>
      <c r="E41" s="22" t="s">
        <v>490</v>
      </c>
    </row>
    <row r="42" spans="1:5" x14ac:dyDescent="0.25">
      <c r="A42" s="35">
        <v>46008.903065474537</v>
      </c>
      <c r="B42" s="22" t="s">
        <v>533</v>
      </c>
      <c r="C42" s="22" t="s">
        <v>489</v>
      </c>
      <c r="D42" s="22" t="s">
        <v>468</v>
      </c>
      <c r="E42" s="22" t="s">
        <v>490</v>
      </c>
    </row>
    <row r="43" spans="1:5" x14ac:dyDescent="0.25">
      <c r="A43" s="35">
        <v>46008.903076736111</v>
      </c>
      <c r="B43" s="22" t="s">
        <v>534</v>
      </c>
      <c r="C43" s="22" t="s">
        <v>489</v>
      </c>
      <c r="D43" s="22" t="s">
        <v>468</v>
      </c>
      <c r="E43" s="22" t="s">
        <v>490</v>
      </c>
    </row>
    <row r="44" spans="1:5" x14ac:dyDescent="0.25">
      <c r="A44" s="35">
        <v>46008.903078391202</v>
      </c>
      <c r="B44" s="22" t="s">
        <v>535</v>
      </c>
      <c r="C44" s="22" t="s">
        <v>489</v>
      </c>
      <c r="D44" s="22" t="s">
        <v>468</v>
      </c>
      <c r="E44" s="22" t="s">
        <v>490</v>
      </c>
    </row>
    <row r="45" spans="1:5" x14ac:dyDescent="0.25">
      <c r="A45" s="35">
        <v>46008.903080162039</v>
      </c>
      <c r="B45" s="22" t="s">
        <v>536</v>
      </c>
      <c r="C45" s="22" t="s">
        <v>489</v>
      </c>
      <c r="D45" s="22" t="s">
        <v>468</v>
      </c>
      <c r="E45" s="22" t="s">
        <v>490</v>
      </c>
    </row>
    <row r="46" spans="1:5" x14ac:dyDescent="0.25">
      <c r="A46" s="35">
        <v>46008.903081770834</v>
      </c>
      <c r="B46" s="22" t="s">
        <v>537</v>
      </c>
      <c r="C46" s="22" t="s">
        <v>489</v>
      </c>
      <c r="D46" s="22" t="s">
        <v>500</v>
      </c>
      <c r="E46" s="22" t="s">
        <v>490</v>
      </c>
    </row>
    <row r="47" spans="1:5" x14ac:dyDescent="0.25">
      <c r="A47" s="35">
        <v>46008.903085902777</v>
      </c>
      <c r="B47" s="22" t="s">
        <v>538</v>
      </c>
      <c r="C47" s="22" t="s">
        <v>489</v>
      </c>
      <c r="D47" s="22" t="s">
        <v>500</v>
      </c>
      <c r="E47" s="22" t="s">
        <v>490</v>
      </c>
    </row>
    <row r="48" spans="1:5" x14ac:dyDescent="0.25">
      <c r="A48" s="35">
        <v>46008.903087592596</v>
      </c>
      <c r="B48" s="22" t="s">
        <v>539</v>
      </c>
      <c r="C48" s="22" t="s">
        <v>489</v>
      </c>
      <c r="D48" s="22" t="s">
        <v>500</v>
      </c>
      <c r="E48" s="22" t="s">
        <v>490</v>
      </c>
    </row>
    <row r="49" spans="1:5" x14ac:dyDescent="0.25">
      <c r="A49" s="35">
        <v>46008.903089270832</v>
      </c>
      <c r="B49" s="22" t="s">
        <v>540</v>
      </c>
      <c r="C49" s="22" t="s">
        <v>489</v>
      </c>
      <c r="D49" s="22" t="s">
        <v>500</v>
      </c>
      <c r="E49" s="22" t="s">
        <v>490</v>
      </c>
    </row>
    <row r="50" spans="1:5" x14ac:dyDescent="0.25">
      <c r="A50" s="35">
        <v>46008.903090983797</v>
      </c>
      <c r="B50" s="22" t="s">
        <v>541</v>
      </c>
      <c r="C50" s="22" t="s">
        <v>489</v>
      </c>
      <c r="D50" s="22" t="s">
        <v>500</v>
      </c>
      <c r="E50" s="22" t="s">
        <v>490</v>
      </c>
    </row>
    <row r="51" spans="1:5" x14ac:dyDescent="0.25">
      <c r="A51" s="35">
        <v>46008.903092627312</v>
      </c>
      <c r="B51" s="22" t="s">
        <v>542</v>
      </c>
      <c r="C51" s="22" t="s">
        <v>489</v>
      </c>
      <c r="D51" s="22" t="s">
        <v>492</v>
      </c>
      <c r="E51" s="22" t="s">
        <v>490</v>
      </c>
    </row>
    <row r="52" spans="1:5" x14ac:dyDescent="0.25">
      <c r="A52" s="35">
        <v>46008.903094328707</v>
      </c>
      <c r="B52" s="22" t="s">
        <v>543</v>
      </c>
      <c r="C52" s="22" t="s">
        <v>482</v>
      </c>
      <c r="D52" s="22" t="s">
        <v>449</v>
      </c>
      <c r="E52" s="22" t="s">
        <v>490</v>
      </c>
    </row>
    <row r="53" spans="1:5" x14ac:dyDescent="0.25">
      <c r="A53" s="35">
        <v>46008.903095949077</v>
      </c>
      <c r="B53" s="22" t="s">
        <v>544</v>
      </c>
      <c r="C53" s="22" t="s">
        <v>489</v>
      </c>
      <c r="D53" s="22" t="s">
        <v>468</v>
      </c>
      <c r="E53" s="22" t="s">
        <v>490</v>
      </c>
    </row>
    <row r="54" spans="1:5" x14ac:dyDescent="0.25">
      <c r="A54" s="35">
        <v>46008.903097638889</v>
      </c>
      <c r="B54" s="22" t="s">
        <v>545</v>
      </c>
      <c r="C54" s="22" t="s">
        <v>489</v>
      </c>
      <c r="D54" s="22" t="s">
        <v>500</v>
      </c>
      <c r="E54" s="22" t="s">
        <v>490</v>
      </c>
    </row>
    <row r="55" spans="1:5" x14ac:dyDescent="0.25">
      <c r="A55" s="35">
        <v>46008.903099583331</v>
      </c>
      <c r="B55" s="22" t="s">
        <v>546</v>
      </c>
      <c r="C55" s="22" t="s">
        <v>489</v>
      </c>
      <c r="D55" s="22" t="s">
        <v>468</v>
      </c>
      <c r="E55" s="22" t="s">
        <v>490</v>
      </c>
    </row>
    <row r="56" spans="1:5" x14ac:dyDescent="0.25">
      <c r="A56" s="35">
        <v>46008.903112002314</v>
      </c>
      <c r="B56" s="22" t="s">
        <v>547</v>
      </c>
      <c r="C56" s="22" t="s">
        <v>482</v>
      </c>
      <c r="D56" s="22" t="s">
        <v>449</v>
      </c>
      <c r="E56" s="22" t="s">
        <v>490</v>
      </c>
    </row>
    <row r="57" spans="1:5" x14ac:dyDescent="0.25">
      <c r="A57" s="35">
        <v>46008.903119120369</v>
      </c>
      <c r="B57" s="22" t="s">
        <v>548</v>
      </c>
      <c r="C57" s="22" t="s">
        <v>482</v>
      </c>
      <c r="D57" s="22" t="s">
        <v>449</v>
      </c>
      <c r="E57" s="22" t="s">
        <v>490</v>
      </c>
    </row>
    <row r="58" spans="1:5" x14ac:dyDescent="0.25">
      <c r="A58" s="35">
        <v>46008.903120682866</v>
      </c>
      <c r="B58" s="22" t="s">
        <v>549</v>
      </c>
      <c r="C58" s="22" t="s">
        <v>489</v>
      </c>
      <c r="D58" s="22" t="s">
        <v>469</v>
      </c>
      <c r="E58" s="22" t="s">
        <v>490</v>
      </c>
    </row>
    <row r="59" spans="1:5" x14ac:dyDescent="0.25">
      <c r="A59" s="35">
        <v>46008.903122511576</v>
      </c>
      <c r="B59" s="22" t="s">
        <v>550</v>
      </c>
      <c r="C59" s="22" t="s">
        <v>489</v>
      </c>
      <c r="D59" s="22" t="s">
        <v>468</v>
      </c>
      <c r="E59" s="22" t="s">
        <v>490</v>
      </c>
    </row>
    <row r="60" spans="1:5" x14ac:dyDescent="0.25">
      <c r="A60" s="35">
        <v>46008.903124097225</v>
      </c>
      <c r="B60" s="22" t="s">
        <v>551</v>
      </c>
      <c r="C60" s="22" t="s">
        <v>489</v>
      </c>
      <c r="D60" s="22" t="s">
        <v>492</v>
      </c>
      <c r="E60" s="22" t="s">
        <v>490</v>
      </c>
    </row>
    <row r="61" spans="1:5" x14ac:dyDescent="0.25">
      <c r="A61" s="35">
        <v>46008.903125729164</v>
      </c>
      <c r="B61" s="22" t="s">
        <v>552</v>
      </c>
      <c r="C61" s="22" t="s">
        <v>489</v>
      </c>
      <c r="D61" s="22" t="s">
        <v>468</v>
      </c>
      <c r="E61" s="22" t="s">
        <v>490</v>
      </c>
    </row>
    <row r="62" spans="1:5" x14ac:dyDescent="0.25">
      <c r="A62" s="35">
        <v>46008.903130937499</v>
      </c>
      <c r="B62" s="22" t="s">
        <v>553</v>
      </c>
      <c r="C62" s="22" t="s">
        <v>489</v>
      </c>
      <c r="D62" s="22" t="s">
        <v>500</v>
      </c>
      <c r="E62" s="22" t="s">
        <v>490</v>
      </c>
    </row>
    <row r="63" spans="1:5" x14ac:dyDescent="0.25">
      <c r="A63" s="35">
        <v>46008.903142812502</v>
      </c>
      <c r="B63" s="22" t="s">
        <v>554</v>
      </c>
      <c r="C63" s="22" t="s">
        <v>482</v>
      </c>
      <c r="D63" s="22" t="s">
        <v>449</v>
      </c>
      <c r="E63" s="22" t="s">
        <v>490</v>
      </c>
    </row>
    <row r="64" spans="1:5" x14ac:dyDescent="0.25">
      <c r="A64" s="35">
        <v>46008.903144490745</v>
      </c>
      <c r="B64" s="22" t="s">
        <v>555</v>
      </c>
      <c r="C64" s="22" t="s">
        <v>489</v>
      </c>
      <c r="D64" s="22" t="s">
        <v>469</v>
      </c>
      <c r="E64" s="22" t="s">
        <v>490</v>
      </c>
    </row>
    <row r="65" spans="1:5" x14ac:dyDescent="0.25">
      <c r="A65" s="35">
        <v>46008.903146180557</v>
      </c>
      <c r="B65" s="22" t="s">
        <v>556</v>
      </c>
      <c r="C65" s="22" t="s">
        <v>489</v>
      </c>
      <c r="D65" s="22" t="s">
        <v>492</v>
      </c>
      <c r="E65" s="22" t="s">
        <v>490</v>
      </c>
    </row>
    <row r="66" spans="1:5" x14ac:dyDescent="0.25">
      <c r="A66" s="35">
        <v>46008.903147928242</v>
      </c>
      <c r="B66" s="22" t="s">
        <v>557</v>
      </c>
      <c r="C66" s="22" t="s">
        <v>489</v>
      </c>
      <c r="D66" s="22" t="s">
        <v>500</v>
      </c>
      <c r="E66" s="22" t="s">
        <v>490</v>
      </c>
    </row>
    <row r="67" spans="1:5" x14ac:dyDescent="0.25">
      <c r="A67" s="35">
        <v>46008.903149594902</v>
      </c>
      <c r="B67" s="22" t="s">
        <v>558</v>
      </c>
      <c r="C67" s="22" t="s">
        <v>489</v>
      </c>
      <c r="D67" s="22" t="s">
        <v>468</v>
      </c>
      <c r="E67" s="22" t="s">
        <v>490</v>
      </c>
    </row>
    <row r="68" spans="1:5" x14ac:dyDescent="0.25">
      <c r="A68" s="35">
        <v>46008.90315106482</v>
      </c>
      <c r="B68" s="22" t="s">
        <v>559</v>
      </c>
      <c r="C68" s="22" t="s">
        <v>489</v>
      </c>
      <c r="D68" s="22" t="s">
        <v>468</v>
      </c>
      <c r="E68" s="22" t="s">
        <v>490</v>
      </c>
    </row>
    <row r="69" spans="1:5" x14ac:dyDescent="0.25">
      <c r="A69" s="35">
        <v>46008.903152557876</v>
      </c>
      <c r="B69" s="22" t="s">
        <v>560</v>
      </c>
      <c r="C69" s="22" t="s">
        <v>489</v>
      </c>
      <c r="D69" s="22" t="s">
        <v>468</v>
      </c>
      <c r="E69" s="22" t="s">
        <v>490</v>
      </c>
    </row>
    <row r="70" spans="1:5" x14ac:dyDescent="0.25">
      <c r="A70" s="35">
        <v>46008.903160324073</v>
      </c>
      <c r="B70" s="22" t="s">
        <v>561</v>
      </c>
      <c r="C70" s="22" t="s">
        <v>489</v>
      </c>
      <c r="D70" s="22" t="s">
        <v>468</v>
      </c>
      <c r="E70" s="22" t="s">
        <v>490</v>
      </c>
    </row>
    <row r="71" spans="1:5" x14ac:dyDescent="0.25">
      <c r="A71" s="35">
        <v>46008.903165474534</v>
      </c>
      <c r="B71" s="22" t="s">
        <v>562</v>
      </c>
      <c r="C71" s="22" t="s">
        <v>482</v>
      </c>
      <c r="D71" s="22" t="s">
        <v>449</v>
      </c>
      <c r="E71" s="22" t="s">
        <v>490</v>
      </c>
    </row>
    <row r="72" spans="1:5" x14ac:dyDescent="0.25">
      <c r="A72" s="35">
        <v>46008.903167002311</v>
      </c>
      <c r="B72" s="22" t="s">
        <v>563</v>
      </c>
      <c r="C72" s="22" t="s">
        <v>489</v>
      </c>
      <c r="D72" s="22" t="s">
        <v>468</v>
      </c>
      <c r="E72" s="22" t="s">
        <v>490</v>
      </c>
    </row>
    <row r="73" spans="1:5" x14ac:dyDescent="0.25">
      <c r="A73" s="35">
        <v>46008.903168807868</v>
      </c>
      <c r="B73" s="22" t="s">
        <v>564</v>
      </c>
      <c r="C73" s="22" t="s">
        <v>489</v>
      </c>
      <c r="D73" s="22" t="s">
        <v>500</v>
      </c>
      <c r="E73" s="22" t="s">
        <v>490</v>
      </c>
    </row>
    <row r="74" spans="1:5" x14ac:dyDescent="0.25">
      <c r="A74" s="35">
        <v>46008.903174444444</v>
      </c>
      <c r="B74" s="22" t="s">
        <v>565</v>
      </c>
      <c r="C74" s="22" t="s">
        <v>489</v>
      </c>
      <c r="D74" s="22" t="s">
        <v>468</v>
      </c>
      <c r="E74" s="22" t="s">
        <v>490</v>
      </c>
    </row>
    <row r="75" spans="1:5" x14ac:dyDescent="0.25">
      <c r="A75" s="35">
        <v>46008.903175983796</v>
      </c>
      <c r="B75" s="22" t="s">
        <v>566</v>
      </c>
      <c r="C75" s="22" t="s">
        <v>489</v>
      </c>
      <c r="D75" s="22" t="s">
        <v>468</v>
      </c>
      <c r="E75" s="22" t="s">
        <v>490</v>
      </c>
    </row>
    <row r="76" spans="1:5" x14ac:dyDescent="0.25">
      <c r="A76" s="35">
        <v>46008.903181597227</v>
      </c>
      <c r="B76" s="22" t="s">
        <v>567</v>
      </c>
      <c r="C76" s="22" t="s">
        <v>489</v>
      </c>
      <c r="D76" s="22" t="s">
        <v>468</v>
      </c>
      <c r="E76" s="22" t="s">
        <v>490</v>
      </c>
    </row>
    <row r="77" spans="1:5" x14ac:dyDescent="0.25">
      <c r="A77" s="35">
        <v>46008.903183402777</v>
      </c>
      <c r="B77" s="22" t="s">
        <v>568</v>
      </c>
      <c r="C77" s="22" t="s">
        <v>489</v>
      </c>
      <c r="D77" s="22" t="s">
        <v>468</v>
      </c>
      <c r="E77" s="22" t="s">
        <v>490</v>
      </c>
    </row>
    <row r="78" spans="1:5" x14ac:dyDescent="0.25">
      <c r="A78" s="35">
        <v>46008.903185115742</v>
      </c>
      <c r="B78" s="22" t="s">
        <v>569</v>
      </c>
      <c r="C78" s="22" t="s">
        <v>482</v>
      </c>
      <c r="D78" s="22" t="s">
        <v>449</v>
      </c>
      <c r="E78" s="22" t="s">
        <v>490</v>
      </c>
    </row>
    <row r="79" spans="1:5" x14ac:dyDescent="0.25">
      <c r="A79" s="35">
        <v>46008.903186828698</v>
      </c>
      <c r="B79" s="22" t="s">
        <v>570</v>
      </c>
      <c r="C79" s="22" t="s">
        <v>489</v>
      </c>
      <c r="D79" s="22" t="s">
        <v>468</v>
      </c>
      <c r="E79" s="22" t="s">
        <v>490</v>
      </c>
    </row>
    <row r="80" spans="1:5" x14ac:dyDescent="0.25">
      <c r="A80" s="35">
        <v>46008.903193495367</v>
      </c>
      <c r="B80" s="22" t="s">
        <v>571</v>
      </c>
      <c r="C80" s="22" t="s">
        <v>482</v>
      </c>
      <c r="D80" s="22" t="s">
        <v>449</v>
      </c>
      <c r="E80" s="22" t="s">
        <v>490</v>
      </c>
    </row>
    <row r="81" spans="1:5" x14ac:dyDescent="0.25">
      <c r="A81" s="35">
        <v>46008.903195439816</v>
      </c>
      <c r="B81" s="22" t="s">
        <v>572</v>
      </c>
      <c r="C81" s="22" t="s">
        <v>489</v>
      </c>
      <c r="D81" s="22" t="s">
        <v>468</v>
      </c>
      <c r="E81" s="22" t="s">
        <v>490</v>
      </c>
    </row>
    <row r="82" spans="1:5" x14ac:dyDescent="0.25">
      <c r="A82" s="35">
        <v>46008.903204641203</v>
      </c>
      <c r="B82" s="22" t="s">
        <v>573</v>
      </c>
      <c r="C82" s="22" t="s">
        <v>489</v>
      </c>
      <c r="D82" s="22" t="s">
        <v>468</v>
      </c>
      <c r="E82" s="22" t="s">
        <v>490</v>
      </c>
    </row>
    <row r="83" spans="1:5" x14ac:dyDescent="0.25">
      <c r="A83" s="35">
        <v>46008.90320630787</v>
      </c>
      <c r="B83" s="22" t="s">
        <v>574</v>
      </c>
      <c r="C83" s="22" t="s">
        <v>489</v>
      </c>
      <c r="D83" s="22" t="s">
        <v>468</v>
      </c>
      <c r="E83" s="22" t="s">
        <v>490</v>
      </c>
    </row>
    <row r="84" spans="1:5" x14ac:dyDescent="0.25">
      <c r="A84" s="35">
        <v>46008.903208159725</v>
      </c>
      <c r="B84" s="22" t="s">
        <v>575</v>
      </c>
      <c r="C84" s="22" t="s">
        <v>489</v>
      </c>
      <c r="D84" s="22" t="s">
        <v>468</v>
      </c>
      <c r="E84" s="22" t="s">
        <v>490</v>
      </c>
    </row>
    <row r="85" spans="1:5" x14ac:dyDescent="0.25">
      <c r="A85" s="35">
        <v>46008.903209976852</v>
      </c>
      <c r="B85" s="22" t="s">
        <v>576</v>
      </c>
      <c r="C85" s="22" t="s">
        <v>489</v>
      </c>
      <c r="D85" s="22" t="s">
        <v>468</v>
      </c>
      <c r="E85" s="22" t="s">
        <v>490</v>
      </c>
    </row>
    <row r="86" spans="1:5" x14ac:dyDescent="0.25">
      <c r="A86" s="35">
        <v>46008.903211736106</v>
      </c>
      <c r="B86" s="22" t="s">
        <v>577</v>
      </c>
      <c r="C86" s="22" t="s">
        <v>482</v>
      </c>
      <c r="D86" s="22" t="s">
        <v>449</v>
      </c>
      <c r="E86" s="22" t="s">
        <v>490</v>
      </c>
    </row>
    <row r="87" spans="1:5" x14ac:dyDescent="0.25">
      <c r="A87" s="35">
        <v>46008.903219282409</v>
      </c>
      <c r="B87" s="22" t="s">
        <v>578</v>
      </c>
      <c r="C87" s="22" t="s">
        <v>489</v>
      </c>
      <c r="D87" s="22" t="s">
        <v>500</v>
      </c>
      <c r="E87" s="22" t="s">
        <v>490</v>
      </c>
    </row>
    <row r="88" spans="1:5" x14ac:dyDescent="0.25">
      <c r="A88" s="35">
        <v>46008.903220891203</v>
      </c>
      <c r="B88" s="22" t="s">
        <v>579</v>
      </c>
      <c r="C88" s="22" t="s">
        <v>489</v>
      </c>
      <c r="D88" s="22" t="s">
        <v>468</v>
      </c>
      <c r="E88" s="22" t="s">
        <v>490</v>
      </c>
    </row>
    <row r="89" spans="1:5" x14ac:dyDescent="0.25">
      <c r="A89" s="35">
        <v>46008.903223379632</v>
      </c>
      <c r="B89" s="22" t="s">
        <v>580</v>
      </c>
      <c r="C89" s="22" t="s">
        <v>489</v>
      </c>
      <c r="D89" s="22" t="s">
        <v>468</v>
      </c>
      <c r="E89" s="22" t="s">
        <v>490</v>
      </c>
    </row>
    <row r="90" spans="1:5" x14ac:dyDescent="0.25">
      <c r="A90" s="35">
        <v>46008.903224953705</v>
      </c>
      <c r="B90" s="22" t="s">
        <v>581</v>
      </c>
      <c r="C90" s="22" t="s">
        <v>489</v>
      </c>
      <c r="D90" s="22" t="s">
        <v>582</v>
      </c>
      <c r="E90" s="22" t="s">
        <v>490</v>
      </c>
    </row>
    <row r="91" spans="1:5" x14ac:dyDescent="0.25">
      <c r="A91" s="35">
        <v>46008.903226909722</v>
      </c>
      <c r="B91" s="22" t="s">
        <v>583</v>
      </c>
      <c r="C91" s="22" t="s">
        <v>489</v>
      </c>
      <c r="D91" s="22" t="s">
        <v>468</v>
      </c>
      <c r="E91" s="22" t="s">
        <v>490</v>
      </c>
    </row>
    <row r="92" spans="1:5" x14ac:dyDescent="0.25">
      <c r="A92" s="35">
        <v>46008.903228599534</v>
      </c>
      <c r="B92" s="22" t="s">
        <v>584</v>
      </c>
      <c r="C92" s="22" t="s">
        <v>489</v>
      </c>
      <c r="D92" s="22" t="s">
        <v>469</v>
      </c>
      <c r="E92" s="22" t="s">
        <v>490</v>
      </c>
    </row>
    <row r="93" spans="1:5" x14ac:dyDescent="0.25">
      <c r="A93" s="35">
        <v>46008.90323030093</v>
      </c>
      <c r="B93" s="22" t="s">
        <v>585</v>
      </c>
      <c r="C93" s="22" t="s">
        <v>489</v>
      </c>
      <c r="D93" s="22" t="s">
        <v>468</v>
      </c>
      <c r="E93" s="22" t="s">
        <v>490</v>
      </c>
    </row>
    <row r="94" spans="1:5" x14ac:dyDescent="0.25">
      <c r="A94" s="35">
        <v>46008.903231782402</v>
      </c>
      <c r="B94" s="22" t="s">
        <v>586</v>
      </c>
      <c r="C94" s="22" t="s">
        <v>489</v>
      </c>
      <c r="D94" s="22" t="s">
        <v>468</v>
      </c>
      <c r="E94" s="22" t="s">
        <v>490</v>
      </c>
    </row>
    <row r="95" spans="1:5" x14ac:dyDescent="0.25">
      <c r="A95" s="35">
        <v>46008.9032337963</v>
      </c>
      <c r="B95" s="22" t="s">
        <v>587</v>
      </c>
      <c r="C95" s="22" t="s">
        <v>489</v>
      </c>
      <c r="D95" s="22" t="s">
        <v>468</v>
      </c>
      <c r="E95" s="22" t="s">
        <v>490</v>
      </c>
    </row>
    <row r="96" spans="1:5" x14ac:dyDescent="0.25">
      <c r="A96" s="35">
        <v>46008.90323916667</v>
      </c>
      <c r="B96" s="22" t="s">
        <v>588</v>
      </c>
      <c r="C96" s="22" t="s">
        <v>489</v>
      </c>
      <c r="D96" s="22" t="s">
        <v>468</v>
      </c>
      <c r="E96" s="22" t="s">
        <v>490</v>
      </c>
    </row>
    <row r="97" spans="1:5" x14ac:dyDescent="0.25">
      <c r="A97" s="35">
        <v>46008.903240810185</v>
      </c>
      <c r="B97" s="22" t="s">
        <v>589</v>
      </c>
      <c r="C97" s="22" t="s">
        <v>489</v>
      </c>
      <c r="D97" s="22" t="s">
        <v>468</v>
      </c>
      <c r="E97" s="22" t="s">
        <v>490</v>
      </c>
    </row>
    <row r="98" spans="1:5" x14ac:dyDescent="0.25">
      <c r="A98" s="35">
        <v>46008.903242696761</v>
      </c>
      <c r="B98" s="22" t="s">
        <v>590</v>
      </c>
      <c r="C98" s="22" t="s">
        <v>489</v>
      </c>
      <c r="D98" s="22" t="s">
        <v>468</v>
      </c>
      <c r="E98" s="22" t="s">
        <v>490</v>
      </c>
    </row>
    <row r="99" spans="1:5" x14ac:dyDescent="0.25">
      <c r="A99" s="35">
        <v>46008.903244479166</v>
      </c>
      <c r="B99" s="22" t="s">
        <v>591</v>
      </c>
      <c r="C99" s="22" t="s">
        <v>489</v>
      </c>
      <c r="D99" s="22" t="s">
        <v>469</v>
      </c>
      <c r="E99" s="22" t="s">
        <v>490</v>
      </c>
    </row>
    <row r="100" spans="1:5" x14ac:dyDescent="0.25">
      <c r="A100" s="35">
        <v>46008.903246284724</v>
      </c>
      <c r="B100" s="22" t="s">
        <v>592</v>
      </c>
      <c r="C100" s="22" t="s">
        <v>489</v>
      </c>
      <c r="D100" s="22" t="s">
        <v>500</v>
      </c>
      <c r="E100" s="22" t="s">
        <v>490</v>
      </c>
    </row>
    <row r="101" spans="1:5" x14ac:dyDescent="0.25">
      <c r="A101" s="35">
        <v>46008.903248761577</v>
      </c>
      <c r="B101" s="22" t="s">
        <v>593</v>
      </c>
      <c r="C101" s="22" t="s">
        <v>489</v>
      </c>
      <c r="D101" s="22" t="s">
        <v>468</v>
      </c>
      <c r="E101" s="22" t="s">
        <v>490</v>
      </c>
    </row>
    <row r="102" spans="1:5" x14ac:dyDescent="0.25">
      <c r="A102" s="35">
        <v>46008.903250266201</v>
      </c>
      <c r="B102" s="22" t="s">
        <v>594</v>
      </c>
      <c r="C102" s="22" t="s">
        <v>489</v>
      </c>
      <c r="D102" s="22" t="s">
        <v>469</v>
      </c>
      <c r="E102" s="22" t="s">
        <v>490</v>
      </c>
    </row>
    <row r="103" spans="1:5" x14ac:dyDescent="0.25">
      <c r="A103" s="35">
        <v>46008.90325959491</v>
      </c>
      <c r="B103" s="22" t="s">
        <v>595</v>
      </c>
      <c r="C103" s="22" t="s">
        <v>489</v>
      </c>
      <c r="D103" s="22" t="s">
        <v>468</v>
      </c>
      <c r="E103" s="22" t="s">
        <v>490</v>
      </c>
    </row>
    <row r="104" spans="1:5" x14ac:dyDescent="0.25">
      <c r="A104" s="35">
        <v>46008.903261273153</v>
      </c>
      <c r="B104" s="22" t="s">
        <v>596</v>
      </c>
      <c r="C104" s="22" t="s">
        <v>489</v>
      </c>
      <c r="D104" s="22" t="s">
        <v>468</v>
      </c>
      <c r="E104" s="22" t="s">
        <v>490</v>
      </c>
    </row>
    <row r="105" spans="1:5" x14ac:dyDescent="0.25">
      <c r="A105" s="35">
        <v>46008.903273587959</v>
      </c>
      <c r="B105" s="22" t="s">
        <v>597</v>
      </c>
      <c r="C105" s="22" t="s">
        <v>489</v>
      </c>
      <c r="D105" s="22" t="s">
        <v>468</v>
      </c>
      <c r="E105" s="22" t="s">
        <v>490</v>
      </c>
    </row>
    <row r="106" spans="1:5" x14ac:dyDescent="0.25">
      <c r="A106" s="35">
        <v>46008.903275173609</v>
      </c>
      <c r="B106" s="22" t="s">
        <v>598</v>
      </c>
      <c r="C106" s="22" t="s">
        <v>489</v>
      </c>
      <c r="D106" s="22" t="s">
        <v>469</v>
      </c>
      <c r="E106" s="22" t="s">
        <v>490</v>
      </c>
    </row>
    <row r="107" spans="1:5" x14ac:dyDescent="0.25">
      <c r="A107" s="35">
        <v>46008.903277372687</v>
      </c>
      <c r="B107" s="22" t="s">
        <v>599</v>
      </c>
      <c r="C107" s="22" t="s">
        <v>489</v>
      </c>
      <c r="D107" s="22" t="s">
        <v>492</v>
      </c>
      <c r="E107" s="22" t="s">
        <v>490</v>
      </c>
    </row>
    <row r="108" spans="1:5" x14ac:dyDescent="0.25">
      <c r="A108" s="35">
        <v>46008.903278958329</v>
      </c>
      <c r="B108" s="22" t="s">
        <v>600</v>
      </c>
      <c r="C108" s="22" t="s">
        <v>489</v>
      </c>
      <c r="D108" s="22" t="s">
        <v>468</v>
      </c>
      <c r="E108" s="22" t="s">
        <v>490</v>
      </c>
    </row>
    <row r="109" spans="1:5" x14ac:dyDescent="0.25">
      <c r="A109" s="35">
        <v>46008.903280787039</v>
      </c>
      <c r="B109" s="22" t="s">
        <v>601</v>
      </c>
      <c r="C109" s="22" t="s">
        <v>489</v>
      </c>
      <c r="D109" s="22" t="s">
        <v>468</v>
      </c>
      <c r="E109" s="22" t="s">
        <v>490</v>
      </c>
    </row>
    <row r="110" spans="1:5" x14ac:dyDescent="0.25">
      <c r="A110" s="35">
        <v>46008.903285370368</v>
      </c>
      <c r="B110" s="22" t="s">
        <v>602</v>
      </c>
      <c r="C110" s="22" t="s">
        <v>489</v>
      </c>
      <c r="D110" s="22" t="s">
        <v>468</v>
      </c>
      <c r="E110" s="22" t="s">
        <v>490</v>
      </c>
    </row>
    <row r="111" spans="1:5" x14ac:dyDescent="0.25">
      <c r="A111" s="35">
        <v>46008.903286851855</v>
      </c>
      <c r="B111" s="22" t="s">
        <v>603</v>
      </c>
      <c r="C111" s="22" t="s">
        <v>489</v>
      </c>
      <c r="D111" s="22" t="s">
        <v>468</v>
      </c>
      <c r="E111" s="22" t="s">
        <v>490</v>
      </c>
    </row>
    <row r="112" spans="1:5" x14ac:dyDescent="0.25">
      <c r="A112" s="35">
        <v>46008.903288368056</v>
      </c>
      <c r="B112" s="22" t="s">
        <v>604</v>
      </c>
      <c r="C112" s="22" t="s">
        <v>489</v>
      </c>
      <c r="D112" s="22" t="s">
        <v>492</v>
      </c>
      <c r="E112" s="22" t="s">
        <v>490</v>
      </c>
    </row>
    <row r="113" spans="1:5" x14ac:dyDescent="0.25">
      <c r="A113" s="35">
        <v>46008.903290057875</v>
      </c>
      <c r="B113" s="22" t="s">
        <v>605</v>
      </c>
      <c r="C113" s="22" t="s">
        <v>489</v>
      </c>
      <c r="D113" s="22" t="s">
        <v>468</v>
      </c>
      <c r="E113" s="22" t="s">
        <v>490</v>
      </c>
    </row>
    <row r="114" spans="1:5" x14ac:dyDescent="0.25">
      <c r="A114" s="35">
        <v>46008.903295162032</v>
      </c>
      <c r="B114" s="22" t="s">
        <v>606</v>
      </c>
      <c r="C114" s="22" t="s">
        <v>489</v>
      </c>
      <c r="D114" s="22" t="s">
        <v>468</v>
      </c>
      <c r="E114" s="22" t="s">
        <v>490</v>
      </c>
    </row>
    <row r="115" spans="1:5" x14ac:dyDescent="0.25">
      <c r="A115" s="35">
        <v>46008.903305474538</v>
      </c>
      <c r="B115" s="22" t="s">
        <v>607</v>
      </c>
      <c r="C115" s="22" t="s">
        <v>489</v>
      </c>
      <c r="D115" s="22" t="s">
        <v>500</v>
      </c>
      <c r="E115" s="22" t="s">
        <v>490</v>
      </c>
    </row>
    <row r="116" spans="1:5" x14ac:dyDescent="0.25">
      <c r="A116" s="35">
        <v>46008.90330690972</v>
      </c>
      <c r="B116" s="22" t="s">
        <v>608</v>
      </c>
      <c r="C116" s="22" t="s">
        <v>489</v>
      </c>
      <c r="D116" s="22" t="s">
        <v>492</v>
      </c>
      <c r="E116" s="22" t="s">
        <v>490</v>
      </c>
    </row>
    <row r="117" spans="1:5" x14ac:dyDescent="0.25">
      <c r="A117" s="35">
        <v>46008.903312094903</v>
      </c>
      <c r="B117" s="22" t="s">
        <v>609</v>
      </c>
      <c r="C117" s="22" t="s">
        <v>489</v>
      </c>
      <c r="D117" s="22" t="s">
        <v>468</v>
      </c>
      <c r="E117" s="22" t="s">
        <v>490</v>
      </c>
    </row>
    <row r="118" spans="1:5" x14ac:dyDescent="0.25">
      <c r="A118" s="35">
        <v>46008.903313715273</v>
      </c>
      <c r="B118" s="22" t="s">
        <v>610</v>
      </c>
      <c r="C118" s="22" t="s">
        <v>489</v>
      </c>
      <c r="D118" s="22" t="s">
        <v>469</v>
      </c>
      <c r="E118" s="22" t="s">
        <v>490</v>
      </c>
    </row>
    <row r="119" spans="1:5" x14ac:dyDescent="0.25">
      <c r="A119" s="35">
        <v>46008.903319328703</v>
      </c>
      <c r="B119" s="22" t="s">
        <v>611</v>
      </c>
      <c r="C119" s="22" t="s">
        <v>489</v>
      </c>
      <c r="D119" s="22" t="s">
        <v>500</v>
      </c>
      <c r="E119" s="22" t="s">
        <v>490</v>
      </c>
    </row>
    <row r="120" spans="1:5" x14ac:dyDescent="0.25">
      <c r="A120" s="35">
        <v>46008.90332081019</v>
      </c>
      <c r="B120" s="22" t="s">
        <v>612</v>
      </c>
      <c r="C120" s="22" t="s">
        <v>489</v>
      </c>
      <c r="D120" s="22" t="s">
        <v>468</v>
      </c>
      <c r="E120" s="22" t="s">
        <v>490</v>
      </c>
    </row>
    <row r="121" spans="1:5" x14ac:dyDescent="0.25">
      <c r="A121" s="35">
        <v>46008.903322349535</v>
      </c>
      <c r="B121" s="22" t="s">
        <v>613</v>
      </c>
      <c r="C121" s="22" t="s">
        <v>489</v>
      </c>
      <c r="D121" s="22" t="s">
        <v>500</v>
      </c>
      <c r="E121" s="22" t="s">
        <v>490</v>
      </c>
    </row>
    <row r="122" spans="1:5" x14ac:dyDescent="0.25">
      <c r="A122" s="35">
        <v>46008.90332409722</v>
      </c>
      <c r="B122" s="22" t="s">
        <v>614</v>
      </c>
      <c r="C122" s="22" t="s">
        <v>489</v>
      </c>
      <c r="D122" s="22" t="s">
        <v>468</v>
      </c>
      <c r="E122" s="22" t="s">
        <v>490</v>
      </c>
    </row>
    <row r="123" spans="1:5" x14ac:dyDescent="0.25">
      <c r="A123" s="35">
        <v>46008.903325648149</v>
      </c>
      <c r="B123" s="22" t="s">
        <v>615</v>
      </c>
      <c r="C123" s="22" t="s">
        <v>489</v>
      </c>
      <c r="D123" s="22" t="s">
        <v>500</v>
      </c>
      <c r="E123" s="22" t="s">
        <v>490</v>
      </c>
    </row>
    <row r="124" spans="1:5" x14ac:dyDescent="0.25">
      <c r="A124" s="35">
        <v>46008.903340254634</v>
      </c>
      <c r="B124" s="22" t="s">
        <v>616</v>
      </c>
      <c r="C124" s="22" t="s">
        <v>489</v>
      </c>
      <c r="D124" s="22" t="s">
        <v>468</v>
      </c>
      <c r="E124" s="22" t="s">
        <v>490</v>
      </c>
    </row>
    <row r="125" spans="1:5" x14ac:dyDescent="0.25">
      <c r="A125" s="35">
        <v>46008.903341886573</v>
      </c>
      <c r="B125" s="22" t="s">
        <v>617</v>
      </c>
      <c r="C125" s="22" t="s">
        <v>489</v>
      </c>
      <c r="D125" s="22" t="s">
        <v>492</v>
      </c>
      <c r="E125" s="22" t="s">
        <v>490</v>
      </c>
    </row>
    <row r="126" spans="1:5" x14ac:dyDescent="0.25">
      <c r="A126" s="35">
        <v>46008.903343414349</v>
      </c>
      <c r="B126" s="22" t="s">
        <v>618</v>
      </c>
      <c r="C126" s="22" t="s">
        <v>489</v>
      </c>
      <c r="D126" s="22" t="s">
        <v>469</v>
      </c>
      <c r="E126" s="22" t="s">
        <v>490</v>
      </c>
    </row>
    <row r="127" spans="1:5" x14ac:dyDescent="0.25">
      <c r="A127" s="35">
        <v>46008.9033503588</v>
      </c>
      <c r="B127" s="22" t="s">
        <v>619</v>
      </c>
      <c r="C127" s="22" t="s">
        <v>489</v>
      </c>
      <c r="D127" s="22" t="s">
        <v>469</v>
      </c>
      <c r="E127" s="22" t="s">
        <v>490</v>
      </c>
    </row>
    <row r="128" spans="1:5" x14ac:dyDescent="0.25">
      <c r="A128" s="35">
        <v>46008.903351944449</v>
      </c>
      <c r="B128" s="22" t="s">
        <v>620</v>
      </c>
      <c r="C128" s="22" t="s">
        <v>482</v>
      </c>
      <c r="D128" s="22" t="s">
        <v>449</v>
      </c>
      <c r="E128" s="22" t="s">
        <v>490</v>
      </c>
    </row>
    <row r="129" spans="1:5" x14ac:dyDescent="0.25">
      <c r="A129" s="35">
        <v>46008.903353472226</v>
      </c>
      <c r="B129" s="22" t="s">
        <v>621</v>
      </c>
      <c r="C129" s="22" t="s">
        <v>489</v>
      </c>
      <c r="D129" s="22" t="s">
        <v>492</v>
      </c>
      <c r="E129" s="22" t="s">
        <v>490</v>
      </c>
    </row>
    <row r="130" spans="1:5" x14ac:dyDescent="0.25">
      <c r="A130" s="35">
        <v>46008.903355243056</v>
      </c>
      <c r="B130" s="22" t="s">
        <v>622</v>
      </c>
      <c r="C130" s="22" t="s">
        <v>489</v>
      </c>
      <c r="D130" s="22" t="s">
        <v>500</v>
      </c>
      <c r="E130" s="22" t="s">
        <v>490</v>
      </c>
    </row>
    <row r="131" spans="1:5" x14ac:dyDescent="0.25">
      <c r="A131" s="35">
        <v>46008.903356770832</v>
      </c>
      <c r="B131" s="22" t="s">
        <v>623</v>
      </c>
      <c r="C131" s="22" t="s">
        <v>489</v>
      </c>
      <c r="D131" s="22" t="s">
        <v>468</v>
      </c>
      <c r="E131" s="22" t="s">
        <v>490</v>
      </c>
    </row>
    <row r="132" spans="1:5" x14ac:dyDescent="0.25">
      <c r="A132" s="35">
        <v>46008.90335857639</v>
      </c>
      <c r="B132" s="22" t="s">
        <v>624</v>
      </c>
      <c r="C132" s="22" t="s">
        <v>489</v>
      </c>
      <c r="D132" s="22" t="s">
        <v>468</v>
      </c>
      <c r="E132" s="22" t="s">
        <v>490</v>
      </c>
    </row>
    <row r="133" spans="1:5" x14ac:dyDescent="0.25">
      <c r="A133" s="35">
        <v>46008.903360416662</v>
      </c>
      <c r="B133" s="22" t="s">
        <v>625</v>
      </c>
      <c r="C133" s="22" t="s">
        <v>482</v>
      </c>
      <c r="D133" s="22" t="s">
        <v>516</v>
      </c>
      <c r="E133" s="22" t="s">
        <v>490</v>
      </c>
    </row>
    <row r="134" spans="1:5" x14ac:dyDescent="0.25">
      <c r="A134" s="35">
        <v>46008.903362337966</v>
      </c>
      <c r="B134" s="22" t="s">
        <v>626</v>
      </c>
      <c r="C134" s="22" t="s">
        <v>489</v>
      </c>
      <c r="D134" s="22" t="s">
        <v>468</v>
      </c>
      <c r="E134" s="22" t="s">
        <v>490</v>
      </c>
    </row>
    <row r="135" spans="1:5" x14ac:dyDescent="0.25">
      <c r="A135" s="35">
        <v>46008.90336384259</v>
      </c>
      <c r="B135" s="22" t="s">
        <v>627</v>
      </c>
      <c r="C135" s="22" t="s">
        <v>489</v>
      </c>
      <c r="D135" s="22" t="s">
        <v>469</v>
      </c>
      <c r="E135" s="22" t="s">
        <v>490</v>
      </c>
    </row>
    <row r="136" spans="1:5" x14ac:dyDescent="0.25">
      <c r="A136" s="35">
        <v>46008.903366516199</v>
      </c>
      <c r="B136" s="22" t="s">
        <v>628</v>
      </c>
      <c r="C136" s="22" t="s">
        <v>489</v>
      </c>
      <c r="D136" s="22" t="s">
        <v>500</v>
      </c>
      <c r="E136" s="22" t="s">
        <v>490</v>
      </c>
    </row>
    <row r="137" spans="1:5" x14ac:dyDescent="0.25">
      <c r="A137" s="35">
        <v>46008.903368043982</v>
      </c>
      <c r="B137" s="22" t="s">
        <v>629</v>
      </c>
      <c r="C137" s="22" t="s">
        <v>489</v>
      </c>
      <c r="D137" s="22" t="s">
        <v>468</v>
      </c>
      <c r="E137" s="22" t="s">
        <v>490</v>
      </c>
    </row>
    <row r="138" spans="1:5" x14ac:dyDescent="0.25">
      <c r="A138" s="35">
        <v>46008.903369618056</v>
      </c>
      <c r="B138" s="22" t="s">
        <v>630</v>
      </c>
      <c r="C138" s="22" t="s">
        <v>489</v>
      </c>
      <c r="D138" s="22" t="s">
        <v>468</v>
      </c>
      <c r="E138" s="22" t="s">
        <v>490</v>
      </c>
    </row>
    <row r="139" spans="1:5" x14ac:dyDescent="0.25">
      <c r="A139" s="35">
        <v>46008.903371134264</v>
      </c>
      <c r="B139" s="22" t="s">
        <v>631</v>
      </c>
      <c r="C139" s="22" t="s">
        <v>489</v>
      </c>
      <c r="D139" s="22" t="s">
        <v>500</v>
      </c>
      <c r="E139" s="22" t="s">
        <v>490</v>
      </c>
    </row>
    <row r="140" spans="1:5" x14ac:dyDescent="0.25">
      <c r="A140" s="35">
        <v>46008.903372673609</v>
      </c>
      <c r="B140" s="22" t="s">
        <v>632</v>
      </c>
      <c r="C140" s="22" t="s">
        <v>489</v>
      </c>
      <c r="D140" s="22" t="s">
        <v>500</v>
      </c>
      <c r="E140" s="22" t="s">
        <v>490</v>
      </c>
    </row>
    <row r="141" spans="1:5" x14ac:dyDescent="0.25">
      <c r="A141" s="35">
        <v>46008.903374236106</v>
      </c>
      <c r="B141" s="22" t="s">
        <v>633</v>
      </c>
      <c r="C141" s="22" t="s">
        <v>489</v>
      </c>
      <c r="D141" s="22" t="s">
        <v>500</v>
      </c>
      <c r="E141" s="22" t="s">
        <v>490</v>
      </c>
    </row>
    <row r="142" spans="1:5" x14ac:dyDescent="0.25">
      <c r="A142" s="35">
        <v>46008.903376018519</v>
      </c>
      <c r="B142" s="22" t="s">
        <v>634</v>
      </c>
      <c r="C142" s="22" t="s">
        <v>489</v>
      </c>
      <c r="D142" s="22" t="s">
        <v>468</v>
      </c>
      <c r="E142" s="22" t="s">
        <v>490</v>
      </c>
    </row>
    <row r="143" spans="1:5" x14ac:dyDescent="0.25">
      <c r="A143" s="35">
        <v>46008.903377905095</v>
      </c>
      <c r="B143" s="22" t="s">
        <v>635</v>
      </c>
      <c r="C143" s="22" t="s">
        <v>482</v>
      </c>
      <c r="D143" s="22" t="s">
        <v>449</v>
      </c>
      <c r="E143" s="22" t="s">
        <v>490</v>
      </c>
    </row>
    <row r="144" spans="1:5" x14ac:dyDescent="0.25">
      <c r="A144" s="35">
        <v>46008.903379675925</v>
      </c>
      <c r="B144" s="22" t="s">
        <v>636</v>
      </c>
      <c r="C144" s="22" t="s">
        <v>482</v>
      </c>
      <c r="D144" s="22" t="s">
        <v>449</v>
      </c>
      <c r="E144" s="22" t="s">
        <v>490</v>
      </c>
    </row>
    <row r="145" spans="1:5" x14ac:dyDescent="0.25">
      <c r="A145" s="35">
        <v>46008.903381388889</v>
      </c>
      <c r="B145" s="22" t="s">
        <v>637</v>
      </c>
      <c r="C145" s="22" t="s">
        <v>489</v>
      </c>
      <c r="D145" s="22" t="s">
        <v>500</v>
      </c>
      <c r="E145" s="22" t="s">
        <v>490</v>
      </c>
    </row>
    <row r="146" spans="1:5" x14ac:dyDescent="0.25">
      <c r="A146" s="35">
        <v>46008.903394479166</v>
      </c>
      <c r="B146" s="22" t="s">
        <v>638</v>
      </c>
      <c r="C146" s="22" t="s">
        <v>489</v>
      </c>
      <c r="D146" s="22" t="s">
        <v>500</v>
      </c>
      <c r="E146" s="22" t="s">
        <v>490</v>
      </c>
    </row>
    <row r="147" spans="1:5" x14ac:dyDescent="0.25">
      <c r="A147" s="35">
        <v>46008.903399583331</v>
      </c>
      <c r="B147" s="22" t="s">
        <v>639</v>
      </c>
      <c r="C147" s="22" t="s">
        <v>489</v>
      </c>
      <c r="D147" s="22" t="s">
        <v>500</v>
      </c>
      <c r="E147" s="22" t="s">
        <v>490</v>
      </c>
    </row>
    <row r="148" spans="1:5" x14ac:dyDescent="0.25">
      <c r="A148" s="35">
        <v>46008.903401111107</v>
      </c>
      <c r="B148" s="22" t="s">
        <v>640</v>
      </c>
      <c r="C148" s="22" t="s">
        <v>489</v>
      </c>
      <c r="D148" s="22" t="s">
        <v>500</v>
      </c>
      <c r="E148" s="22" t="s">
        <v>490</v>
      </c>
    </row>
    <row r="149" spans="1:5" x14ac:dyDescent="0.25">
      <c r="A149" s="35">
        <v>46008.903402685188</v>
      </c>
      <c r="B149" s="22" t="s">
        <v>641</v>
      </c>
      <c r="C149" s="22" t="s">
        <v>489</v>
      </c>
      <c r="D149" s="22" t="s">
        <v>500</v>
      </c>
      <c r="E149" s="22" t="s">
        <v>490</v>
      </c>
    </row>
    <row r="150" spans="1:5" x14ac:dyDescent="0.25">
      <c r="A150" s="35">
        <v>46008.903404479162</v>
      </c>
      <c r="B150" s="22" t="s">
        <v>642</v>
      </c>
      <c r="C150" s="22" t="s">
        <v>489</v>
      </c>
      <c r="D150" s="22" t="s">
        <v>500</v>
      </c>
      <c r="E150" s="22" t="s">
        <v>490</v>
      </c>
    </row>
    <row r="151" spans="1:5" x14ac:dyDescent="0.25">
      <c r="A151" s="35">
        <v>46008.903408217593</v>
      </c>
      <c r="B151" s="22" t="s">
        <v>643</v>
      </c>
      <c r="C151" s="22" t="s">
        <v>489</v>
      </c>
      <c r="D151" s="22" t="s">
        <v>500</v>
      </c>
      <c r="E151" s="22" t="s">
        <v>490</v>
      </c>
    </row>
    <row r="152" spans="1:5" x14ac:dyDescent="0.25">
      <c r="A152" s="35">
        <v>46008.90340978009</v>
      </c>
      <c r="B152" s="22" t="s">
        <v>644</v>
      </c>
      <c r="C152" s="22" t="s">
        <v>489</v>
      </c>
      <c r="D152" s="22" t="s">
        <v>500</v>
      </c>
      <c r="E152" s="22" t="s">
        <v>490</v>
      </c>
    </row>
    <row r="153" spans="1:5" x14ac:dyDescent="0.25">
      <c r="A153" s="35">
        <v>46008.903416597226</v>
      </c>
      <c r="B153" s="22" t="s">
        <v>645</v>
      </c>
      <c r="C153" s="22" t="s">
        <v>489</v>
      </c>
      <c r="D153" s="22" t="s">
        <v>500</v>
      </c>
      <c r="E153" s="22" t="s">
        <v>490</v>
      </c>
    </row>
    <row r="154" spans="1:5" x14ac:dyDescent="0.25">
      <c r="A154" s="35">
        <v>46008.903423344906</v>
      </c>
      <c r="B154" s="22" t="s">
        <v>646</v>
      </c>
      <c r="C154" s="22" t="s">
        <v>482</v>
      </c>
      <c r="D154" s="22" t="s">
        <v>449</v>
      </c>
      <c r="E154" s="22" t="s">
        <v>490</v>
      </c>
    </row>
    <row r="155" spans="1:5" x14ac:dyDescent="0.25">
      <c r="A155" s="35">
        <v>46008.903424907403</v>
      </c>
      <c r="B155" s="22" t="s">
        <v>647</v>
      </c>
      <c r="C155" s="22" t="s">
        <v>489</v>
      </c>
      <c r="D155" s="22" t="s">
        <v>468</v>
      </c>
      <c r="E155" s="22" t="s">
        <v>490</v>
      </c>
    </row>
    <row r="156" spans="1:5" x14ac:dyDescent="0.25">
      <c r="A156" s="35">
        <v>46008.903426435187</v>
      </c>
      <c r="B156" s="22" t="s">
        <v>648</v>
      </c>
      <c r="C156" s="22" t="s">
        <v>482</v>
      </c>
      <c r="D156" s="22" t="s">
        <v>449</v>
      </c>
      <c r="E156" s="22" t="s">
        <v>490</v>
      </c>
    </row>
    <row r="157" spans="1:5" x14ac:dyDescent="0.25">
      <c r="A157" s="35">
        <v>46008.903428240737</v>
      </c>
      <c r="B157" s="22" t="s">
        <v>649</v>
      </c>
      <c r="C157" s="22" t="s">
        <v>489</v>
      </c>
      <c r="D157" s="22" t="s">
        <v>468</v>
      </c>
      <c r="E157" s="22" t="s">
        <v>490</v>
      </c>
    </row>
    <row r="158" spans="1:5" x14ac:dyDescent="0.25">
      <c r="A158" s="35">
        <v>46008.90342988426</v>
      </c>
      <c r="B158" s="22" t="s">
        <v>650</v>
      </c>
      <c r="C158" s="22" t="s">
        <v>489</v>
      </c>
      <c r="D158" s="22" t="s">
        <v>469</v>
      </c>
      <c r="E158" s="22" t="s">
        <v>490</v>
      </c>
    </row>
    <row r="159" spans="1:5" x14ac:dyDescent="0.25">
      <c r="A159" s="35">
        <v>46008.903431423612</v>
      </c>
      <c r="B159" s="22" t="s">
        <v>651</v>
      </c>
      <c r="C159" s="22" t="s">
        <v>489</v>
      </c>
      <c r="D159" s="22" t="s">
        <v>468</v>
      </c>
      <c r="E159" s="22" t="s">
        <v>490</v>
      </c>
    </row>
    <row r="160" spans="1:5" x14ac:dyDescent="0.25">
      <c r="A160" s="35">
        <v>46008.903433067127</v>
      </c>
      <c r="B160" s="22" t="s">
        <v>652</v>
      </c>
      <c r="C160" s="22" t="s">
        <v>489</v>
      </c>
      <c r="D160" s="22" t="s">
        <v>468</v>
      </c>
      <c r="E160" s="22" t="s">
        <v>490</v>
      </c>
    </row>
    <row r="161" spans="1:5" x14ac:dyDescent="0.25">
      <c r="A161" s="35">
        <v>46008.903434768523</v>
      </c>
      <c r="B161" s="22" t="s">
        <v>653</v>
      </c>
      <c r="C161" s="22" t="s">
        <v>489</v>
      </c>
      <c r="D161" s="22" t="s">
        <v>469</v>
      </c>
      <c r="E161" s="22" t="s">
        <v>490</v>
      </c>
    </row>
    <row r="162" spans="1:5" x14ac:dyDescent="0.25">
      <c r="A162" s="35">
        <v>46008.903436388893</v>
      </c>
      <c r="B162" s="22" t="s">
        <v>654</v>
      </c>
      <c r="C162" s="22" t="s">
        <v>489</v>
      </c>
      <c r="D162" s="22" t="s">
        <v>469</v>
      </c>
      <c r="E162" s="22" t="s">
        <v>490</v>
      </c>
    </row>
    <row r="163" spans="1:5" x14ac:dyDescent="0.25">
      <c r="A163" s="35">
        <v>46008.903438113426</v>
      </c>
      <c r="B163" s="22" t="s">
        <v>655</v>
      </c>
      <c r="C163" s="22" t="s">
        <v>489</v>
      </c>
      <c r="D163" s="22" t="s">
        <v>500</v>
      </c>
      <c r="E163" s="22" t="s">
        <v>490</v>
      </c>
    </row>
    <row r="164" spans="1:5" x14ac:dyDescent="0.25">
      <c r="A164" s="35">
        <v>46008.903439641203</v>
      </c>
      <c r="B164" s="22" t="s">
        <v>656</v>
      </c>
      <c r="C164" s="22" t="s">
        <v>489</v>
      </c>
      <c r="D164" s="22" t="s">
        <v>500</v>
      </c>
      <c r="E164" s="22" t="s">
        <v>490</v>
      </c>
    </row>
    <row r="165" spans="1:5" x14ac:dyDescent="0.25">
      <c r="A165" s="35">
        <v>46008.903441516202</v>
      </c>
      <c r="B165" s="22" t="s">
        <v>657</v>
      </c>
      <c r="C165" s="22" t="s">
        <v>489</v>
      </c>
      <c r="D165" s="22" t="s">
        <v>468</v>
      </c>
      <c r="E165" s="22" t="s">
        <v>490</v>
      </c>
    </row>
    <row r="166" spans="1:5" x14ac:dyDescent="0.25">
      <c r="A166" s="35">
        <v>46008.903443263887</v>
      </c>
      <c r="B166" s="22" t="s">
        <v>658</v>
      </c>
      <c r="C166" s="22" t="s">
        <v>489</v>
      </c>
      <c r="D166" s="22" t="s">
        <v>468</v>
      </c>
      <c r="E166" s="22" t="s">
        <v>490</v>
      </c>
    </row>
    <row r="167" spans="1:5" x14ac:dyDescent="0.25">
      <c r="A167" s="35">
        <v>46008.903445138887</v>
      </c>
      <c r="B167" s="22" t="s">
        <v>659</v>
      </c>
      <c r="C167" s="22" t="s">
        <v>489</v>
      </c>
      <c r="D167" s="22" t="s">
        <v>468</v>
      </c>
      <c r="E167" s="22" t="s">
        <v>490</v>
      </c>
    </row>
    <row r="168" spans="1:5" x14ac:dyDescent="0.25">
      <c r="A168" s="35">
        <v>46008.903446747689</v>
      </c>
      <c r="B168" s="22" t="s">
        <v>660</v>
      </c>
      <c r="C168" s="22" t="s">
        <v>489</v>
      </c>
      <c r="D168" s="22" t="s">
        <v>468</v>
      </c>
      <c r="E168" s="22" t="s">
        <v>490</v>
      </c>
    </row>
    <row r="169" spans="1:5" x14ac:dyDescent="0.25">
      <c r="A169" s="35">
        <v>46008.903448171295</v>
      </c>
      <c r="B169" s="22" t="s">
        <v>661</v>
      </c>
      <c r="C169" s="22" t="s">
        <v>489</v>
      </c>
      <c r="D169" s="22" t="s">
        <v>468</v>
      </c>
      <c r="E169" s="22" t="s">
        <v>490</v>
      </c>
    </row>
    <row r="170" spans="1:5" x14ac:dyDescent="0.25">
      <c r="A170" s="35">
        <v>46008.903449699079</v>
      </c>
      <c r="B170" s="22" t="s">
        <v>662</v>
      </c>
      <c r="C170" s="22" t="s">
        <v>489</v>
      </c>
      <c r="D170" s="22" t="s">
        <v>469</v>
      </c>
      <c r="E170" s="22" t="s">
        <v>490</v>
      </c>
    </row>
    <row r="171" spans="1:5" x14ac:dyDescent="0.25">
      <c r="A171" s="35">
        <v>46008.903451168982</v>
      </c>
      <c r="B171" s="22" t="s">
        <v>663</v>
      </c>
      <c r="C171" s="22" t="s">
        <v>489</v>
      </c>
      <c r="D171" s="22" t="s">
        <v>468</v>
      </c>
      <c r="E171" s="22" t="s">
        <v>490</v>
      </c>
    </row>
    <row r="172" spans="1:5" x14ac:dyDescent="0.25">
      <c r="A172" s="35">
        <v>46008.903452650462</v>
      </c>
      <c r="B172" s="22" t="s">
        <v>664</v>
      </c>
      <c r="C172" s="22" t="s">
        <v>489</v>
      </c>
      <c r="D172" s="22" t="s">
        <v>500</v>
      </c>
      <c r="E172" s="22" t="s">
        <v>490</v>
      </c>
    </row>
    <row r="173" spans="1:5" x14ac:dyDescent="0.25">
      <c r="A173" s="35">
        <v>46008.903454189815</v>
      </c>
      <c r="B173" s="22" t="s">
        <v>665</v>
      </c>
      <c r="C173" s="22" t="s">
        <v>489</v>
      </c>
      <c r="D173" s="22" t="s">
        <v>500</v>
      </c>
      <c r="E173" s="22" t="s">
        <v>490</v>
      </c>
    </row>
    <row r="174" spans="1:5" x14ac:dyDescent="0.25">
      <c r="A174" s="35">
        <v>46008.903455960652</v>
      </c>
      <c r="B174" s="22" t="s">
        <v>666</v>
      </c>
      <c r="C174" s="22" t="s">
        <v>489</v>
      </c>
      <c r="D174" s="22" t="s">
        <v>500</v>
      </c>
      <c r="E174" s="22" t="s">
        <v>490</v>
      </c>
    </row>
    <row r="175" spans="1:5" x14ac:dyDescent="0.25">
      <c r="A175" s="35">
        <v>46008.903457824075</v>
      </c>
      <c r="B175" s="22" t="s">
        <v>667</v>
      </c>
      <c r="C175" s="22" t="s">
        <v>489</v>
      </c>
      <c r="D175" s="22" t="s">
        <v>500</v>
      </c>
      <c r="E175" s="22" t="s">
        <v>490</v>
      </c>
    </row>
    <row r="176" spans="1:5" x14ac:dyDescent="0.25">
      <c r="A176" s="35">
        <v>46008.903459386573</v>
      </c>
      <c r="B176" s="22" t="s">
        <v>668</v>
      </c>
      <c r="C176" s="22" t="s">
        <v>489</v>
      </c>
      <c r="D176" s="22" t="s">
        <v>468</v>
      </c>
      <c r="E176" s="22" t="s">
        <v>490</v>
      </c>
    </row>
    <row r="177" spans="1:5" x14ac:dyDescent="0.25">
      <c r="A177" s="35">
        <v>46008.903461400463</v>
      </c>
      <c r="B177" s="22" t="s">
        <v>669</v>
      </c>
      <c r="C177" s="22" t="s">
        <v>489</v>
      </c>
      <c r="D177" s="22" t="s">
        <v>468</v>
      </c>
      <c r="E177" s="22" t="s">
        <v>490</v>
      </c>
    </row>
    <row r="178" spans="1:5" x14ac:dyDescent="0.25">
      <c r="A178" s="35">
        <v>46008.903463020833</v>
      </c>
      <c r="B178" s="22" t="s">
        <v>670</v>
      </c>
      <c r="C178" s="22" t="s">
        <v>489</v>
      </c>
      <c r="D178" s="22" t="s">
        <v>500</v>
      </c>
      <c r="E178" s="22" t="s">
        <v>490</v>
      </c>
    </row>
    <row r="179" spans="1:5" x14ac:dyDescent="0.25">
      <c r="A179" s="35">
        <v>46008.903464444447</v>
      </c>
      <c r="B179" s="22" t="s">
        <v>671</v>
      </c>
      <c r="C179" s="22" t="s">
        <v>482</v>
      </c>
      <c r="D179" s="22" t="s">
        <v>449</v>
      </c>
      <c r="E179" s="22" t="s">
        <v>490</v>
      </c>
    </row>
    <row r="180" spans="1:5" x14ac:dyDescent="0.25">
      <c r="A180" s="35">
        <v>46008.903466064818</v>
      </c>
      <c r="B180" s="22" t="s">
        <v>672</v>
      </c>
      <c r="C180" s="22" t="s">
        <v>489</v>
      </c>
      <c r="D180" s="22" t="s">
        <v>469</v>
      </c>
      <c r="E180" s="22" t="s">
        <v>490</v>
      </c>
    </row>
    <row r="181" spans="1:5" x14ac:dyDescent="0.25">
      <c r="A181" s="35">
        <v>46008.903467546297</v>
      </c>
      <c r="B181" s="22" t="s">
        <v>673</v>
      </c>
      <c r="C181" s="22" t="s">
        <v>482</v>
      </c>
      <c r="D181" s="22" t="s">
        <v>449</v>
      </c>
      <c r="E181" s="22" t="s">
        <v>490</v>
      </c>
    </row>
    <row r="182" spans="1:5" x14ac:dyDescent="0.25">
      <c r="A182" s="35">
        <v>46008.903469699071</v>
      </c>
      <c r="B182" s="22" t="s">
        <v>674</v>
      </c>
      <c r="C182" s="22" t="s">
        <v>489</v>
      </c>
      <c r="D182" s="22" t="s">
        <v>492</v>
      </c>
      <c r="E182" s="22" t="s">
        <v>490</v>
      </c>
    </row>
    <row r="183" spans="1:5" x14ac:dyDescent="0.25">
      <c r="A183" s="35">
        <v>46008.90347125</v>
      </c>
      <c r="B183" s="22" t="s">
        <v>675</v>
      </c>
      <c r="C183" s="22" t="s">
        <v>489</v>
      </c>
      <c r="D183" s="22" t="s">
        <v>468</v>
      </c>
      <c r="E183" s="22" t="s">
        <v>490</v>
      </c>
    </row>
    <row r="184" spans="1:5" x14ac:dyDescent="0.25">
      <c r="A184" s="35">
        <v>46008.903472743055</v>
      </c>
      <c r="B184" s="22" t="s">
        <v>676</v>
      </c>
      <c r="C184" s="22" t="s">
        <v>489</v>
      </c>
      <c r="D184" s="22" t="s">
        <v>468</v>
      </c>
      <c r="E184" s="22" t="s">
        <v>490</v>
      </c>
    </row>
    <row r="185" spans="1:5" x14ac:dyDescent="0.25">
      <c r="A185" s="35">
        <v>46008.903474293984</v>
      </c>
      <c r="B185" s="22" t="s">
        <v>677</v>
      </c>
      <c r="C185" s="22" t="s">
        <v>489</v>
      </c>
      <c r="D185" s="22" t="s">
        <v>500</v>
      </c>
      <c r="E185" s="22" t="s">
        <v>490</v>
      </c>
    </row>
    <row r="186" spans="1:5" x14ac:dyDescent="0.25">
      <c r="A186" s="35">
        <v>46008.903475810184</v>
      </c>
      <c r="B186" s="22" t="s">
        <v>678</v>
      </c>
      <c r="C186" s="22" t="s">
        <v>489</v>
      </c>
      <c r="D186" s="22" t="s">
        <v>500</v>
      </c>
      <c r="E186" s="22" t="s">
        <v>490</v>
      </c>
    </row>
    <row r="187" spans="1:5" x14ac:dyDescent="0.25">
      <c r="A187" s="35">
        <v>46008.903477662039</v>
      </c>
      <c r="B187" s="22" t="s">
        <v>679</v>
      </c>
      <c r="C187" s="22" t="s">
        <v>482</v>
      </c>
      <c r="D187" s="22" t="s">
        <v>449</v>
      </c>
      <c r="E187" s="22" t="s">
        <v>490</v>
      </c>
    </row>
    <row r="188" spans="1:5" x14ac:dyDescent="0.25">
      <c r="A188" s="35">
        <v>46008.903479305554</v>
      </c>
      <c r="B188" s="22" t="s">
        <v>680</v>
      </c>
      <c r="C188" s="22" t="s">
        <v>482</v>
      </c>
      <c r="D188" s="22" t="s">
        <v>449</v>
      </c>
      <c r="E188" s="22" t="s">
        <v>490</v>
      </c>
    </row>
    <row r="189" spans="1:5" x14ac:dyDescent="0.25">
      <c r="A189" s="35">
        <v>46008.903480833338</v>
      </c>
      <c r="B189" s="22" t="s">
        <v>681</v>
      </c>
      <c r="C189" s="22" t="s">
        <v>482</v>
      </c>
      <c r="D189" s="22" t="s">
        <v>449</v>
      </c>
      <c r="E189" s="22" t="s">
        <v>490</v>
      </c>
    </row>
    <row r="190" spans="1:5" x14ac:dyDescent="0.25">
      <c r="A190" s="35">
        <v>46008.903483993054</v>
      </c>
      <c r="B190" s="22" t="s">
        <v>682</v>
      </c>
      <c r="C190" s="22" t="s">
        <v>489</v>
      </c>
      <c r="D190" s="22" t="s">
        <v>500</v>
      </c>
      <c r="E190" s="22" t="s">
        <v>490</v>
      </c>
    </row>
    <row r="191" spans="1:5" x14ac:dyDescent="0.25">
      <c r="A191" s="35">
        <v>46008.903485694449</v>
      </c>
      <c r="B191" s="22" t="s">
        <v>683</v>
      </c>
      <c r="C191" s="22" t="s">
        <v>489</v>
      </c>
      <c r="D191" s="22" t="s">
        <v>492</v>
      </c>
      <c r="E191" s="22" t="s">
        <v>490</v>
      </c>
    </row>
    <row r="192" spans="1:5" x14ac:dyDescent="0.25">
      <c r="A192" s="35">
        <v>46008.903487199073</v>
      </c>
      <c r="B192" s="22" t="s">
        <v>684</v>
      </c>
      <c r="C192" s="22" t="s">
        <v>489</v>
      </c>
      <c r="D192" s="22" t="s">
        <v>468</v>
      </c>
      <c r="E192" s="22" t="s">
        <v>490</v>
      </c>
    </row>
    <row r="193" spans="1:5" x14ac:dyDescent="0.25">
      <c r="A193" s="35">
        <v>46008.90348857639</v>
      </c>
      <c r="B193" s="22" t="s">
        <v>685</v>
      </c>
      <c r="C193" s="22" t="s">
        <v>482</v>
      </c>
      <c r="D193" s="22" t="s">
        <v>449</v>
      </c>
      <c r="E193" s="22" t="s">
        <v>490</v>
      </c>
    </row>
    <row r="194" spans="1:5" x14ac:dyDescent="0.25">
      <c r="A194" s="35">
        <v>46008.90349099537</v>
      </c>
      <c r="B194" s="22" t="s">
        <v>686</v>
      </c>
      <c r="C194" s="22" t="s">
        <v>482</v>
      </c>
      <c r="D194" s="22" t="s">
        <v>449</v>
      </c>
      <c r="E194" s="22" t="s">
        <v>490</v>
      </c>
    </row>
    <row r="195" spans="1:5" x14ac:dyDescent="0.25">
      <c r="A195" s="35">
        <v>46008.903492546291</v>
      </c>
      <c r="B195" s="22" t="s">
        <v>687</v>
      </c>
      <c r="C195" s="22" t="s">
        <v>489</v>
      </c>
      <c r="D195" s="22" t="s">
        <v>469</v>
      </c>
      <c r="E195" s="22" t="s">
        <v>490</v>
      </c>
    </row>
    <row r="196" spans="1:5" x14ac:dyDescent="0.25">
      <c r="A196" s="35">
        <v>46008.903494074075</v>
      </c>
      <c r="B196" s="22" t="s">
        <v>688</v>
      </c>
      <c r="C196" s="22" t="s">
        <v>489</v>
      </c>
      <c r="D196" s="22" t="s">
        <v>468</v>
      </c>
      <c r="E196" s="22" t="s">
        <v>490</v>
      </c>
    </row>
    <row r="197" spans="1:5" x14ac:dyDescent="0.25">
      <c r="A197" s="35">
        <v>46008.903495844905</v>
      </c>
      <c r="B197" s="22" t="s">
        <v>689</v>
      </c>
      <c r="C197" s="22" t="s">
        <v>489</v>
      </c>
      <c r="D197" s="22" t="s">
        <v>500</v>
      </c>
      <c r="E197" s="22" t="s">
        <v>490</v>
      </c>
    </row>
    <row r="198" spans="1:5" x14ac:dyDescent="0.25">
      <c r="A198" s="35">
        <v>46008.903497523148</v>
      </c>
      <c r="B198" s="22" t="s">
        <v>690</v>
      </c>
      <c r="C198" s="22" t="s">
        <v>482</v>
      </c>
      <c r="D198" s="22" t="s">
        <v>449</v>
      </c>
      <c r="E198" s="22" t="s">
        <v>490</v>
      </c>
    </row>
    <row r="199" spans="1:5" x14ac:dyDescent="0.25">
      <c r="A199" s="35">
        <v>46008.903499189815</v>
      </c>
      <c r="B199" s="22" t="s">
        <v>691</v>
      </c>
      <c r="C199" s="22" t="s">
        <v>489</v>
      </c>
      <c r="D199" s="22" t="s">
        <v>500</v>
      </c>
      <c r="E199" s="22" t="s">
        <v>490</v>
      </c>
    </row>
    <row r="200" spans="1:5" x14ac:dyDescent="0.25">
      <c r="A200" s="35">
        <v>46008.903507141207</v>
      </c>
      <c r="B200" s="22" t="s">
        <v>692</v>
      </c>
      <c r="C200" s="22" t="s">
        <v>489</v>
      </c>
      <c r="D200" s="22" t="s">
        <v>500</v>
      </c>
      <c r="E200" s="22" t="s">
        <v>490</v>
      </c>
    </row>
    <row r="201" spans="1:5" x14ac:dyDescent="0.25">
      <c r="A201" s="35">
        <v>46008.903509502314</v>
      </c>
      <c r="B201" s="22" t="s">
        <v>693</v>
      </c>
      <c r="C201" s="22" t="s">
        <v>489</v>
      </c>
      <c r="D201" s="22" t="s">
        <v>500</v>
      </c>
      <c r="E201" s="22" t="s">
        <v>490</v>
      </c>
    </row>
    <row r="202" spans="1:5" x14ac:dyDescent="0.25">
      <c r="A202" s="35">
        <v>46008.903510995369</v>
      </c>
      <c r="B202" s="22" t="s">
        <v>694</v>
      </c>
      <c r="C202" s="22" t="s">
        <v>489</v>
      </c>
      <c r="D202" s="22" t="s">
        <v>500</v>
      </c>
      <c r="E202" s="22" t="s">
        <v>490</v>
      </c>
    </row>
    <row r="203" spans="1:5" x14ac:dyDescent="0.25">
      <c r="A203" s="35">
        <v>46008.903512500001</v>
      </c>
      <c r="B203" s="22" t="s">
        <v>695</v>
      </c>
      <c r="C203" s="22" t="s">
        <v>489</v>
      </c>
      <c r="D203" s="22" t="s">
        <v>468</v>
      </c>
      <c r="E203" s="22" t="s">
        <v>490</v>
      </c>
    </row>
    <row r="204" spans="1:5" x14ac:dyDescent="0.25">
      <c r="A204" s="35">
        <v>46008.903513969912</v>
      </c>
      <c r="B204" s="22" t="s">
        <v>696</v>
      </c>
      <c r="C204" s="22" t="s">
        <v>489</v>
      </c>
      <c r="D204" s="22" t="s">
        <v>469</v>
      </c>
      <c r="E204" s="22" t="s">
        <v>490</v>
      </c>
    </row>
    <row r="205" spans="1:5" x14ac:dyDescent="0.25">
      <c r="A205" s="35">
        <v>46008.903515335653</v>
      </c>
      <c r="B205" s="22" t="s">
        <v>697</v>
      </c>
      <c r="C205" s="22" t="s">
        <v>489</v>
      </c>
      <c r="D205" s="22" t="s">
        <v>468</v>
      </c>
      <c r="E205" s="22" t="s">
        <v>490</v>
      </c>
    </row>
    <row r="206" spans="1:5" x14ac:dyDescent="0.25">
      <c r="A206" s="35">
        <v>46008.903517314815</v>
      </c>
      <c r="B206" s="22" t="s">
        <v>698</v>
      </c>
      <c r="C206" s="22" t="s">
        <v>489</v>
      </c>
      <c r="D206" s="22" t="s">
        <v>469</v>
      </c>
      <c r="E206" s="22" t="s">
        <v>490</v>
      </c>
    </row>
    <row r="207" spans="1:5" x14ac:dyDescent="0.25">
      <c r="A207" s="35">
        <v>46008.903518900464</v>
      </c>
      <c r="B207" s="22" t="s">
        <v>699</v>
      </c>
      <c r="C207" s="22" t="s">
        <v>489</v>
      </c>
      <c r="D207" s="22" t="s">
        <v>468</v>
      </c>
      <c r="E207" s="22" t="s">
        <v>490</v>
      </c>
    </row>
    <row r="208" spans="1:5" x14ac:dyDescent="0.25">
      <c r="A208" s="35">
        <v>46008.903527314818</v>
      </c>
      <c r="B208" s="22" t="s">
        <v>700</v>
      </c>
      <c r="C208" s="22" t="s">
        <v>489</v>
      </c>
      <c r="D208" s="22" t="s">
        <v>468</v>
      </c>
      <c r="E208" s="22" t="s">
        <v>490</v>
      </c>
    </row>
    <row r="209" spans="1:5" x14ac:dyDescent="0.25">
      <c r="A209" s="35">
        <v>46008.903528946757</v>
      </c>
      <c r="B209" s="22" t="s">
        <v>701</v>
      </c>
      <c r="C209" s="22" t="s">
        <v>489</v>
      </c>
      <c r="D209" s="22" t="s">
        <v>500</v>
      </c>
      <c r="E209" s="22" t="s">
        <v>490</v>
      </c>
    </row>
    <row r="210" spans="1:5" x14ac:dyDescent="0.25">
      <c r="A210" s="35">
        <v>46008.903530625001</v>
      </c>
      <c r="B210" s="22" t="s">
        <v>702</v>
      </c>
      <c r="C210" s="22" t="s">
        <v>489</v>
      </c>
      <c r="D210" s="22" t="s">
        <v>500</v>
      </c>
      <c r="E210" s="22" t="s">
        <v>490</v>
      </c>
    </row>
    <row r="211" spans="1:5" x14ac:dyDescent="0.25">
      <c r="A211" s="35">
        <v>46008.903532222219</v>
      </c>
      <c r="B211" s="22" t="s">
        <v>703</v>
      </c>
      <c r="C211" s="22" t="s">
        <v>489</v>
      </c>
      <c r="D211" s="22" t="s">
        <v>500</v>
      </c>
      <c r="E211" s="22" t="s">
        <v>490</v>
      </c>
    </row>
    <row r="212" spans="1:5" x14ac:dyDescent="0.25">
      <c r="A212" s="35">
        <v>46008.903537951388</v>
      </c>
      <c r="B212" s="22" t="s">
        <v>704</v>
      </c>
      <c r="C212" s="22" t="s">
        <v>489</v>
      </c>
      <c r="D212" s="22" t="s">
        <v>468</v>
      </c>
      <c r="E212" s="22" t="s">
        <v>490</v>
      </c>
    </row>
    <row r="213" spans="1:5" x14ac:dyDescent="0.25">
      <c r="A213" s="35">
        <v>46008.903539733801</v>
      </c>
      <c r="B213" s="22" t="s">
        <v>705</v>
      </c>
      <c r="C213" s="22" t="s">
        <v>489</v>
      </c>
      <c r="D213" s="22" t="s">
        <v>492</v>
      </c>
      <c r="E213" s="22" t="s">
        <v>490</v>
      </c>
    </row>
    <row r="214" spans="1:5" x14ac:dyDescent="0.25">
      <c r="A214" s="35">
        <v>46008.903541354171</v>
      </c>
      <c r="B214" s="22" t="s">
        <v>706</v>
      </c>
      <c r="C214" s="22" t="s">
        <v>489</v>
      </c>
      <c r="D214" s="22" t="s">
        <v>468</v>
      </c>
      <c r="E214" s="22" t="s">
        <v>490</v>
      </c>
    </row>
    <row r="215" spans="1:5" x14ac:dyDescent="0.25">
      <c r="A215" s="35">
        <v>46008.903543067128</v>
      </c>
      <c r="B215" s="22" t="s">
        <v>707</v>
      </c>
      <c r="C215" s="22" t="s">
        <v>489</v>
      </c>
      <c r="D215" s="22" t="s">
        <v>468</v>
      </c>
      <c r="E215" s="22" t="s">
        <v>490</v>
      </c>
    </row>
    <row r="216" spans="1:5" x14ac:dyDescent="0.25">
      <c r="A216" s="35">
        <v>46008.903544722227</v>
      </c>
      <c r="B216" s="22" t="s">
        <v>708</v>
      </c>
      <c r="C216" s="22" t="s">
        <v>482</v>
      </c>
      <c r="D216" s="22" t="s">
        <v>516</v>
      </c>
      <c r="E216" s="22" t="s">
        <v>490</v>
      </c>
    </row>
    <row r="217" spans="1:5" x14ac:dyDescent="0.25">
      <c r="A217" s="35">
        <v>46008.903549039351</v>
      </c>
      <c r="B217" s="22" t="s">
        <v>709</v>
      </c>
      <c r="C217" s="22" t="s">
        <v>489</v>
      </c>
      <c r="D217" s="22" t="s">
        <v>468</v>
      </c>
      <c r="E217" s="22" t="s">
        <v>490</v>
      </c>
    </row>
    <row r="218" spans="1:5" x14ac:dyDescent="0.25">
      <c r="A218" s="35">
        <v>46008.903550706018</v>
      </c>
      <c r="B218" s="22" t="s">
        <v>710</v>
      </c>
      <c r="C218" s="22" t="s">
        <v>482</v>
      </c>
      <c r="D218" s="22" t="s">
        <v>449</v>
      </c>
      <c r="E218" s="22" t="s">
        <v>490</v>
      </c>
    </row>
    <row r="219" spans="1:5" x14ac:dyDescent="0.25">
      <c r="A219" s="35">
        <v>46008.903552384261</v>
      </c>
      <c r="B219" s="22" t="s">
        <v>711</v>
      </c>
      <c r="C219" s="22" t="s">
        <v>489</v>
      </c>
      <c r="D219" s="22" t="s">
        <v>492</v>
      </c>
      <c r="E219" s="22" t="s">
        <v>490</v>
      </c>
    </row>
    <row r="220" spans="1:5" x14ac:dyDescent="0.25">
      <c r="A220" s="35">
        <v>46008.903554085649</v>
      </c>
      <c r="B220" s="22" t="s">
        <v>712</v>
      </c>
      <c r="C220" s="22" t="s">
        <v>489</v>
      </c>
      <c r="D220" s="22" t="s">
        <v>468</v>
      </c>
      <c r="E220" s="22" t="s">
        <v>490</v>
      </c>
    </row>
    <row r="221" spans="1:5" x14ac:dyDescent="0.25">
      <c r="A221" s="35">
        <v>46008.903555740741</v>
      </c>
      <c r="B221" s="22" t="s">
        <v>713</v>
      </c>
      <c r="C221" s="22" t="s">
        <v>489</v>
      </c>
      <c r="D221" s="22" t="s">
        <v>468</v>
      </c>
      <c r="E221" s="22" t="s">
        <v>490</v>
      </c>
    </row>
    <row r="222" spans="1:5" x14ac:dyDescent="0.25">
      <c r="A222" s="35">
        <v>46008.903557256941</v>
      </c>
      <c r="B222" s="22" t="s">
        <v>714</v>
      </c>
      <c r="C222" s="22" t="s">
        <v>489</v>
      </c>
      <c r="D222" s="22" t="s">
        <v>468</v>
      </c>
      <c r="E222" s="22" t="s">
        <v>490</v>
      </c>
    </row>
    <row r="223" spans="1:5" x14ac:dyDescent="0.25">
      <c r="A223" s="35">
        <v>46008.903559039347</v>
      </c>
      <c r="B223" s="22" t="s">
        <v>715</v>
      </c>
      <c r="C223" s="22" t="s">
        <v>489</v>
      </c>
      <c r="D223" s="22" t="s">
        <v>468</v>
      </c>
      <c r="E223" s="22" t="s">
        <v>490</v>
      </c>
    </row>
    <row r="224" spans="1:5" x14ac:dyDescent="0.25">
      <c r="A224" s="35">
        <v>46008.903560601851</v>
      </c>
      <c r="B224" s="22" t="s">
        <v>716</v>
      </c>
      <c r="C224" s="22" t="s">
        <v>482</v>
      </c>
      <c r="D224" s="22" t="s">
        <v>449</v>
      </c>
      <c r="E224" s="22" t="s">
        <v>490</v>
      </c>
    </row>
    <row r="225" spans="1:5" x14ac:dyDescent="0.25">
      <c r="A225" s="35">
        <v>46008.903562766209</v>
      </c>
      <c r="B225" s="22" t="s">
        <v>717</v>
      </c>
      <c r="C225" s="22" t="s">
        <v>489</v>
      </c>
      <c r="D225" s="22" t="s">
        <v>500</v>
      </c>
      <c r="E225" s="22" t="s">
        <v>490</v>
      </c>
    </row>
    <row r="226" spans="1:5" x14ac:dyDescent="0.25">
      <c r="A226" s="35">
        <v>46008.903564224536</v>
      </c>
      <c r="B226" s="22" t="s">
        <v>718</v>
      </c>
      <c r="C226" s="22" t="s">
        <v>489</v>
      </c>
      <c r="D226" s="22" t="s">
        <v>468</v>
      </c>
      <c r="E226" s="22" t="s">
        <v>490</v>
      </c>
    </row>
    <row r="227" spans="1:5" x14ac:dyDescent="0.25">
      <c r="A227" s="35">
        <v>46008.903565868051</v>
      </c>
      <c r="B227" s="22" t="s">
        <v>719</v>
      </c>
      <c r="C227" s="22" t="s">
        <v>489</v>
      </c>
      <c r="D227" s="22" t="s">
        <v>500</v>
      </c>
      <c r="E227" s="22" t="s">
        <v>490</v>
      </c>
    </row>
    <row r="228" spans="1:5" x14ac:dyDescent="0.25">
      <c r="A228" s="35">
        <v>46008.903567361107</v>
      </c>
      <c r="B228" s="22" t="s">
        <v>720</v>
      </c>
      <c r="C228" s="22" t="s">
        <v>489</v>
      </c>
      <c r="D228" s="22" t="s">
        <v>469</v>
      </c>
      <c r="E228" s="22" t="s">
        <v>490</v>
      </c>
    </row>
    <row r="229" spans="1:5" x14ac:dyDescent="0.25">
      <c r="A229" s="35">
        <v>46008.903569224538</v>
      </c>
      <c r="B229" s="22" t="s">
        <v>721</v>
      </c>
      <c r="C229" s="22" t="s">
        <v>489</v>
      </c>
      <c r="D229" s="22" t="s">
        <v>492</v>
      </c>
      <c r="E229" s="22" t="s">
        <v>490</v>
      </c>
    </row>
    <row r="230" spans="1:5" x14ac:dyDescent="0.25">
      <c r="A230" s="35">
        <v>46008.903570810187</v>
      </c>
      <c r="B230" s="22" t="s">
        <v>722</v>
      </c>
      <c r="C230" s="22" t="s">
        <v>489</v>
      </c>
      <c r="D230" s="22" t="s">
        <v>468</v>
      </c>
      <c r="E230" s="22" t="s">
        <v>490</v>
      </c>
    </row>
    <row r="231" spans="1:5" x14ac:dyDescent="0.25">
      <c r="A231" s="35">
        <v>46008.903572604162</v>
      </c>
      <c r="B231" s="22" t="s">
        <v>723</v>
      </c>
      <c r="C231" s="22" t="s">
        <v>489</v>
      </c>
      <c r="D231" s="22" t="s">
        <v>469</v>
      </c>
      <c r="E231" s="22" t="s">
        <v>490</v>
      </c>
    </row>
    <row r="232" spans="1:5" x14ac:dyDescent="0.25">
      <c r="A232" s="35">
        <v>46008.903574328702</v>
      </c>
      <c r="B232" s="22" t="s">
        <v>724</v>
      </c>
      <c r="C232" s="22" t="s">
        <v>489</v>
      </c>
      <c r="D232" s="22" t="s">
        <v>468</v>
      </c>
      <c r="E232" s="22" t="s">
        <v>490</v>
      </c>
    </row>
    <row r="233" spans="1:5" x14ac:dyDescent="0.25">
      <c r="A233" s="35">
        <v>46008.903576215278</v>
      </c>
      <c r="B233" s="22" t="s">
        <v>725</v>
      </c>
      <c r="C233" s="22" t="s">
        <v>489</v>
      </c>
      <c r="D233" s="22" t="s">
        <v>468</v>
      </c>
      <c r="E233" s="22" t="s">
        <v>490</v>
      </c>
    </row>
    <row r="234" spans="1:5" x14ac:dyDescent="0.25">
      <c r="A234" s="35">
        <v>46008.903577812496</v>
      </c>
      <c r="B234" s="22" t="s">
        <v>726</v>
      </c>
      <c r="C234" s="22" t="s">
        <v>489</v>
      </c>
      <c r="D234" s="22" t="s">
        <v>500</v>
      </c>
      <c r="E234" s="22" t="s">
        <v>490</v>
      </c>
    </row>
    <row r="235" spans="1:5" x14ac:dyDescent="0.25">
      <c r="A235" s="35">
        <v>46008.903579467587</v>
      </c>
      <c r="B235" s="22" t="s">
        <v>727</v>
      </c>
      <c r="C235" s="22" t="s">
        <v>489</v>
      </c>
      <c r="D235" s="22" t="s">
        <v>500</v>
      </c>
      <c r="E235" s="22" t="s">
        <v>490</v>
      </c>
    </row>
    <row r="236" spans="1:5" x14ac:dyDescent="0.25">
      <c r="A236" s="35">
        <v>46008.903589525464</v>
      </c>
      <c r="B236" s="22" t="s">
        <v>728</v>
      </c>
      <c r="C236" s="22" t="s">
        <v>489</v>
      </c>
      <c r="D236" s="22" t="s">
        <v>468</v>
      </c>
      <c r="E236" s="22" t="s">
        <v>490</v>
      </c>
    </row>
    <row r="237" spans="1:5" x14ac:dyDescent="0.25">
      <c r="A237" s="35">
        <v>46008.903591157403</v>
      </c>
      <c r="B237" s="22" t="s">
        <v>729</v>
      </c>
      <c r="C237" s="22" t="s">
        <v>489</v>
      </c>
      <c r="D237" s="22" t="s">
        <v>500</v>
      </c>
      <c r="E237" s="22" t="s">
        <v>490</v>
      </c>
    </row>
    <row r="238" spans="1:5" x14ac:dyDescent="0.25">
      <c r="A238" s="35">
        <v>46008.903592847222</v>
      </c>
      <c r="B238" s="22" t="s">
        <v>730</v>
      </c>
      <c r="C238" s="22" t="s">
        <v>489</v>
      </c>
      <c r="D238" s="22" t="s">
        <v>500</v>
      </c>
      <c r="E238" s="22" t="s">
        <v>490</v>
      </c>
    </row>
    <row r="239" spans="1:5" x14ac:dyDescent="0.25">
      <c r="A239" s="35">
        <v>46008.903594467592</v>
      </c>
      <c r="B239" s="22" t="s">
        <v>731</v>
      </c>
      <c r="C239" s="22" t="s">
        <v>489</v>
      </c>
      <c r="D239" s="22" t="s">
        <v>500</v>
      </c>
      <c r="E239" s="22" t="s">
        <v>490</v>
      </c>
    </row>
    <row r="240" spans="1:5" x14ac:dyDescent="0.25">
      <c r="A240" s="35">
        <v>46008.903596018514</v>
      </c>
      <c r="B240" s="22" t="s">
        <v>732</v>
      </c>
      <c r="C240" s="22" t="s">
        <v>489</v>
      </c>
      <c r="D240" s="22" t="s">
        <v>468</v>
      </c>
      <c r="E240" s="22" t="s">
        <v>490</v>
      </c>
    </row>
    <row r="241" spans="1:5" x14ac:dyDescent="0.25">
      <c r="A241" s="35">
        <v>46008.903597592594</v>
      </c>
      <c r="B241" s="22" t="s">
        <v>733</v>
      </c>
      <c r="C241" s="22" t="s">
        <v>489</v>
      </c>
      <c r="D241" s="22" t="s">
        <v>492</v>
      </c>
      <c r="E241" s="22" t="s">
        <v>490</v>
      </c>
    </row>
    <row r="242" spans="1:5" x14ac:dyDescent="0.25">
      <c r="A242" s="35">
        <v>46008.903599189813</v>
      </c>
      <c r="B242" s="22" t="s">
        <v>734</v>
      </c>
      <c r="C242" s="22" t="s">
        <v>489</v>
      </c>
      <c r="D242" s="22" t="s">
        <v>500</v>
      </c>
      <c r="E242" s="22" t="s">
        <v>490</v>
      </c>
    </row>
    <row r="243" spans="1:5" x14ac:dyDescent="0.25">
      <c r="A243" s="35">
        <v>46008.9036006713</v>
      </c>
      <c r="B243" s="22" t="s">
        <v>735</v>
      </c>
      <c r="C243" s="22" t="s">
        <v>489</v>
      </c>
      <c r="D243" s="22" t="s">
        <v>500</v>
      </c>
      <c r="E243" s="22" t="s">
        <v>490</v>
      </c>
    </row>
    <row r="244" spans="1:5" x14ac:dyDescent="0.25">
      <c r="A244" s="35">
        <v>46008.903602164355</v>
      </c>
      <c r="B244" s="22" t="s">
        <v>736</v>
      </c>
      <c r="C244" s="22" t="s">
        <v>489</v>
      </c>
      <c r="D244" s="22" t="s">
        <v>500</v>
      </c>
      <c r="E244" s="22" t="s">
        <v>490</v>
      </c>
    </row>
    <row r="245" spans="1:5" x14ac:dyDescent="0.25">
      <c r="A245" s="35">
        <v>46008.903603750005</v>
      </c>
      <c r="B245" s="22" t="s">
        <v>737</v>
      </c>
      <c r="C245" s="22" t="s">
        <v>489</v>
      </c>
      <c r="D245" s="22" t="s">
        <v>500</v>
      </c>
      <c r="E245" s="22" t="s">
        <v>490</v>
      </c>
    </row>
    <row r="246" spans="1:5" x14ac:dyDescent="0.25">
      <c r="A246" s="35">
        <v>46008.903605590276</v>
      </c>
      <c r="B246" s="22" t="s">
        <v>738</v>
      </c>
      <c r="C246" s="22" t="s">
        <v>489</v>
      </c>
      <c r="D246" s="22" t="s">
        <v>500</v>
      </c>
      <c r="E246" s="22" t="s">
        <v>490</v>
      </c>
    </row>
    <row r="247" spans="1:5" x14ac:dyDescent="0.25">
      <c r="A247" s="35">
        <v>46008.903607210646</v>
      </c>
      <c r="B247" s="22" t="s">
        <v>739</v>
      </c>
      <c r="C247" s="22" t="s">
        <v>489</v>
      </c>
      <c r="D247" s="22" t="s">
        <v>500</v>
      </c>
      <c r="E247" s="22" t="s">
        <v>490</v>
      </c>
    </row>
    <row r="248" spans="1:5" x14ac:dyDescent="0.25">
      <c r="A248" s="35">
        <v>46008.903608773151</v>
      </c>
      <c r="B248" s="22" t="s">
        <v>740</v>
      </c>
      <c r="C248" s="22" t="s">
        <v>489</v>
      </c>
      <c r="D248" s="22" t="s">
        <v>500</v>
      </c>
      <c r="E248" s="22" t="s">
        <v>490</v>
      </c>
    </row>
    <row r="249" spans="1:5" x14ac:dyDescent="0.25">
      <c r="A249" s="35">
        <v>46008.903610266207</v>
      </c>
      <c r="B249" s="22" t="s">
        <v>741</v>
      </c>
      <c r="C249" s="22" t="s">
        <v>489</v>
      </c>
      <c r="D249" s="22" t="s">
        <v>500</v>
      </c>
      <c r="E249" s="22" t="s">
        <v>490</v>
      </c>
    </row>
    <row r="250" spans="1:5" x14ac:dyDescent="0.25">
      <c r="A250" s="35">
        <v>46008.903611782407</v>
      </c>
      <c r="B250" s="22" t="s">
        <v>742</v>
      </c>
      <c r="C250" s="22" t="s">
        <v>489</v>
      </c>
      <c r="D250" s="22" t="s">
        <v>500</v>
      </c>
      <c r="E250" s="22" t="s">
        <v>490</v>
      </c>
    </row>
    <row r="251" spans="1:5" x14ac:dyDescent="0.25">
      <c r="A251" s="35">
        <v>46008.903613553237</v>
      </c>
      <c r="B251" s="22" t="s">
        <v>743</v>
      </c>
      <c r="C251" s="22" t="s">
        <v>489</v>
      </c>
      <c r="D251" s="22" t="s">
        <v>500</v>
      </c>
      <c r="E251" s="22" t="s">
        <v>490</v>
      </c>
    </row>
    <row r="252" spans="1:5" x14ac:dyDescent="0.25">
      <c r="A252" s="35">
        <v>46008.903621504629</v>
      </c>
      <c r="B252" s="22" t="s">
        <v>744</v>
      </c>
      <c r="C252" s="22" t="s">
        <v>489</v>
      </c>
      <c r="D252" s="22" t="s">
        <v>468</v>
      </c>
      <c r="E252" s="22" t="s">
        <v>490</v>
      </c>
    </row>
    <row r="253" spans="1:5" x14ac:dyDescent="0.25">
      <c r="A253" s="35">
        <v>46008.903622986109</v>
      </c>
      <c r="B253" s="22" t="s">
        <v>745</v>
      </c>
      <c r="C253" s="22" t="s">
        <v>489</v>
      </c>
      <c r="D253" s="22" t="s">
        <v>468</v>
      </c>
      <c r="E253" s="22" t="s">
        <v>490</v>
      </c>
    </row>
    <row r="254" spans="1:5" x14ac:dyDescent="0.25">
      <c r="A254" s="35">
        <v>46008.903627615742</v>
      </c>
      <c r="B254" s="22" t="s">
        <v>746</v>
      </c>
      <c r="C254" s="22" t="s">
        <v>489</v>
      </c>
      <c r="D254" s="22" t="s">
        <v>469</v>
      </c>
      <c r="E254" s="22" t="s">
        <v>490</v>
      </c>
    </row>
    <row r="255" spans="1:5" x14ac:dyDescent="0.25">
      <c r="A255" s="35">
        <v>46008.903637488431</v>
      </c>
      <c r="B255" s="22" t="s">
        <v>747</v>
      </c>
      <c r="C255" s="22" t="s">
        <v>489</v>
      </c>
      <c r="D255" s="22" t="s">
        <v>469</v>
      </c>
      <c r="E255" s="22" t="s">
        <v>490</v>
      </c>
    </row>
    <row r="256" spans="1:5" x14ac:dyDescent="0.25">
      <c r="A256" s="35">
        <v>46008.903639062497</v>
      </c>
      <c r="B256" s="22" t="s">
        <v>748</v>
      </c>
      <c r="C256" s="22" t="s">
        <v>489</v>
      </c>
      <c r="D256" s="22" t="s">
        <v>500</v>
      </c>
      <c r="E256" s="22" t="s">
        <v>490</v>
      </c>
    </row>
    <row r="257" spans="1:5" x14ac:dyDescent="0.25">
      <c r="A257" s="35">
        <v>46008.903640833334</v>
      </c>
      <c r="B257" s="22" t="s">
        <v>749</v>
      </c>
      <c r="C257" s="22" t="s">
        <v>489</v>
      </c>
      <c r="D257" s="22" t="s">
        <v>500</v>
      </c>
      <c r="E257" s="22" t="s">
        <v>490</v>
      </c>
    </row>
    <row r="258" spans="1:5" x14ac:dyDescent="0.25">
      <c r="A258" s="35">
        <v>46008.903645393519</v>
      </c>
      <c r="B258" s="22" t="s">
        <v>750</v>
      </c>
      <c r="C258" s="22" t="s">
        <v>489</v>
      </c>
      <c r="D258" s="22" t="s">
        <v>500</v>
      </c>
      <c r="E258" s="22" t="s">
        <v>490</v>
      </c>
    </row>
    <row r="259" spans="1:5" x14ac:dyDescent="0.25">
      <c r="A259" s="35">
        <v>46008.903654340276</v>
      </c>
      <c r="B259" s="22" t="s">
        <v>751</v>
      </c>
      <c r="C259" s="22" t="s">
        <v>489</v>
      </c>
      <c r="D259" s="22" t="s">
        <v>468</v>
      </c>
      <c r="E259" s="22" t="s">
        <v>490</v>
      </c>
    </row>
    <row r="260" spans="1:5" x14ac:dyDescent="0.25">
      <c r="A260" s="35">
        <v>46008.903655821763</v>
      </c>
      <c r="B260" s="22" t="s">
        <v>752</v>
      </c>
      <c r="C260" s="22" t="s">
        <v>489</v>
      </c>
      <c r="D260" s="22" t="s">
        <v>469</v>
      </c>
      <c r="E260" s="22" t="s">
        <v>490</v>
      </c>
    </row>
    <row r="261" spans="1:5" x14ac:dyDescent="0.25">
      <c r="A261" s="35">
        <v>46008.903657314819</v>
      </c>
      <c r="B261" s="22" t="s">
        <v>753</v>
      </c>
      <c r="C261" s="22" t="s">
        <v>489</v>
      </c>
      <c r="D261" s="22" t="s">
        <v>468</v>
      </c>
      <c r="E261" s="22" t="s">
        <v>490</v>
      </c>
    </row>
    <row r="262" spans="1:5" x14ac:dyDescent="0.25">
      <c r="A262" s="35">
        <v>46008.90365876157</v>
      </c>
      <c r="B262" s="22" t="s">
        <v>754</v>
      </c>
      <c r="C262" s="22" t="s">
        <v>489</v>
      </c>
      <c r="D262" s="22" t="s">
        <v>468</v>
      </c>
      <c r="E262" s="22" t="s">
        <v>490</v>
      </c>
    </row>
    <row r="263" spans="1:5" x14ac:dyDescent="0.25">
      <c r="A263" s="35">
        <v>46008.90366030093</v>
      </c>
      <c r="B263" s="22" t="s">
        <v>755</v>
      </c>
      <c r="C263" s="22" t="s">
        <v>489</v>
      </c>
      <c r="D263" s="22" t="s">
        <v>468</v>
      </c>
      <c r="E263" s="22" t="s">
        <v>490</v>
      </c>
    </row>
    <row r="264" spans="1:5" x14ac:dyDescent="0.25">
      <c r="A264" s="35">
        <v>46008.903662094905</v>
      </c>
      <c r="B264" s="22" t="s">
        <v>756</v>
      </c>
      <c r="C264" s="22" t="s">
        <v>489</v>
      </c>
      <c r="D264" s="22" t="s">
        <v>500</v>
      </c>
      <c r="E264" s="22" t="s">
        <v>490</v>
      </c>
    </row>
    <row r="265" spans="1:5" x14ac:dyDescent="0.25">
      <c r="A265" s="35">
        <v>46008.903663668985</v>
      </c>
      <c r="B265" s="22" t="s">
        <v>757</v>
      </c>
      <c r="C265" s="22" t="s">
        <v>489</v>
      </c>
      <c r="D265" s="22" t="s">
        <v>468</v>
      </c>
      <c r="E265" s="22" t="s">
        <v>490</v>
      </c>
    </row>
    <row r="266" spans="1:5" x14ac:dyDescent="0.25">
      <c r="A266" s="35">
        <v>46008.903665381949</v>
      </c>
      <c r="B266" s="22" t="s">
        <v>758</v>
      </c>
      <c r="C266" s="22" t="s">
        <v>489</v>
      </c>
      <c r="D266" s="22" t="s">
        <v>500</v>
      </c>
      <c r="E266" s="22" t="s">
        <v>490</v>
      </c>
    </row>
    <row r="267" spans="1:5" x14ac:dyDescent="0.25">
      <c r="A267" s="35">
        <v>46008.903667118051</v>
      </c>
      <c r="B267" s="22" t="s">
        <v>759</v>
      </c>
      <c r="C267" s="22" t="s">
        <v>489</v>
      </c>
      <c r="D267" s="22" t="s">
        <v>500</v>
      </c>
      <c r="E267" s="22" t="s">
        <v>490</v>
      </c>
    </row>
    <row r="268" spans="1:5" x14ac:dyDescent="0.25">
      <c r="A268" s="35">
        <v>46008.903668726853</v>
      </c>
      <c r="B268" s="22" t="s">
        <v>760</v>
      </c>
      <c r="C268" s="22" t="s">
        <v>489</v>
      </c>
      <c r="D268" s="22" t="s">
        <v>500</v>
      </c>
      <c r="E268" s="22" t="s">
        <v>490</v>
      </c>
    </row>
    <row r="269" spans="1:5" x14ac:dyDescent="0.25">
      <c r="A269" s="35">
        <v>46008.903670416665</v>
      </c>
      <c r="B269" s="22" t="s">
        <v>761</v>
      </c>
      <c r="C269" s="22" t="s">
        <v>489</v>
      </c>
      <c r="D269" s="22" t="s">
        <v>500</v>
      </c>
      <c r="E269" s="22" t="s">
        <v>490</v>
      </c>
    </row>
    <row r="270" spans="1:5" x14ac:dyDescent="0.25">
      <c r="A270" s="35">
        <v>46008.903672152781</v>
      </c>
      <c r="B270" s="22" t="s">
        <v>762</v>
      </c>
      <c r="C270" s="22" t="s">
        <v>489</v>
      </c>
      <c r="D270" s="22" t="s">
        <v>500</v>
      </c>
      <c r="E270" s="22" t="s">
        <v>490</v>
      </c>
    </row>
    <row r="271" spans="1:5" x14ac:dyDescent="0.25">
      <c r="A271" s="35">
        <v>46008.903673761575</v>
      </c>
      <c r="B271" s="22" t="s">
        <v>763</v>
      </c>
      <c r="C271" s="22" t="s">
        <v>489</v>
      </c>
      <c r="D271" s="22" t="s">
        <v>500</v>
      </c>
      <c r="E271" s="22" t="s">
        <v>490</v>
      </c>
    </row>
    <row r="272" spans="1:5" x14ac:dyDescent="0.25">
      <c r="A272" s="35">
        <v>46008.903675381946</v>
      </c>
      <c r="B272" s="22" t="s">
        <v>764</v>
      </c>
      <c r="C272" s="22" t="s">
        <v>489</v>
      </c>
      <c r="D272" s="22" t="s">
        <v>468</v>
      </c>
      <c r="E272" s="22" t="s">
        <v>490</v>
      </c>
    </row>
    <row r="273" spans="1:5" x14ac:dyDescent="0.25">
      <c r="A273" s="35">
        <v>46008.903677094902</v>
      </c>
      <c r="B273" s="22" t="s">
        <v>765</v>
      </c>
      <c r="C273" s="22" t="s">
        <v>489</v>
      </c>
      <c r="D273" s="22" t="s">
        <v>582</v>
      </c>
      <c r="E273" s="22" t="s">
        <v>490</v>
      </c>
    </row>
    <row r="274" spans="1:5" x14ac:dyDescent="0.25">
      <c r="A274" s="35">
        <v>46008.903678726856</v>
      </c>
      <c r="B274" s="22" t="s">
        <v>766</v>
      </c>
      <c r="C274" s="22" t="s">
        <v>489</v>
      </c>
      <c r="D274" s="22" t="s">
        <v>469</v>
      </c>
      <c r="E274" s="22" t="s">
        <v>490</v>
      </c>
    </row>
    <row r="275" spans="1:5" x14ac:dyDescent="0.25">
      <c r="A275" s="35">
        <v>46008.903680474541</v>
      </c>
      <c r="B275" s="22" t="s">
        <v>767</v>
      </c>
      <c r="C275" s="22" t="s">
        <v>489</v>
      </c>
      <c r="D275" s="22" t="s">
        <v>469</v>
      </c>
      <c r="E275" s="22" t="s">
        <v>490</v>
      </c>
    </row>
    <row r="276" spans="1:5" x14ac:dyDescent="0.25">
      <c r="A276" s="35">
        <v>46008.903682141201</v>
      </c>
      <c r="B276" s="22" t="s">
        <v>768</v>
      </c>
      <c r="C276" s="22" t="s">
        <v>489</v>
      </c>
      <c r="D276" s="22" t="s">
        <v>492</v>
      </c>
      <c r="E276" s="22" t="s">
        <v>490</v>
      </c>
    </row>
    <row r="277" spans="1:5" x14ac:dyDescent="0.25">
      <c r="A277" s="35">
        <v>46008.90368693287</v>
      </c>
      <c r="B277" s="22" t="s">
        <v>769</v>
      </c>
      <c r="C277" s="22" t="s">
        <v>489</v>
      </c>
      <c r="D277" s="22" t="s">
        <v>468</v>
      </c>
      <c r="E277" s="22" t="s">
        <v>490</v>
      </c>
    </row>
    <row r="278" spans="1:5" x14ac:dyDescent="0.25">
      <c r="A278" s="35">
        <v>46008.903688541672</v>
      </c>
      <c r="B278" s="22" t="s">
        <v>770</v>
      </c>
      <c r="C278" s="22" t="s">
        <v>489</v>
      </c>
      <c r="D278" s="22" t="s">
        <v>468</v>
      </c>
      <c r="E278" s="22" t="s">
        <v>490</v>
      </c>
    </row>
    <row r="279" spans="1:5" x14ac:dyDescent="0.25">
      <c r="A279" s="35">
        <v>46008.903702800926</v>
      </c>
      <c r="B279" s="22" t="s">
        <v>771</v>
      </c>
      <c r="C279" s="22" t="s">
        <v>489</v>
      </c>
      <c r="D279" s="22" t="s">
        <v>500</v>
      </c>
      <c r="E279" s="22" t="s">
        <v>490</v>
      </c>
    </row>
    <row r="280" spans="1:5" x14ac:dyDescent="0.25">
      <c r="A280" s="35">
        <v>46008.903704259261</v>
      </c>
      <c r="B280" s="22" t="s">
        <v>772</v>
      </c>
      <c r="C280" s="22" t="s">
        <v>489</v>
      </c>
      <c r="D280" s="22" t="s">
        <v>500</v>
      </c>
      <c r="E280" s="22" t="s">
        <v>490</v>
      </c>
    </row>
    <row r="281" spans="1:5" x14ac:dyDescent="0.25">
      <c r="A281" s="35">
        <v>46008.903705694443</v>
      </c>
      <c r="B281" s="22" t="s">
        <v>773</v>
      </c>
      <c r="C281" s="22" t="s">
        <v>489</v>
      </c>
      <c r="D281" s="22" t="s">
        <v>468</v>
      </c>
      <c r="E281" s="22" t="s">
        <v>490</v>
      </c>
    </row>
    <row r="282" spans="1:5" x14ac:dyDescent="0.25">
      <c r="A282" s="35">
        <v>46008.903707175923</v>
      </c>
      <c r="B282" s="22" t="s">
        <v>774</v>
      </c>
      <c r="C282" s="22" t="s">
        <v>482</v>
      </c>
      <c r="D282" s="22" t="s">
        <v>449</v>
      </c>
      <c r="E282" s="22" t="s">
        <v>490</v>
      </c>
    </row>
    <row r="283" spans="1:5" x14ac:dyDescent="0.25">
      <c r="A283" s="35">
        <v>46008.903709004633</v>
      </c>
      <c r="B283" s="22" t="s">
        <v>775</v>
      </c>
      <c r="C283" s="22" t="s">
        <v>482</v>
      </c>
      <c r="D283" s="22" t="s">
        <v>449</v>
      </c>
      <c r="E283" s="22" t="s">
        <v>490</v>
      </c>
    </row>
    <row r="284" spans="1:5" x14ac:dyDescent="0.25">
      <c r="A284" s="35">
        <v>46008.90371269676</v>
      </c>
      <c r="B284" s="22" t="s">
        <v>776</v>
      </c>
      <c r="C284" s="22" t="s">
        <v>482</v>
      </c>
      <c r="D284" s="22" t="s">
        <v>516</v>
      </c>
      <c r="E284" s="22" t="s">
        <v>490</v>
      </c>
    </row>
    <row r="285" spans="1:5" x14ac:dyDescent="0.25">
      <c r="A285" s="35">
        <v>46008.903714409724</v>
      </c>
      <c r="B285" s="22" t="s">
        <v>777</v>
      </c>
      <c r="C285" s="22" t="s">
        <v>482</v>
      </c>
      <c r="D285" s="22" t="s">
        <v>516</v>
      </c>
      <c r="E285" s="22" t="s">
        <v>490</v>
      </c>
    </row>
    <row r="286" spans="1:5" x14ac:dyDescent="0.25">
      <c r="A286" s="35">
        <v>46008.903716006942</v>
      </c>
      <c r="B286" s="22" t="s">
        <v>778</v>
      </c>
      <c r="C286" s="22" t="s">
        <v>482</v>
      </c>
      <c r="D286" s="22" t="s">
        <v>516</v>
      </c>
      <c r="E286" s="22" t="s">
        <v>490</v>
      </c>
    </row>
    <row r="287" spans="1:5" x14ac:dyDescent="0.25">
      <c r="A287" s="35">
        <v>46008.903717789348</v>
      </c>
      <c r="B287" s="22" t="s">
        <v>779</v>
      </c>
      <c r="C287" s="22" t="s">
        <v>482</v>
      </c>
      <c r="D287" s="22" t="s">
        <v>516</v>
      </c>
      <c r="E287" s="22" t="s">
        <v>490</v>
      </c>
    </row>
    <row r="288" spans="1:5" x14ac:dyDescent="0.25">
      <c r="A288" s="35">
        <v>46008.903726168981</v>
      </c>
      <c r="B288" s="22" t="s">
        <v>780</v>
      </c>
      <c r="C288" s="22" t="s">
        <v>489</v>
      </c>
      <c r="D288" s="22" t="s">
        <v>468</v>
      </c>
      <c r="E288" s="22" t="s">
        <v>490</v>
      </c>
    </row>
    <row r="289" spans="1:5" x14ac:dyDescent="0.25">
      <c r="A289" s="35">
        <v>46008.90372775463</v>
      </c>
      <c r="B289" s="22" t="s">
        <v>781</v>
      </c>
      <c r="C289" s="22" t="s">
        <v>482</v>
      </c>
      <c r="D289" s="22" t="s">
        <v>449</v>
      </c>
      <c r="E289" s="22" t="s">
        <v>490</v>
      </c>
    </row>
    <row r="290" spans="1:5" x14ac:dyDescent="0.25">
      <c r="A290" s="35">
        <v>46008.903729444442</v>
      </c>
      <c r="B290" s="22" t="s">
        <v>782</v>
      </c>
      <c r="C290" s="22" t="s">
        <v>482</v>
      </c>
      <c r="D290" s="22" t="s">
        <v>449</v>
      </c>
      <c r="E290" s="22" t="s">
        <v>490</v>
      </c>
    </row>
    <row r="291" spans="1:5" x14ac:dyDescent="0.25">
      <c r="A291" s="35">
        <v>46008.903731145838</v>
      </c>
      <c r="B291" s="22" t="s">
        <v>783</v>
      </c>
      <c r="C291" s="22" t="s">
        <v>489</v>
      </c>
      <c r="D291" s="22" t="s">
        <v>492</v>
      </c>
      <c r="E291" s="22" t="s">
        <v>490</v>
      </c>
    </row>
    <row r="292" spans="1:5" x14ac:dyDescent="0.25">
      <c r="A292" s="35">
        <v>46008.903732708335</v>
      </c>
      <c r="B292" s="22" t="s">
        <v>784</v>
      </c>
      <c r="C292" s="22" t="s">
        <v>489</v>
      </c>
      <c r="D292" s="22" t="s">
        <v>469</v>
      </c>
      <c r="E292" s="22" t="s">
        <v>490</v>
      </c>
    </row>
    <row r="293" spans="1:5" x14ac:dyDescent="0.25">
      <c r="A293" s="35">
        <v>46008.903734490741</v>
      </c>
      <c r="B293" s="22" t="s">
        <v>785</v>
      </c>
      <c r="C293" s="22" t="s">
        <v>482</v>
      </c>
      <c r="D293" s="22" t="s">
        <v>449</v>
      </c>
      <c r="E293" s="22" t="s">
        <v>490</v>
      </c>
    </row>
    <row r="294" spans="1:5" x14ac:dyDescent="0.25">
      <c r="A294" s="35">
        <v>46008.903735960645</v>
      </c>
      <c r="B294" s="22" t="s">
        <v>786</v>
      </c>
      <c r="C294" s="22" t="s">
        <v>489</v>
      </c>
      <c r="D294" s="22" t="s">
        <v>468</v>
      </c>
      <c r="E294" s="22" t="s">
        <v>490</v>
      </c>
    </row>
    <row r="295" spans="1:5" x14ac:dyDescent="0.25">
      <c r="A295" s="35">
        <v>46008.903737430555</v>
      </c>
      <c r="B295" s="22" t="s">
        <v>787</v>
      </c>
      <c r="C295" s="22" t="s">
        <v>489</v>
      </c>
      <c r="D295" s="22" t="s">
        <v>468</v>
      </c>
      <c r="E295" s="22" t="s">
        <v>490</v>
      </c>
    </row>
    <row r="296" spans="1:5" x14ac:dyDescent="0.25">
      <c r="A296" s="35">
        <v>46008.903744918978</v>
      </c>
      <c r="B296" s="22" t="s">
        <v>788</v>
      </c>
      <c r="C296" s="22" t="s">
        <v>489</v>
      </c>
      <c r="D296" s="22" t="s">
        <v>468</v>
      </c>
      <c r="E296" s="22" t="s">
        <v>490</v>
      </c>
    </row>
    <row r="297" spans="1:5" x14ac:dyDescent="0.25">
      <c r="A297" s="35">
        <v>46008.903746539349</v>
      </c>
      <c r="B297" s="22" t="s">
        <v>789</v>
      </c>
      <c r="C297" s="22" t="s">
        <v>482</v>
      </c>
      <c r="D297" s="22" t="s">
        <v>449</v>
      </c>
      <c r="E297" s="22" t="s">
        <v>490</v>
      </c>
    </row>
    <row r="298" spans="1:5" x14ac:dyDescent="0.25">
      <c r="A298" s="35">
        <v>46008.903747997683</v>
      </c>
      <c r="B298" s="22" t="s">
        <v>790</v>
      </c>
      <c r="C298" s="22" t="s">
        <v>482</v>
      </c>
      <c r="D298" s="22" t="s">
        <v>449</v>
      </c>
      <c r="E298" s="22" t="s">
        <v>490</v>
      </c>
    </row>
    <row r="299" spans="1:5" x14ac:dyDescent="0.25">
      <c r="A299" s="35">
        <v>46008.903749803241</v>
      </c>
      <c r="B299" s="22" t="s">
        <v>791</v>
      </c>
      <c r="C299" s="22" t="s">
        <v>489</v>
      </c>
      <c r="D299" s="22" t="s">
        <v>468</v>
      </c>
      <c r="E299" s="22" t="s">
        <v>490</v>
      </c>
    </row>
    <row r="300" spans="1:5" x14ac:dyDescent="0.25">
      <c r="A300" s="35">
        <v>46008.903751770835</v>
      </c>
      <c r="B300" s="22" t="s">
        <v>792</v>
      </c>
      <c r="C300" s="22" t="s">
        <v>489</v>
      </c>
      <c r="D300" s="22" t="s">
        <v>468</v>
      </c>
      <c r="E300" s="22" t="s">
        <v>490</v>
      </c>
    </row>
    <row r="301" spans="1:5" x14ac:dyDescent="0.25">
      <c r="A301" s="35">
        <v>46008.90376021991</v>
      </c>
      <c r="B301" s="22" t="s">
        <v>793</v>
      </c>
      <c r="C301" s="22" t="s">
        <v>482</v>
      </c>
      <c r="D301" s="22" t="s">
        <v>449</v>
      </c>
      <c r="E301" s="22" t="s">
        <v>490</v>
      </c>
    </row>
    <row r="302" spans="1:5" x14ac:dyDescent="0.25">
      <c r="A302" s="35">
        <v>46008.903761863425</v>
      </c>
      <c r="B302" s="22" t="s">
        <v>794</v>
      </c>
      <c r="C302" s="22" t="s">
        <v>489</v>
      </c>
      <c r="D302" s="22" t="s">
        <v>500</v>
      </c>
      <c r="E302" s="22" t="s">
        <v>490</v>
      </c>
    </row>
    <row r="303" spans="1:5" x14ac:dyDescent="0.25">
      <c r="A303" s="35">
        <v>46008.903763599534</v>
      </c>
      <c r="B303" s="22" t="s">
        <v>795</v>
      </c>
      <c r="C303" s="22" t="s">
        <v>489</v>
      </c>
      <c r="D303" s="22" t="s">
        <v>468</v>
      </c>
      <c r="E303" s="22" t="s">
        <v>490</v>
      </c>
    </row>
    <row r="304" spans="1:5" x14ac:dyDescent="0.25">
      <c r="A304" s="35">
        <v>46008.903765254625</v>
      </c>
      <c r="B304" s="22" t="s">
        <v>796</v>
      </c>
      <c r="C304" s="22" t="s">
        <v>489</v>
      </c>
      <c r="D304" s="22" t="s">
        <v>468</v>
      </c>
      <c r="E304" s="22" t="s">
        <v>490</v>
      </c>
    </row>
    <row r="305" spans="1:5" x14ac:dyDescent="0.25">
      <c r="A305" s="35">
        <v>46008.903766828706</v>
      </c>
      <c r="B305" s="22" t="s">
        <v>797</v>
      </c>
      <c r="C305" s="22" t="s">
        <v>482</v>
      </c>
      <c r="D305" s="22" t="s">
        <v>449</v>
      </c>
      <c r="E305" s="22" t="s">
        <v>490</v>
      </c>
    </row>
    <row r="306" spans="1:5" x14ac:dyDescent="0.25">
      <c r="A306" s="35">
        <v>46008.903768379634</v>
      </c>
      <c r="B306" s="22" t="s">
        <v>798</v>
      </c>
      <c r="C306" s="22" t="s">
        <v>482</v>
      </c>
      <c r="D306" s="22" t="s">
        <v>449</v>
      </c>
      <c r="E306" s="22" t="s">
        <v>490</v>
      </c>
    </row>
    <row r="307" spans="1:5" x14ac:dyDescent="0.25">
      <c r="A307" s="35">
        <v>46008.903769988421</v>
      </c>
      <c r="B307" s="22" t="s">
        <v>799</v>
      </c>
      <c r="C307" s="22" t="s">
        <v>482</v>
      </c>
      <c r="D307" s="22" t="s">
        <v>449</v>
      </c>
      <c r="E307" s="22" t="s">
        <v>490</v>
      </c>
    </row>
    <row r="308" spans="1:5" x14ac:dyDescent="0.25">
      <c r="A308" s="35">
        <v>46008.903771516205</v>
      </c>
      <c r="B308" s="22" t="s">
        <v>800</v>
      </c>
      <c r="C308" s="22" t="s">
        <v>489</v>
      </c>
      <c r="D308" s="22" t="s">
        <v>468</v>
      </c>
      <c r="E308" s="22" t="s">
        <v>490</v>
      </c>
    </row>
    <row r="309" spans="1:5" x14ac:dyDescent="0.25">
      <c r="A309" s="35">
        <v>46008.903777800922</v>
      </c>
      <c r="B309" s="22" t="s">
        <v>801</v>
      </c>
      <c r="C309" s="22" t="s">
        <v>489</v>
      </c>
      <c r="D309" s="22" t="s">
        <v>500</v>
      </c>
      <c r="E309" s="22" t="s">
        <v>490</v>
      </c>
    </row>
    <row r="310" spans="1:5" x14ac:dyDescent="0.25">
      <c r="A310" s="35">
        <v>46008.903779224536</v>
      </c>
      <c r="B310" s="22" t="s">
        <v>802</v>
      </c>
      <c r="C310" s="22" t="s">
        <v>489</v>
      </c>
      <c r="D310" s="22" t="s">
        <v>500</v>
      </c>
      <c r="E310" s="22" t="s">
        <v>490</v>
      </c>
    </row>
    <row r="311" spans="1:5" x14ac:dyDescent="0.25">
      <c r="A311" s="35">
        <v>46008.903780682871</v>
      </c>
      <c r="B311" s="22" t="s">
        <v>803</v>
      </c>
      <c r="C311" s="22" t="s">
        <v>489</v>
      </c>
      <c r="D311" s="22" t="s">
        <v>500</v>
      </c>
      <c r="E311" s="22" t="s">
        <v>490</v>
      </c>
    </row>
    <row r="312" spans="1:5" x14ac:dyDescent="0.25">
      <c r="A312" s="35">
        <v>46008.903782187495</v>
      </c>
      <c r="B312" s="22" t="s">
        <v>804</v>
      </c>
      <c r="C312" s="22" t="s">
        <v>489</v>
      </c>
      <c r="D312" s="22" t="s">
        <v>500</v>
      </c>
      <c r="E312" s="22" t="s">
        <v>490</v>
      </c>
    </row>
    <row r="313" spans="1:5" x14ac:dyDescent="0.25">
      <c r="A313" s="35">
        <v>46008.903783668982</v>
      </c>
      <c r="B313" s="22" t="s">
        <v>805</v>
      </c>
      <c r="C313" s="22" t="s">
        <v>489</v>
      </c>
      <c r="D313" s="22" t="s">
        <v>500</v>
      </c>
      <c r="E313" s="22" t="s">
        <v>490</v>
      </c>
    </row>
    <row r="314" spans="1:5" x14ac:dyDescent="0.25">
      <c r="A314" s="35">
        <v>46008.903785451388</v>
      </c>
      <c r="B314" s="22" t="s">
        <v>806</v>
      </c>
      <c r="C314" s="22" t="s">
        <v>489</v>
      </c>
      <c r="D314" s="22" t="s">
        <v>500</v>
      </c>
      <c r="E314" s="22" t="s">
        <v>490</v>
      </c>
    </row>
    <row r="315" spans="1:5" x14ac:dyDescent="0.25">
      <c r="A315" s="35">
        <v>46008.903787013885</v>
      </c>
      <c r="B315" s="22" t="s">
        <v>807</v>
      </c>
      <c r="C315" s="22" t="s">
        <v>489</v>
      </c>
      <c r="D315" s="22" t="s">
        <v>468</v>
      </c>
      <c r="E315" s="22" t="s">
        <v>490</v>
      </c>
    </row>
    <row r="316" spans="1:5" x14ac:dyDescent="0.25">
      <c r="A316" s="35">
        <v>46008.903788587966</v>
      </c>
      <c r="B316" s="22" t="s">
        <v>808</v>
      </c>
      <c r="C316" s="22" t="s">
        <v>489</v>
      </c>
      <c r="D316" s="22" t="s">
        <v>468</v>
      </c>
      <c r="E316" s="22" t="s">
        <v>490</v>
      </c>
    </row>
    <row r="317" spans="1:5" x14ac:dyDescent="0.25">
      <c r="A317" s="35">
        <v>46008.90379034722</v>
      </c>
      <c r="B317" s="22" t="s">
        <v>809</v>
      </c>
      <c r="C317" s="22" t="s">
        <v>482</v>
      </c>
      <c r="D317" s="22" t="s">
        <v>449</v>
      </c>
      <c r="E317" s="22" t="s">
        <v>490</v>
      </c>
    </row>
    <row r="318" spans="1:5" x14ac:dyDescent="0.25">
      <c r="A318" s="35">
        <v>46008.90379232639</v>
      </c>
      <c r="B318" s="22" t="s">
        <v>810</v>
      </c>
      <c r="C318" s="22" t="s">
        <v>482</v>
      </c>
      <c r="D318" s="22" t="s">
        <v>449</v>
      </c>
      <c r="E318" s="22" t="s">
        <v>490</v>
      </c>
    </row>
    <row r="319" spans="1:5" x14ac:dyDescent="0.25">
      <c r="A319" s="35">
        <v>46008.90379394676</v>
      </c>
      <c r="B319" s="22" t="s">
        <v>811</v>
      </c>
      <c r="C319" s="22" t="s">
        <v>489</v>
      </c>
      <c r="D319" s="22" t="s">
        <v>492</v>
      </c>
      <c r="E319" s="22" t="s">
        <v>490</v>
      </c>
    </row>
    <row r="320" spans="1:5" x14ac:dyDescent="0.25">
      <c r="A320" s="35">
        <v>46008.903795555554</v>
      </c>
      <c r="B320" s="22" t="s">
        <v>812</v>
      </c>
      <c r="C320" s="22" t="s">
        <v>489</v>
      </c>
      <c r="D320" s="22" t="s">
        <v>468</v>
      </c>
      <c r="E320" s="22" t="s">
        <v>490</v>
      </c>
    </row>
    <row r="321" spans="1:5" x14ac:dyDescent="0.25">
      <c r="A321" s="35">
        <v>46008.903797060186</v>
      </c>
      <c r="B321" s="22" t="s">
        <v>813</v>
      </c>
      <c r="C321" s="22" t="s">
        <v>482</v>
      </c>
      <c r="D321" s="22" t="s">
        <v>449</v>
      </c>
      <c r="E321" s="22" t="s">
        <v>490</v>
      </c>
    </row>
    <row r="322" spans="1:5" x14ac:dyDescent="0.25">
      <c r="A322" s="35">
        <v>46008.90379887732</v>
      </c>
      <c r="B322" s="22" t="s">
        <v>814</v>
      </c>
      <c r="C322" s="22" t="s">
        <v>482</v>
      </c>
      <c r="D322" s="22" t="s">
        <v>449</v>
      </c>
      <c r="E322" s="22" t="s">
        <v>490</v>
      </c>
    </row>
    <row r="323" spans="1:5" x14ac:dyDescent="0.25">
      <c r="A323" s="35">
        <v>46008.903800555556</v>
      </c>
      <c r="B323" s="22" t="s">
        <v>815</v>
      </c>
      <c r="C323" s="22" t="s">
        <v>482</v>
      </c>
      <c r="D323" s="22" t="s">
        <v>449</v>
      </c>
      <c r="E323" s="22" t="s">
        <v>490</v>
      </c>
    </row>
    <row r="324" spans="1:5" x14ac:dyDescent="0.25">
      <c r="A324" s="35">
        <v>46008.903801967594</v>
      </c>
      <c r="B324" s="22" t="s">
        <v>816</v>
      </c>
      <c r="C324" s="22" t="s">
        <v>489</v>
      </c>
      <c r="D324" s="22" t="s">
        <v>492</v>
      </c>
      <c r="E324" s="22" t="s">
        <v>490</v>
      </c>
    </row>
    <row r="325" spans="1:5" x14ac:dyDescent="0.25">
      <c r="A325" s="35">
        <v>46008.903813495373</v>
      </c>
      <c r="B325" s="22" t="s">
        <v>817</v>
      </c>
      <c r="C325" s="22" t="s">
        <v>489</v>
      </c>
      <c r="D325" s="22" t="s">
        <v>468</v>
      </c>
      <c r="E325" s="22" t="s">
        <v>490</v>
      </c>
    </row>
    <row r="326" spans="1:5" x14ac:dyDescent="0.25">
      <c r="A326" s="35">
        <v>46008.903819907406</v>
      </c>
      <c r="B326" s="22" t="s">
        <v>818</v>
      </c>
      <c r="C326" s="22" t="s">
        <v>489</v>
      </c>
      <c r="D326" s="22" t="s">
        <v>500</v>
      </c>
      <c r="E326" s="22" t="s">
        <v>490</v>
      </c>
    </row>
    <row r="327" spans="1:5" x14ac:dyDescent="0.25">
      <c r="A327" s="35">
        <v>46008.903821481479</v>
      </c>
      <c r="B327" s="22" t="s">
        <v>819</v>
      </c>
      <c r="C327" s="22" t="s">
        <v>489</v>
      </c>
      <c r="D327" s="22" t="s">
        <v>500</v>
      </c>
      <c r="E327" s="22" t="s">
        <v>490</v>
      </c>
    </row>
    <row r="328" spans="1:5" x14ac:dyDescent="0.25">
      <c r="A328" s="35">
        <v>46008.903823159722</v>
      </c>
      <c r="B328" s="22" t="s">
        <v>820</v>
      </c>
      <c r="C328" s="22" t="s">
        <v>489</v>
      </c>
      <c r="D328" s="22" t="s">
        <v>500</v>
      </c>
      <c r="E328" s="22" t="s">
        <v>490</v>
      </c>
    </row>
    <row r="329" spans="1:5" x14ac:dyDescent="0.25">
      <c r="A329" s="35">
        <v>46008.903826805559</v>
      </c>
      <c r="B329" s="22" t="s">
        <v>821</v>
      </c>
      <c r="C329" s="22" t="s">
        <v>482</v>
      </c>
      <c r="D329" s="22" t="s">
        <v>449</v>
      </c>
      <c r="E329" s="22" t="s">
        <v>490</v>
      </c>
    </row>
    <row r="330" spans="1:5" x14ac:dyDescent="0.25">
      <c r="A330" s="35">
        <v>46008.90383487269</v>
      </c>
      <c r="B330" s="22" t="s">
        <v>822</v>
      </c>
      <c r="C330" s="22" t="s">
        <v>482</v>
      </c>
      <c r="D330" s="22" t="s">
        <v>449</v>
      </c>
      <c r="E330" s="22" t="s">
        <v>490</v>
      </c>
    </row>
    <row r="331" spans="1:5" x14ac:dyDescent="0.25">
      <c r="A331" s="35">
        <v>46008.903836481477</v>
      </c>
      <c r="B331" s="22" t="s">
        <v>823</v>
      </c>
      <c r="C331" s="22" t="s">
        <v>489</v>
      </c>
      <c r="D331" s="22" t="s">
        <v>468</v>
      </c>
      <c r="E331" s="22" t="s">
        <v>490</v>
      </c>
    </row>
    <row r="332" spans="1:5" x14ac:dyDescent="0.25">
      <c r="A332" s="35">
        <v>46008.903838101847</v>
      </c>
      <c r="B332" s="22" t="s">
        <v>824</v>
      </c>
      <c r="C332" s="22" t="s">
        <v>489</v>
      </c>
      <c r="D332" s="22" t="s">
        <v>468</v>
      </c>
      <c r="E332" s="22" t="s">
        <v>490</v>
      </c>
    </row>
    <row r="333" spans="1:5" x14ac:dyDescent="0.25">
      <c r="A333" s="35">
        <v>46008.90385263889</v>
      </c>
      <c r="B333" s="22" t="s">
        <v>825</v>
      </c>
      <c r="C333" s="22" t="s">
        <v>489</v>
      </c>
      <c r="D333" s="22" t="s">
        <v>468</v>
      </c>
      <c r="E333" s="22" t="s">
        <v>490</v>
      </c>
    </row>
    <row r="334" spans="1:5" x14ac:dyDescent="0.25">
      <c r="A334" s="35">
        <v>46008.903854131946</v>
      </c>
      <c r="B334" s="22" t="s">
        <v>826</v>
      </c>
      <c r="C334" s="22" t="s">
        <v>489</v>
      </c>
      <c r="D334" s="22" t="s">
        <v>468</v>
      </c>
      <c r="E334" s="22" t="s">
        <v>490</v>
      </c>
    </row>
    <row r="335" spans="1:5" x14ac:dyDescent="0.25">
      <c r="A335" s="35">
        <v>46008.903855613426</v>
      </c>
      <c r="B335" s="22" t="s">
        <v>827</v>
      </c>
      <c r="C335" s="22" t="s">
        <v>489</v>
      </c>
      <c r="D335" s="22" t="s">
        <v>468</v>
      </c>
      <c r="E335" s="22" t="s">
        <v>490</v>
      </c>
    </row>
    <row r="336" spans="1:5" x14ac:dyDescent="0.25">
      <c r="A336" s="35">
        <v>46008.903857106481</v>
      </c>
      <c r="B336" s="22" t="s">
        <v>828</v>
      </c>
      <c r="C336" s="22" t="s">
        <v>489</v>
      </c>
      <c r="D336" s="22" t="s">
        <v>500</v>
      </c>
      <c r="E336" s="22" t="s">
        <v>490</v>
      </c>
    </row>
    <row r="337" spans="1:5" x14ac:dyDescent="0.25">
      <c r="A337" s="35">
        <v>46008.903858634258</v>
      </c>
      <c r="B337" s="22" t="s">
        <v>829</v>
      </c>
      <c r="C337" s="22" t="s">
        <v>489</v>
      </c>
      <c r="D337" s="22" t="s">
        <v>500</v>
      </c>
      <c r="E337" s="22" t="s">
        <v>490</v>
      </c>
    </row>
    <row r="338" spans="1:5" x14ac:dyDescent="0.25">
      <c r="A338" s="35">
        <v>46008.903860370367</v>
      </c>
      <c r="B338" s="22" t="s">
        <v>830</v>
      </c>
      <c r="C338" s="22" t="s">
        <v>489</v>
      </c>
      <c r="D338" s="22" t="s">
        <v>500</v>
      </c>
      <c r="E338" s="22" t="s">
        <v>490</v>
      </c>
    </row>
    <row r="339" spans="1:5" x14ac:dyDescent="0.25">
      <c r="A339" s="35">
        <v>46008.903865960645</v>
      </c>
      <c r="B339" s="22" t="s">
        <v>831</v>
      </c>
      <c r="C339" s="22" t="s">
        <v>489</v>
      </c>
      <c r="D339" s="22" t="s">
        <v>469</v>
      </c>
      <c r="E339" s="22" t="s">
        <v>490</v>
      </c>
    </row>
    <row r="340" spans="1:5" x14ac:dyDescent="0.25">
      <c r="A340" s="35">
        <v>46008.90386755787</v>
      </c>
      <c r="B340" s="22" t="s">
        <v>832</v>
      </c>
      <c r="C340" s="22" t="s">
        <v>489</v>
      </c>
      <c r="D340" s="22" t="s">
        <v>468</v>
      </c>
      <c r="E340" s="22" t="s">
        <v>490</v>
      </c>
    </row>
    <row r="341" spans="1:5" x14ac:dyDescent="0.25">
      <c r="A341" s="35">
        <v>46008.903870706017</v>
      </c>
      <c r="B341" s="22" t="s">
        <v>833</v>
      </c>
      <c r="C341" s="22" t="s">
        <v>489</v>
      </c>
      <c r="D341" s="22" t="s">
        <v>500</v>
      </c>
      <c r="E341" s="22" t="s">
        <v>490</v>
      </c>
    </row>
    <row r="342" spans="1:5" x14ac:dyDescent="0.25">
      <c r="A342" s="35">
        <v>46008.903878599536</v>
      </c>
      <c r="B342" s="22" t="s">
        <v>834</v>
      </c>
      <c r="C342" s="22" t="s">
        <v>482</v>
      </c>
      <c r="D342" s="22" t="s">
        <v>449</v>
      </c>
      <c r="E342" s="22" t="s">
        <v>490</v>
      </c>
    </row>
    <row r="343" spans="1:5" x14ac:dyDescent="0.25">
      <c r="A343" s="35">
        <v>46008.90388017361</v>
      </c>
      <c r="B343" s="22" t="s">
        <v>835</v>
      </c>
      <c r="C343" s="22" t="s">
        <v>482</v>
      </c>
      <c r="D343" s="22" t="s">
        <v>449</v>
      </c>
      <c r="E343" s="22" t="s">
        <v>490</v>
      </c>
    </row>
    <row r="344" spans="1:5" x14ac:dyDescent="0.25">
      <c r="A344" s="35">
        <v>46008.903881701393</v>
      </c>
      <c r="B344" s="22" t="s">
        <v>836</v>
      </c>
      <c r="C344" s="22" t="s">
        <v>489</v>
      </c>
      <c r="D344" s="22" t="s">
        <v>468</v>
      </c>
      <c r="E344" s="22" t="s">
        <v>490</v>
      </c>
    </row>
    <row r="345" spans="1:5" x14ac:dyDescent="0.25">
      <c r="A345" s="35">
        <v>46008.903886655091</v>
      </c>
      <c r="B345" s="22" t="s">
        <v>837</v>
      </c>
      <c r="C345" s="22" t="s">
        <v>489</v>
      </c>
      <c r="D345" s="22" t="s">
        <v>469</v>
      </c>
      <c r="E345" s="22" t="s">
        <v>490</v>
      </c>
    </row>
    <row r="346" spans="1:5" x14ac:dyDescent="0.25">
      <c r="A346" s="35">
        <v>46008.903888379631</v>
      </c>
      <c r="B346" s="22" t="s">
        <v>838</v>
      </c>
      <c r="C346" s="22" t="s">
        <v>482</v>
      </c>
      <c r="D346" s="22" t="s">
        <v>449</v>
      </c>
      <c r="E346" s="22" t="s">
        <v>490</v>
      </c>
    </row>
    <row r="347" spans="1:5" x14ac:dyDescent="0.25">
      <c r="A347" s="35">
        <v>46008.903890034722</v>
      </c>
      <c r="B347" s="22" t="s">
        <v>839</v>
      </c>
      <c r="C347" s="22" t="s">
        <v>489</v>
      </c>
      <c r="D347" s="22" t="s">
        <v>500</v>
      </c>
      <c r="E347" s="22" t="s">
        <v>490</v>
      </c>
    </row>
    <row r="348" spans="1:5" x14ac:dyDescent="0.25">
      <c r="A348" s="35">
        <v>46008.903891608796</v>
      </c>
      <c r="B348" s="22" t="s">
        <v>840</v>
      </c>
      <c r="C348" s="22" t="s">
        <v>489</v>
      </c>
      <c r="D348" s="22" t="s">
        <v>500</v>
      </c>
      <c r="E348" s="22" t="s">
        <v>490</v>
      </c>
    </row>
    <row r="349" spans="1:5" x14ac:dyDescent="0.25">
      <c r="A349" s="35">
        <v>46008.903894930554</v>
      </c>
      <c r="B349" s="22" t="s">
        <v>841</v>
      </c>
      <c r="C349" s="22" t="s">
        <v>489</v>
      </c>
      <c r="D349" s="22" t="s">
        <v>500</v>
      </c>
      <c r="E349" s="22" t="s">
        <v>490</v>
      </c>
    </row>
    <row r="350" spans="1:5" x14ac:dyDescent="0.25">
      <c r="A350" s="35">
        <v>46008.903896469907</v>
      </c>
      <c r="B350" s="22" t="s">
        <v>842</v>
      </c>
      <c r="C350" s="22" t="s">
        <v>489</v>
      </c>
      <c r="D350" s="22" t="s">
        <v>500</v>
      </c>
      <c r="E350" s="22" t="s">
        <v>490</v>
      </c>
    </row>
    <row r="351" spans="1:5" x14ac:dyDescent="0.25">
      <c r="A351" s="35">
        <v>46008.903912453708</v>
      </c>
      <c r="B351" s="22" t="s">
        <v>843</v>
      </c>
      <c r="C351" s="22" t="s">
        <v>489</v>
      </c>
      <c r="D351" s="22" t="s">
        <v>469</v>
      </c>
      <c r="E351" s="22" t="s">
        <v>490</v>
      </c>
    </row>
    <row r="352" spans="1:5" x14ac:dyDescent="0.25">
      <c r="A352" s="35">
        <v>46008.903913993054</v>
      </c>
      <c r="B352" s="22" t="s">
        <v>844</v>
      </c>
      <c r="C352" s="22" t="s">
        <v>482</v>
      </c>
      <c r="D352" s="22" t="s">
        <v>449</v>
      </c>
      <c r="E352" s="22" t="s">
        <v>490</v>
      </c>
    </row>
    <row r="353" spans="1:5" x14ac:dyDescent="0.25">
      <c r="A353" s="35">
        <v>46008.903922673606</v>
      </c>
      <c r="B353" s="22" t="s">
        <v>845</v>
      </c>
      <c r="C353" s="22" t="s">
        <v>489</v>
      </c>
      <c r="D353" s="22" t="s">
        <v>468</v>
      </c>
      <c r="E353" s="22" t="s">
        <v>490</v>
      </c>
    </row>
    <row r="354" spans="1:5" x14ac:dyDescent="0.25">
      <c r="A354" s="35">
        <v>46008.903924479164</v>
      </c>
      <c r="B354" s="22" t="s">
        <v>846</v>
      </c>
      <c r="C354" s="22" t="s">
        <v>489</v>
      </c>
      <c r="D354" s="22" t="s">
        <v>500</v>
      </c>
      <c r="E354" s="22" t="s">
        <v>490</v>
      </c>
    </row>
    <row r="355" spans="1:5" x14ac:dyDescent="0.25">
      <c r="A355" s="35">
        <v>46008.903931203706</v>
      </c>
      <c r="B355" s="22" t="s">
        <v>847</v>
      </c>
      <c r="C355" s="22" t="s">
        <v>489</v>
      </c>
      <c r="D355" s="22" t="s">
        <v>500</v>
      </c>
      <c r="E355" s="22" t="s">
        <v>490</v>
      </c>
    </row>
    <row r="356" spans="1:5" x14ac:dyDescent="0.25">
      <c r="A356" s="35">
        <v>46008.90393291667</v>
      </c>
      <c r="B356" s="22" t="s">
        <v>848</v>
      </c>
      <c r="C356" s="22" t="s">
        <v>489</v>
      </c>
      <c r="D356" s="22" t="s">
        <v>468</v>
      </c>
      <c r="E356" s="22" t="s">
        <v>490</v>
      </c>
    </row>
    <row r="357" spans="1:5" x14ac:dyDescent="0.25">
      <c r="A357" s="35">
        <v>46008.903934490736</v>
      </c>
      <c r="B357" s="22" t="s">
        <v>849</v>
      </c>
      <c r="C357" s="22" t="s">
        <v>489</v>
      </c>
      <c r="D357" s="22" t="s">
        <v>468</v>
      </c>
      <c r="E357" s="22" t="s">
        <v>490</v>
      </c>
    </row>
    <row r="358" spans="1:5" x14ac:dyDescent="0.25">
      <c r="A358" s="35">
        <v>46008.903936296294</v>
      </c>
      <c r="B358" s="22" t="s">
        <v>850</v>
      </c>
      <c r="C358" s="22" t="s">
        <v>489</v>
      </c>
      <c r="D358" s="22" t="s">
        <v>500</v>
      </c>
      <c r="E358" s="22" t="s">
        <v>490</v>
      </c>
    </row>
    <row r="359" spans="1:5" x14ac:dyDescent="0.25">
      <c r="A359" s="35">
        <v>46008.903937962961</v>
      </c>
      <c r="B359" s="22" t="s">
        <v>851</v>
      </c>
      <c r="C359" s="22" t="s">
        <v>489</v>
      </c>
      <c r="D359" s="22" t="s">
        <v>500</v>
      </c>
      <c r="E359" s="22" t="s">
        <v>490</v>
      </c>
    </row>
    <row r="360" spans="1:5" x14ac:dyDescent="0.25">
      <c r="A360" s="35">
        <v>46008.903939548611</v>
      </c>
      <c r="B360" s="22" t="s">
        <v>852</v>
      </c>
      <c r="C360" s="22" t="s">
        <v>489</v>
      </c>
      <c r="D360" s="22" t="s">
        <v>468</v>
      </c>
      <c r="E360" s="22" t="s">
        <v>490</v>
      </c>
    </row>
    <row r="361" spans="1:5" x14ac:dyDescent="0.25">
      <c r="A361" s="35">
        <v>46008.903941064811</v>
      </c>
      <c r="B361" s="22" t="s">
        <v>853</v>
      </c>
      <c r="C361" s="22" t="s">
        <v>489</v>
      </c>
      <c r="D361" s="22" t="s">
        <v>500</v>
      </c>
      <c r="E361" s="22" t="s">
        <v>490</v>
      </c>
    </row>
    <row r="362" spans="1:5" x14ac:dyDescent="0.25">
      <c r="A362" s="35">
        <v>46008.903942592588</v>
      </c>
      <c r="B362" s="22" t="s">
        <v>854</v>
      </c>
      <c r="C362" s="22" t="s">
        <v>489</v>
      </c>
      <c r="D362" s="22" t="s">
        <v>500</v>
      </c>
      <c r="E362" s="22" t="s">
        <v>490</v>
      </c>
    </row>
    <row r="363" spans="1:5" x14ac:dyDescent="0.25">
      <c r="A363" s="35">
        <v>46008.903944189813</v>
      </c>
      <c r="B363" s="22" t="s">
        <v>855</v>
      </c>
      <c r="C363" s="22" t="s">
        <v>489</v>
      </c>
      <c r="D363" s="22" t="s">
        <v>500</v>
      </c>
      <c r="E363" s="22" t="s">
        <v>490</v>
      </c>
    </row>
    <row r="364" spans="1:5" x14ac:dyDescent="0.25">
      <c r="A364" s="35">
        <v>46008.903950254629</v>
      </c>
      <c r="B364" s="22" t="s">
        <v>856</v>
      </c>
      <c r="C364" s="22" t="s">
        <v>489</v>
      </c>
      <c r="D364" s="22" t="s">
        <v>468</v>
      </c>
      <c r="E364" s="22" t="s">
        <v>490</v>
      </c>
    </row>
    <row r="365" spans="1:5" x14ac:dyDescent="0.25">
      <c r="A365" s="35">
        <v>46008.90395201389</v>
      </c>
      <c r="B365" s="22" t="s">
        <v>857</v>
      </c>
      <c r="C365" s="22" t="s">
        <v>489</v>
      </c>
      <c r="D365" s="22" t="s">
        <v>468</v>
      </c>
      <c r="E365" s="22" t="s">
        <v>490</v>
      </c>
    </row>
    <row r="366" spans="1:5" x14ac:dyDescent="0.25">
      <c r="A366" s="35">
        <v>46008.903953749999</v>
      </c>
      <c r="B366" s="22" t="s">
        <v>858</v>
      </c>
      <c r="C366" s="22" t="s">
        <v>489</v>
      </c>
      <c r="D366" s="22" t="s">
        <v>469</v>
      </c>
      <c r="E366" s="22" t="s">
        <v>490</v>
      </c>
    </row>
    <row r="367" spans="1:5" x14ac:dyDescent="0.25">
      <c r="A367" s="35">
        <v>46008.903955358794</v>
      </c>
      <c r="B367" s="22" t="s">
        <v>859</v>
      </c>
      <c r="C367" s="22" t="s">
        <v>489</v>
      </c>
      <c r="D367" s="22" t="s">
        <v>469</v>
      </c>
      <c r="E367" s="22" t="s">
        <v>490</v>
      </c>
    </row>
    <row r="368" spans="1:5" x14ac:dyDescent="0.25">
      <c r="A368" s="35">
        <v>46008.903957071758</v>
      </c>
      <c r="B368" s="22" t="s">
        <v>860</v>
      </c>
      <c r="C368" s="22" t="s">
        <v>489</v>
      </c>
      <c r="D368" s="22" t="s">
        <v>500</v>
      </c>
      <c r="E368" s="22" t="s">
        <v>490</v>
      </c>
    </row>
    <row r="369" spans="1:5" x14ac:dyDescent="0.25">
      <c r="A369" s="35">
        <v>46008.903961701391</v>
      </c>
      <c r="B369" s="22" t="s">
        <v>861</v>
      </c>
      <c r="C369" s="22" t="s">
        <v>489</v>
      </c>
      <c r="D369" s="22" t="s">
        <v>468</v>
      </c>
      <c r="E369" s="22" t="s">
        <v>490</v>
      </c>
    </row>
    <row r="370" spans="1:5" x14ac:dyDescent="0.25">
      <c r="A370" s="35">
        <v>46008.903963321762</v>
      </c>
      <c r="B370" s="22" t="s">
        <v>862</v>
      </c>
      <c r="C370" s="22" t="s">
        <v>489</v>
      </c>
      <c r="D370" s="22" t="s">
        <v>468</v>
      </c>
      <c r="E370" s="22" t="s">
        <v>490</v>
      </c>
    </row>
    <row r="371" spans="1:5" x14ac:dyDescent="0.25">
      <c r="A371" s="35">
        <v>46008.903965092592</v>
      </c>
      <c r="B371" s="22" t="s">
        <v>863</v>
      </c>
      <c r="C371" s="22" t="s">
        <v>489</v>
      </c>
      <c r="D371" s="22" t="s">
        <v>468</v>
      </c>
      <c r="E371" s="22" t="s">
        <v>490</v>
      </c>
    </row>
    <row r="372" spans="1:5" x14ac:dyDescent="0.25">
      <c r="A372" s="35">
        <v>46008.903966655096</v>
      </c>
      <c r="B372" s="22" t="s">
        <v>864</v>
      </c>
      <c r="C372" s="22" t="s">
        <v>489</v>
      </c>
      <c r="D372" s="22" t="s">
        <v>468</v>
      </c>
      <c r="E372" s="22" t="s">
        <v>490</v>
      </c>
    </row>
    <row r="373" spans="1:5" x14ac:dyDescent="0.25">
      <c r="A373" s="35">
        <v>46008.903968437502</v>
      </c>
      <c r="B373" s="22" t="s">
        <v>865</v>
      </c>
      <c r="C373" s="22" t="s">
        <v>489</v>
      </c>
      <c r="D373" s="22" t="s">
        <v>468</v>
      </c>
      <c r="E373" s="22" t="s">
        <v>490</v>
      </c>
    </row>
    <row r="374" spans="1:5" x14ac:dyDescent="0.25">
      <c r="A374" s="35">
        <v>46008.903970590276</v>
      </c>
      <c r="B374" s="22" t="s">
        <v>866</v>
      </c>
      <c r="C374" s="22" t="s">
        <v>489</v>
      </c>
      <c r="D374" s="22" t="s">
        <v>468</v>
      </c>
      <c r="E374" s="22" t="s">
        <v>490</v>
      </c>
    </row>
    <row r="375" spans="1:5" x14ac:dyDescent="0.25">
      <c r="A375" s="35">
        <v>46008.903972152781</v>
      </c>
      <c r="B375" s="22" t="s">
        <v>867</v>
      </c>
      <c r="C375" s="22" t="s">
        <v>489</v>
      </c>
      <c r="D375" s="22" t="s">
        <v>582</v>
      </c>
      <c r="E375" s="22" t="s">
        <v>490</v>
      </c>
    </row>
    <row r="376" spans="1:5" x14ac:dyDescent="0.25">
      <c r="A376" s="35">
        <v>46008.903973668981</v>
      </c>
      <c r="B376" s="22" t="s">
        <v>868</v>
      </c>
      <c r="C376" s="22" t="s">
        <v>489</v>
      </c>
      <c r="D376" s="22" t="s">
        <v>468</v>
      </c>
      <c r="E376" s="22" t="s">
        <v>490</v>
      </c>
    </row>
    <row r="377" spans="1:5" x14ac:dyDescent="0.25">
      <c r="A377" s="35">
        <v>46008.903975243054</v>
      </c>
      <c r="B377" s="22" t="s">
        <v>869</v>
      </c>
      <c r="C377" s="22" t="s">
        <v>489</v>
      </c>
      <c r="D377" s="22" t="s">
        <v>500</v>
      </c>
      <c r="E377" s="22" t="s">
        <v>490</v>
      </c>
    </row>
    <row r="378" spans="1:5" x14ac:dyDescent="0.25">
      <c r="A378" s="35">
        <v>46008.903979490744</v>
      </c>
      <c r="B378" s="22" t="s">
        <v>870</v>
      </c>
      <c r="C378" s="22" t="s">
        <v>489</v>
      </c>
      <c r="D378" s="22" t="s">
        <v>500</v>
      </c>
      <c r="E378" s="22" t="s">
        <v>490</v>
      </c>
    </row>
    <row r="379" spans="1:5" x14ac:dyDescent="0.25">
      <c r="A379" s="35">
        <v>46008.903981041665</v>
      </c>
      <c r="B379" s="22" t="s">
        <v>871</v>
      </c>
      <c r="C379" s="22" t="s">
        <v>489</v>
      </c>
      <c r="D379" s="22" t="s">
        <v>469</v>
      </c>
      <c r="E379" s="22" t="s">
        <v>490</v>
      </c>
    </row>
    <row r="380" spans="1:5" x14ac:dyDescent="0.25">
      <c r="A380" s="35">
        <v>46008.90398534722</v>
      </c>
      <c r="B380" s="22" t="s">
        <v>872</v>
      </c>
      <c r="C380" s="22" t="s">
        <v>489</v>
      </c>
      <c r="D380" s="22" t="s">
        <v>469</v>
      </c>
      <c r="E380" s="22" t="s">
        <v>490</v>
      </c>
    </row>
    <row r="381" spans="1:5" x14ac:dyDescent="0.25">
      <c r="A381" s="35">
        <v>46008.903986990743</v>
      </c>
      <c r="B381" s="22" t="s">
        <v>873</v>
      </c>
      <c r="C381" s="22" t="s">
        <v>489</v>
      </c>
      <c r="D381" s="22" t="s">
        <v>469</v>
      </c>
      <c r="E381" s="22" t="s">
        <v>490</v>
      </c>
    </row>
    <row r="382" spans="1:5" x14ac:dyDescent="0.25">
      <c r="A382" s="35">
        <v>46008.903988506943</v>
      </c>
      <c r="B382" s="22" t="s">
        <v>874</v>
      </c>
      <c r="C382" s="22" t="s">
        <v>482</v>
      </c>
      <c r="D382" s="22" t="s">
        <v>449</v>
      </c>
      <c r="E382" s="22" t="s">
        <v>490</v>
      </c>
    </row>
    <row r="383" spans="1:5" x14ac:dyDescent="0.25">
      <c r="A383" s="35">
        <v>46008.903990335646</v>
      </c>
      <c r="B383" s="22" t="s">
        <v>875</v>
      </c>
      <c r="C383" s="22" t="s">
        <v>489</v>
      </c>
      <c r="D383" s="22" t="s">
        <v>469</v>
      </c>
      <c r="E383" s="22" t="s">
        <v>490</v>
      </c>
    </row>
    <row r="384" spans="1:5" x14ac:dyDescent="0.25">
      <c r="A384" s="35">
        <v>46008.903995104163</v>
      </c>
      <c r="B384" s="22" t="s">
        <v>876</v>
      </c>
      <c r="C384" s="22" t="s">
        <v>489</v>
      </c>
      <c r="D384" s="22" t="s">
        <v>469</v>
      </c>
      <c r="E384" s="22" t="s">
        <v>490</v>
      </c>
    </row>
    <row r="385" spans="1:5" x14ac:dyDescent="0.25">
      <c r="A385" s="35">
        <v>46008.903998703703</v>
      </c>
      <c r="B385" s="22" t="s">
        <v>877</v>
      </c>
      <c r="C385" s="22" t="s">
        <v>489</v>
      </c>
      <c r="D385" s="22" t="s">
        <v>469</v>
      </c>
      <c r="E385" s="22" t="s">
        <v>490</v>
      </c>
    </row>
    <row r="386" spans="1:5" x14ac:dyDescent="0.25">
      <c r="A386" s="35">
        <v>46008.904000312497</v>
      </c>
      <c r="B386" s="22" t="s">
        <v>878</v>
      </c>
      <c r="C386" s="22" t="s">
        <v>489</v>
      </c>
      <c r="D386" s="22" t="s">
        <v>468</v>
      </c>
      <c r="E386" s="22" t="s">
        <v>490</v>
      </c>
    </row>
    <row r="387" spans="1:5" x14ac:dyDescent="0.25">
      <c r="A387" s="35">
        <v>46008.904001817129</v>
      </c>
      <c r="B387" s="22" t="s">
        <v>879</v>
      </c>
      <c r="C387" s="22" t="s">
        <v>489</v>
      </c>
      <c r="D387" s="22" t="s">
        <v>468</v>
      </c>
      <c r="E387" s="22" t="s">
        <v>490</v>
      </c>
    </row>
    <row r="388" spans="1:5" x14ac:dyDescent="0.25">
      <c r="A388" s="35">
        <v>46008.904003483796</v>
      </c>
      <c r="B388" s="22" t="s">
        <v>880</v>
      </c>
      <c r="C388" s="22" t="s">
        <v>489</v>
      </c>
      <c r="D388" s="22" t="s">
        <v>468</v>
      </c>
      <c r="E388" s="22" t="s">
        <v>490</v>
      </c>
    </row>
    <row r="389" spans="1:5" x14ac:dyDescent="0.25">
      <c r="A389" s="35">
        <v>46008.904005243057</v>
      </c>
      <c r="B389" s="22" t="s">
        <v>881</v>
      </c>
      <c r="C389" s="22" t="s">
        <v>489</v>
      </c>
      <c r="D389" s="22" t="s">
        <v>468</v>
      </c>
      <c r="E389" s="22" t="s">
        <v>490</v>
      </c>
    </row>
    <row r="390" spans="1:5" x14ac:dyDescent="0.25">
      <c r="A390" s="35">
        <v>46008.904006921293</v>
      </c>
      <c r="B390" s="22" t="s">
        <v>882</v>
      </c>
      <c r="C390" s="22" t="s">
        <v>489</v>
      </c>
      <c r="D390" s="22" t="s">
        <v>500</v>
      </c>
      <c r="E390" s="22" t="s">
        <v>490</v>
      </c>
    </row>
    <row r="391" spans="1:5" x14ac:dyDescent="0.25">
      <c r="A391" s="35">
        <v>46008.904008715283</v>
      </c>
      <c r="B391" s="22" t="s">
        <v>883</v>
      </c>
      <c r="C391" s="22" t="s">
        <v>489</v>
      </c>
      <c r="D391" s="22" t="s">
        <v>500</v>
      </c>
      <c r="E391" s="22" t="s">
        <v>490</v>
      </c>
    </row>
    <row r="392" spans="1:5" x14ac:dyDescent="0.25">
      <c r="A392" s="35">
        <v>46008.904010370374</v>
      </c>
      <c r="B392" s="22" t="s">
        <v>884</v>
      </c>
      <c r="C392" s="22" t="s">
        <v>489</v>
      </c>
      <c r="D392" s="22" t="s">
        <v>500</v>
      </c>
      <c r="E392" s="22" t="s">
        <v>490</v>
      </c>
    </row>
    <row r="393" spans="1:5" x14ac:dyDescent="0.25">
      <c r="A393" s="35">
        <v>46008.904012129628</v>
      </c>
      <c r="B393" s="22" t="s">
        <v>885</v>
      </c>
      <c r="C393" s="22" t="s">
        <v>489</v>
      </c>
      <c r="D393" s="22" t="s">
        <v>469</v>
      </c>
      <c r="E393" s="22" t="s">
        <v>490</v>
      </c>
    </row>
    <row r="394" spans="1:5" x14ac:dyDescent="0.25">
      <c r="A394" s="35">
        <v>46008.904013726853</v>
      </c>
      <c r="B394" s="22" t="s">
        <v>886</v>
      </c>
      <c r="C394" s="22" t="s">
        <v>489</v>
      </c>
      <c r="D394" s="22" t="s">
        <v>468</v>
      </c>
      <c r="E394" s="22" t="s">
        <v>490</v>
      </c>
    </row>
    <row r="395" spans="1:5" x14ac:dyDescent="0.25">
      <c r="A395" s="35">
        <v>46008.904015474538</v>
      </c>
      <c r="B395" s="22" t="s">
        <v>887</v>
      </c>
      <c r="C395" s="22" t="s">
        <v>489</v>
      </c>
      <c r="D395" s="22" t="s">
        <v>468</v>
      </c>
      <c r="E395" s="22" t="s">
        <v>490</v>
      </c>
    </row>
    <row r="396" spans="1:5" x14ac:dyDescent="0.25">
      <c r="A396" s="35">
        <v>46008.904017037035</v>
      </c>
      <c r="B396" s="22" t="s">
        <v>888</v>
      </c>
      <c r="C396" s="22" t="s">
        <v>489</v>
      </c>
      <c r="D396" s="22" t="s">
        <v>500</v>
      </c>
      <c r="E396" s="22" t="s">
        <v>490</v>
      </c>
    </row>
    <row r="397" spans="1:5" x14ac:dyDescent="0.25">
      <c r="A397" s="35">
        <v>46008.904018773144</v>
      </c>
      <c r="B397" s="22" t="s">
        <v>889</v>
      </c>
      <c r="C397" s="22" t="s">
        <v>489</v>
      </c>
      <c r="D397" s="22" t="s">
        <v>500</v>
      </c>
      <c r="E397" s="22" t="s">
        <v>490</v>
      </c>
    </row>
    <row r="398" spans="1:5" x14ac:dyDescent="0.25">
      <c r="A398" s="35">
        <v>46008.90402047454</v>
      </c>
      <c r="B398" s="22" t="s">
        <v>890</v>
      </c>
      <c r="C398" s="22" t="s">
        <v>489</v>
      </c>
      <c r="D398" s="22" t="s">
        <v>468</v>
      </c>
      <c r="E398" s="22" t="s">
        <v>490</v>
      </c>
    </row>
    <row r="399" spans="1:5" x14ac:dyDescent="0.25">
      <c r="A399" s="35">
        <v>46008.904022569448</v>
      </c>
      <c r="B399" s="22" t="s">
        <v>891</v>
      </c>
      <c r="C399" s="22" t="s">
        <v>489</v>
      </c>
      <c r="D399" s="22" t="s">
        <v>468</v>
      </c>
      <c r="E399" s="22" t="s">
        <v>490</v>
      </c>
    </row>
    <row r="400" spans="1:5" x14ac:dyDescent="0.25">
      <c r="A400" s="35">
        <v>46008.904024270829</v>
      </c>
      <c r="B400" s="22" t="s">
        <v>892</v>
      </c>
      <c r="C400" s="22" t="s">
        <v>489</v>
      </c>
      <c r="D400" s="22" t="s">
        <v>468</v>
      </c>
      <c r="E400" s="22" t="s">
        <v>490</v>
      </c>
    </row>
    <row r="401" spans="1:5" x14ac:dyDescent="0.25">
      <c r="A401" s="35">
        <v>46008.904027002311</v>
      </c>
      <c r="B401" s="22" t="s">
        <v>893</v>
      </c>
      <c r="C401" s="22" t="s">
        <v>489</v>
      </c>
      <c r="D401" s="22" t="s">
        <v>469</v>
      </c>
      <c r="E401" s="22" t="s">
        <v>490</v>
      </c>
    </row>
    <row r="402" spans="1:5" x14ac:dyDescent="0.25">
      <c r="A402" s="35">
        <v>46008.904028622681</v>
      </c>
      <c r="B402" s="22" t="s">
        <v>894</v>
      </c>
      <c r="C402" s="22" t="s">
        <v>489</v>
      </c>
      <c r="D402" s="22" t="s">
        <v>468</v>
      </c>
      <c r="E402" s="22" t="s">
        <v>490</v>
      </c>
    </row>
    <row r="403" spans="1:5" x14ac:dyDescent="0.25">
      <c r="A403" s="35">
        <v>46008.904030266203</v>
      </c>
      <c r="B403" s="22" t="s">
        <v>895</v>
      </c>
      <c r="C403" s="22" t="s">
        <v>489</v>
      </c>
      <c r="D403" s="22" t="s">
        <v>468</v>
      </c>
      <c r="E403" s="22" t="s">
        <v>490</v>
      </c>
    </row>
    <row r="404" spans="1:5" x14ac:dyDescent="0.25">
      <c r="A404" s="35">
        <v>46008.904031967591</v>
      </c>
      <c r="B404" s="22" t="s">
        <v>896</v>
      </c>
      <c r="C404" s="22" t="s">
        <v>489</v>
      </c>
      <c r="D404" s="22" t="s">
        <v>500</v>
      </c>
      <c r="E404" s="22" t="s">
        <v>490</v>
      </c>
    </row>
    <row r="405" spans="1:5" x14ac:dyDescent="0.25">
      <c r="A405" s="35">
        <v>46008.904033773149</v>
      </c>
      <c r="B405" s="22" t="s">
        <v>897</v>
      </c>
      <c r="C405" s="22" t="s">
        <v>489</v>
      </c>
      <c r="D405" s="22" t="s">
        <v>500</v>
      </c>
      <c r="E405" s="22" t="s">
        <v>490</v>
      </c>
    </row>
    <row r="406" spans="1:5" x14ac:dyDescent="0.25">
      <c r="A406" s="35">
        <v>46008.904035416665</v>
      </c>
      <c r="B406" s="22" t="s">
        <v>898</v>
      </c>
      <c r="C406" s="22" t="s">
        <v>489</v>
      </c>
      <c r="D406" s="22" t="s">
        <v>500</v>
      </c>
      <c r="E406" s="22" t="s">
        <v>490</v>
      </c>
    </row>
    <row r="407" spans="1:5" x14ac:dyDescent="0.25">
      <c r="A407" s="35">
        <v>46008.90403711806</v>
      </c>
      <c r="B407" s="22" t="s">
        <v>899</v>
      </c>
      <c r="C407" s="22" t="s">
        <v>489</v>
      </c>
      <c r="D407" s="22" t="s">
        <v>500</v>
      </c>
      <c r="E407" s="22" t="s">
        <v>490</v>
      </c>
    </row>
    <row r="408" spans="1:5" x14ac:dyDescent="0.25">
      <c r="A408" s="35">
        <v>46008.904038657405</v>
      </c>
      <c r="B408" s="22" t="s">
        <v>900</v>
      </c>
      <c r="C408" s="22" t="s">
        <v>489</v>
      </c>
      <c r="D408" s="22" t="s">
        <v>468</v>
      </c>
      <c r="E408" s="22" t="s">
        <v>490</v>
      </c>
    </row>
    <row r="409" spans="1:5" x14ac:dyDescent="0.25">
      <c r="A409" s="35">
        <v>46008.904040578709</v>
      </c>
      <c r="B409" s="22" t="s">
        <v>901</v>
      </c>
      <c r="C409" s="22" t="s">
        <v>489</v>
      </c>
      <c r="D409" s="22" t="s">
        <v>468</v>
      </c>
      <c r="E409" s="22" t="s">
        <v>490</v>
      </c>
    </row>
    <row r="410" spans="1:5" x14ac:dyDescent="0.25">
      <c r="A410" s="35">
        <v>46008.90404789352</v>
      </c>
      <c r="B410" s="22" t="s">
        <v>902</v>
      </c>
      <c r="C410" s="22" t="s">
        <v>489</v>
      </c>
      <c r="D410" s="22" t="s">
        <v>468</v>
      </c>
      <c r="E410" s="22" t="s">
        <v>490</v>
      </c>
    </row>
    <row r="411" spans="1:5" x14ac:dyDescent="0.25">
      <c r="A411" s="35">
        <v>46008.904049502315</v>
      </c>
      <c r="B411" s="22" t="s">
        <v>903</v>
      </c>
      <c r="C411" s="22" t="s">
        <v>482</v>
      </c>
      <c r="D411" s="22" t="s">
        <v>449</v>
      </c>
      <c r="E411" s="22" t="s">
        <v>490</v>
      </c>
    </row>
    <row r="412" spans="1:5" x14ac:dyDescent="0.25">
      <c r="A412" s="35">
        <v>46008.904063437498</v>
      </c>
      <c r="B412" s="22" t="s">
        <v>904</v>
      </c>
      <c r="C412" s="22" t="s">
        <v>482</v>
      </c>
      <c r="D412" s="22" t="s">
        <v>449</v>
      </c>
      <c r="E412" s="22" t="s">
        <v>490</v>
      </c>
    </row>
    <row r="413" spans="1:5" x14ac:dyDescent="0.25">
      <c r="A413" s="35">
        <v>46008.904065312498</v>
      </c>
      <c r="B413" s="22" t="s">
        <v>905</v>
      </c>
      <c r="C413" s="22" t="s">
        <v>482</v>
      </c>
      <c r="D413" s="22" t="s">
        <v>516</v>
      </c>
      <c r="E413" s="22" t="s">
        <v>490</v>
      </c>
    </row>
    <row r="414" spans="1:5" x14ac:dyDescent="0.25">
      <c r="A414" s="35">
        <v>46008.904078252315</v>
      </c>
      <c r="B414" s="22" t="s">
        <v>906</v>
      </c>
      <c r="C414" s="22" t="s">
        <v>489</v>
      </c>
      <c r="D414" s="22" t="s">
        <v>492</v>
      </c>
      <c r="E414" s="22" t="s">
        <v>490</v>
      </c>
    </row>
    <row r="415" spans="1:5" x14ac:dyDescent="0.25">
      <c r="A415" s="35">
        <v>46008.904079872686</v>
      </c>
      <c r="B415" s="22" t="s">
        <v>907</v>
      </c>
      <c r="C415" s="22" t="s">
        <v>489</v>
      </c>
      <c r="D415" s="22" t="s">
        <v>468</v>
      </c>
      <c r="E415" s="22" t="s">
        <v>490</v>
      </c>
    </row>
    <row r="416" spans="1:5" x14ac:dyDescent="0.25">
      <c r="A416" s="35">
        <v>46008.904081469911</v>
      </c>
      <c r="B416" s="22" t="s">
        <v>908</v>
      </c>
      <c r="C416" s="22" t="s">
        <v>489</v>
      </c>
      <c r="D416" s="22" t="s">
        <v>468</v>
      </c>
      <c r="E416" s="22" t="s">
        <v>490</v>
      </c>
    </row>
    <row r="417" spans="1:5" x14ac:dyDescent="0.25">
      <c r="A417" s="35">
        <v>46008.904083182875</v>
      </c>
      <c r="B417" s="22" t="s">
        <v>909</v>
      </c>
      <c r="C417" s="22" t="s">
        <v>489</v>
      </c>
      <c r="D417" s="22" t="s">
        <v>468</v>
      </c>
      <c r="E417" s="22" t="s">
        <v>490</v>
      </c>
    </row>
    <row r="418" spans="1:5" x14ac:dyDescent="0.25">
      <c r="A418" s="35">
        <v>46008.904084814814</v>
      </c>
      <c r="B418" s="22" t="s">
        <v>910</v>
      </c>
      <c r="C418" s="22" t="s">
        <v>489</v>
      </c>
      <c r="D418" s="22" t="s">
        <v>468</v>
      </c>
      <c r="E418" s="22" t="s">
        <v>490</v>
      </c>
    </row>
    <row r="419" spans="1:5" x14ac:dyDescent="0.25">
      <c r="A419" s="35">
        <v>46008.904086481481</v>
      </c>
      <c r="B419" s="22" t="s">
        <v>911</v>
      </c>
      <c r="C419" s="22" t="s">
        <v>489</v>
      </c>
      <c r="D419" s="22" t="s">
        <v>468</v>
      </c>
      <c r="E419" s="22" t="s">
        <v>490</v>
      </c>
    </row>
    <row r="420" spans="1:5" x14ac:dyDescent="0.25">
      <c r="A420" s="35">
        <v>46008.904087962961</v>
      </c>
      <c r="B420" s="22" t="s">
        <v>912</v>
      </c>
      <c r="C420" s="22" t="s">
        <v>489</v>
      </c>
      <c r="D420" s="22" t="s">
        <v>469</v>
      </c>
      <c r="E420" s="22" t="s">
        <v>490</v>
      </c>
    </row>
    <row r="421" spans="1:5" x14ac:dyDescent="0.25">
      <c r="A421" s="35">
        <v>46008.904091203702</v>
      </c>
      <c r="B421" s="22" t="s">
        <v>913</v>
      </c>
      <c r="C421" s="22" t="s">
        <v>482</v>
      </c>
      <c r="D421" s="22" t="s">
        <v>449</v>
      </c>
      <c r="E421" s="22" t="s">
        <v>490</v>
      </c>
    </row>
    <row r="422" spans="1:5" x14ac:dyDescent="0.25">
      <c r="A422" s="35">
        <v>46008.904095196762</v>
      </c>
      <c r="B422" s="22" t="s">
        <v>914</v>
      </c>
      <c r="C422" s="22" t="s">
        <v>489</v>
      </c>
      <c r="D422" s="22" t="s">
        <v>500</v>
      </c>
      <c r="E422" s="22" t="s">
        <v>490</v>
      </c>
    </row>
    <row r="423" spans="1:5" x14ac:dyDescent="0.25">
      <c r="A423" s="35">
        <v>46008.904103148147</v>
      </c>
      <c r="B423" s="22" t="s">
        <v>915</v>
      </c>
      <c r="C423" s="22" t="s">
        <v>489</v>
      </c>
      <c r="D423" s="22" t="s">
        <v>500</v>
      </c>
      <c r="E423" s="22" t="s">
        <v>490</v>
      </c>
    </row>
    <row r="424" spans="1:5" x14ac:dyDescent="0.25">
      <c r="A424" s="35">
        <v>46008.904105034722</v>
      </c>
      <c r="B424" s="22" t="s">
        <v>916</v>
      </c>
      <c r="C424" s="22" t="s">
        <v>489</v>
      </c>
      <c r="D424" s="22" t="s">
        <v>500</v>
      </c>
      <c r="E424" s="22" t="s">
        <v>490</v>
      </c>
    </row>
    <row r="425" spans="1:5" x14ac:dyDescent="0.25">
      <c r="A425" s="35">
        <v>46008.904106620372</v>
      </c>
      <c r="B425" s="22" t="s">
        <v>917</v>
      </c>
      <c r="C425" s="22" t="s">
        <v>489</v>
      </c>
      <c r="D425" s="22" t="s">
        <v>500</v>
      </c>
      <c r="E425" s="22" t="s">
        <v>490</v>
      </c>
    </row>
    <row r="426" spans="1:5" x14ac:dyDescent="0.25">
      <c r="A426" s="35">
        <v>46008.904108634262</v>
      </c>
      <c r="B426" s="22" t="s">
        <v>918</v>
      </c>
      <c r="C426" s="22" t="s">
        <v>489</v>
      </c>
      <c r="D426" s="22" t="s">
        <v>500</v>
      </c>
      <c r="E426" s="22" t="s">
        <v>490</v>
      </c>
    </row>
    <row r="427" spans="1:5" x14ac:dyDescent="0.25">
      <c r="A427" s="35">
        <v>46008.904114583333</v>
      </c>
      <c r="B427" s="22" t="s">
        <v>919</v>
      </c>
      <c r="C427" s="22" t="s">
        <v>489</v>
      </c>
      <c r="D427" s="22" t="s">
        <v>469</v>
      </c>
      <c r="E427" s="22" t="s">
        <v>490</v>
      </c>
    </row>
    <row r="428" spans="1:5" x14ac:dyDescent="0.25">
      <c r="A428" s="35">
        <v>46008.904116284721</v>
      </c>
      <c r="B428" s="22" t="s">
        <v>920</v>
      </c>
      <c r="C428" s="22" t="s">
        <v>489</v>
      </c>
      <c r="D428" s="22" t="s">
        <v>469</v>
      </c>
      <c r="E428" s="22" t="s">
        <v>490</v>
      </c>
    </row>
    <row r="429" spans="1:5" x14ac:dyDescent="0.25">
      <c r="A429" s="35">
        <v>46008.904117905091</v>
      </c>
      <c r="B429" s="22" t="s">
        <v>921</v>
      </c>
      <c r="C429" s="22" t="s">
        <v>489</v>
      </c>
      <c r="D429" s="22" t="s">
        <v>468</v>
      </c>
      <c r="E429" s="22" t="s">
        <v>490</v>
      </c>
    </row>
    <row r="430" spans="1:5" x14ac:dyDescent="0.25">
      <c r="A430" s="35">
        <v>46008.904119421291</v>
      </c>
      <c r="B430" s="22" t="s">
        <v>922</v>
      </c>
      <c r="C430" s="22" t="s">
        <v>489</v>
      </c>
      <c r="D430" s="22" t="s">
        <v>468</v>
      </c>
      <c r="E430" s="22" t="s">
        <v>490</v>
      </c>
    </row>
    <row r="431" spans="1:5" x14ac:dyDescent="0.25">
      <c r="A431" s="35">
        <v>46008.904121215281</v>
      </c>
      <c r="B431" s="22" t="s">
        <v>923</v>
      </c>
      <c r="C431" s="22" t="s">
        <v>489</v>
      </c>
      <c r="D431" s="22" t="s">
        <v>468</v>
      </c>
      <c r="E431" s="22" t="s">
        <v>490</v>
      </c>
    </row>
    <row r="432" spans="1:5" x14ac:dyDescent="0.25">
      <c r="A432" s="35">
        <v>46008.904122824075</v>
      </c>
      <c r="B432" s="22" t="s">
        <v>924</v>
      </c>
      <c r="C432" s="22" t="s">
        <v>482</v>
      </c>
      <c r="D432" s="22" t="s">
        <v>449</v>
      </c>
      <c r="E432" s="22" t="s">
        <v>490</v>
      </c>
    </row>
    <row r="433" spans="1:5" x14ac:dyDescent="0.25">
      <c r="A433" s="35">
        <v>46008.904136469908</v>
      </c>
      <c r="B433" s="22" t="s">
        <v>925</v>
      </c>
      <c r="C433" s="22" t="s">
        <v>489</v>
      </c>
      <c r="D433" s="22" t="s">
        <v>469</v>
      </c>
      <c r="E433" s="22" t="s">
        <v>490</v>
      </c>
    </row>
    <row r="434" spans="1:5" x14ac:dyDescent="0.25">
      <c r="A434" s="35">
        <v>46008.904138078702</v>
      </c>
      <c r="B434" s="22" t="s">
        <v>926</v>
      </c>
      <c r="C434" s="22" t="s">
        <v>482</v>
      </c>
      <c r="D434" s="22" t="s">
        <v>449</v>
      </c>
      <c r="E434" s="22" t="s">
        <v>490</v>
      </c>
    </row>
    <row r="435" spans="1:5" x14ac:dyDescent="0.25">
      <c r="A435" s="35">
        <v>46008.904139907405</v>
      </c>
      <c r="B435" s="22" t="s">
        <v>927</v>
      </c>
      <c r="C435" s="22" t="s">
        <v>489</v>
      </c>
      <c r="D435" s="22" t="s">
        <v>500</v>
      </c>
      <c r="E435" s="22" t="s">
        <v>490</v>
      </c>
    </row>
    <row r="436" spans="1:5" x14ac:dyDescent="0.25">
      <c r="A436" s="35">
        <v>46008.904142071755</v>
      </c>
      <c r="B436" s="22" t="s">
        <v>928</v>
      </c>
      <c r="C436" s="22" t="s">
        <v>489</v>
      </c>
      <c r="D436" s="22" t="s">
        <v>500</v>
      </c>
      <c r="E436" s="22" t="s">
        <v>490</v>
      </c>
    </row>
    <row r="437" spans="1:5" x14ac:dyDescent="0.25">
      <c r="A437" s="35">
        <v>46008.904144143518</v>
      </c>
      <c r="B437" s="22" t="s">
        <v>929</v>
      </c>
      <c r="C437" s="22" t="s">
        <v>489</v>
      </c>
      <c r="D437" s="22" t="s">
        <v>468</v>
      </c>
      <c r="E437" s="22" t="s">
        <v>490</v>
      </c>
    </row>
    <row r="438" spans="1:5" x14ac:dyDescent="0.25">
      <c r="A438" s="35">
        <v>46008.904145856483</v>
      </c>
      <c r="B438" s="22" t="s">
        <v>930</v>
      </c>
      <c r="C438" s="22" t="s">
        <v>489</v>
      </c>
      <c r="D438" s="22" t="s">
        <v>492</v>
      </c>
      <c r="E438" s="22" t="s">
        <v>490</v>
      </c>
    </row>
    <row r="439" spans="1:5" x14ac:dyDescent="0.25">
      <c r="A439" s="35">
        <v>46008.904159606478</v>
      </c>
      <c r="B439" s="22" t="s">
        <v>931</v>
      </c>
      <c r="C439" s="22" t="s">
        <v>489</v>
      </c>
      <c r="D439" s="22" t="s">
        <v>468</v>
      </c>
      <c r="E439" s="22" t="s">
        <v>490</v>
      </c>
    </row>
    <row r="440" spans="1:5" x14ac:dyDescent="0.25">
      <c r="A440" s="35">
        <v>46008.904162384264</v>
      </c>
      <c r="B440" s="22" t="s">
        <v>932</v>
      </c>
      <c r="C440" s="22" t="s">
        <v>489</v>
      </c>
      <c r="D440" s="22" t="s">
        <v>469</v>
      </c>
      <c r="E440" s="22" t="s">
        <v>490</v>
      </c>
    </row>
    <row r="441" spans="1:5" x14ac:dyDescent="0.25">
      <c r="A441" s="35">
        <v>46008.904164074076</v>
      </c>
      <c r="B441" s="22" t="s">
        <v>933</v>
      </c>
      <c r="C441" s="22" t="s">
        <v>489</v>
      </c>
      <c r="D441" s="22" t="s">
        <v>468</v>
      </c>
      <c r="E441" s="22" t="s">
        <v>490</v>
      </c>
    </row>
    <row r="442" spans="1:5" x14ac:dyDescent="0.25">
      <c r="A442" s="35">
        <v>46008.904165891203</v>
      </c>
      <c r="B442" s="22" t="s">
        <v>934</v>
      </c>
      <c r="C442" s="22" t="s">
        <v>489</v>
      </c>
      <c r="D442" s="22" t="s">
        <v>468</v>
      </c>
      <c r="E442" s="22" t="s">
        <v>490</v>
      </c>
    </row>
    <row r="443" spans="1:5" x14ac:dyDescent="0.25">
      <c r="A443" s="35">
        <v>46008.904168587964</v>
      </c>
      <c r="B443" s="22" t="s">
        <v>935</v>
      </c>
      <c r="C443" s="22" t="s">
        <v>489</v>
      </c>
      <c r="D443" s="22" t="s">
        <v>500</v>
      </c>
      <c r="E443" s="22" t="s">
        <v>490</v>
      </c>
    </row>
    <row r="444" spans="1:5" x14ac:dyDescent="0.25">
      <c r="A444" s="35">
        <v>46008.904170162037</v>
      </c>
      <c r="B444" s="22" t="s">
        <v>936</v>
      </c>
      <c r="C444" s="22" t="s">
        <v>489</v>
      </c>
      <c r="D444" s="22" t="s">
        <v>500</v>
      </c>
      <c r="E444" s="22" t="s">
        <v>490</v>
      </c>
    </row>
    <row r="445" spans="1:5" x14ac:dyDescent="0.25">
      <c r="A445" s="35">
        <v>46008.904171712958</v>
      </c>
      <c r="B445" s="22" t="s">
        <v>937</v>
      </c>
      <c r="C445" s="22" t="s">
        <v>489</v>
      </c>
      <c r="D445" s="22" t="s">
        <v>468</v>
      </c>
      <c r="E445" s="22" t="s">
        <v>490</v>
      </c>
    </row>
    <row r="446" spans="1:5" x14ac:dyDescent="0.25">
      <c r="A446" s="35">
        <v>46008.904173437499</v>
      </c>
      <c r="B446" s="22" t="s">
        <v>938</v>
      </c>
      <c r="C446" s="22" t="s">
        <v>489</v>
      </c>
      <c r="D446" s="22" t="s">
        <v>468</v>
      </c>
      <c r="E446" s="22" t="s">
        <v>490</v>
      </c>
    </row>
    <row r="447" spans="1:5" x14ac:dyDescent="0.25">
      <c r="A447" s="35">
        <v>46008.904175312498</v>
      </c>
      <c r="B447" s="22" t="s">
        <v>939</v>
      </c>
      <c r="C447" s="22" t="s">
        <v>489</v>
      </c>
      <c r="D447" s="22" t="s">
        <v>468</v>
      </c>
      <c r="E447" s="22" t="s">
        <v>490</v>
      </c>
    </row>
    <row r="448" spans="1:5" x14ac:dyDescent="0.25">
      <c r="A448" s="35">
        <v>46008.904176886572</v>
      </c>
      <c r="B448" s="22" t="s">
        <v>940</v>
      </c>
      <c r="C448" s="22" t="s">
        <v>489</v>
      </c>
      <c r="D448" s="22" t="s">
        <v>468</v>
      </c>
      <c r="E448" s="22" t="s">
        <v>490</v>
      </c>
    </row>
    <row r="449" spans="1:5" x14ac:dyDescent="0.25">
      <c r="A449" s="35">
        <v>46008.904178414348</v>
      </c>
      <c r="B449" s="22" t="s">
        <v>941</v>
      </c>
      <c r="C449" s="22" t="s">
        <v>489</v>
      </c>
      <c r="D449" s="22" t="s">
        <v>468</v>
      </c>
      <c r="E449" s="22" t="s">
        <v>490</v>
      </c>
    </row>
    <row r="450" spans="1:5" x14ac:dyDescent="0.25">
      <c r="A450" s="35">
        <v>46008.904180219906</v>
      </c>
      <c r="B450" s="22" t="s">
        <v>942</v>
      </c>
      <c r="C450" s="22" t="s">
        <v>489</v>
      </c>
      <c r="D450" s="22" t="s">
        <v>492</v>
      </c>
      <c r="E450" s="22" t="s">
        <v>490</v>
      </c>
    </row>
    <row r="451" spans="1:5" x14ac:dyDescent="0.25">
      <c r="A451" s="35">
        <v>46008.904181944439</v>
      </c>
      <c r="B451" s="22" t="s">
        <v>943</v>
      </c>
      <c r="C451" s="22" t="s">
        <v>489</v>
      </c>
      <c r="D451" s="22" t="s">
        <v>468</v>
      </c>
      <c r="E451" s="22" t="s">
        <v>490</v>
      </c>
    </row>
    <row r="452" spans="1:5" x14ac:dyDescent="0.25">
      <c r="A452" s="35">
        <v>46008.904183958337</v>
      </c>
      <c r="B452" s="22" t="s">
        <v>944</v>
      </c>
      <c r="C452" s="22" t="s">
        <v>489</v>
      </c>
      <c r="D452" s="22" t="s">
        <v>500</v>
      </c>
      <c r="E452" s="22" t="s">
        <v>490</v>
      </c>
    </row>
    <row r="453" spans="1:5" x14ac:dyDescent="0.25">
      <c r="A453" s="35">
        <v>46008.904185648149</v>
      </c>
      <c r="B453" s="22" t="s">
        <v>945</v>
      </c>
      <c r="C453" s="22" t="s">
        <v>489</v>
      </c>
      <c r="D453" s="22" t="s">
        <v>500</v>
      </c>
      <c r="E453" s="22" t="s">
        <v>490</v>
      </c>
    </row>
    <row r="454" spans="1:5" x14ac:dyDescent="0.25">
      <c r="A454" s="35">
        <v>46008.904187245367</v>
      </c>
      <c r="B454" s="22" t="s">
        <v>946</v>
      </c>
      <c r="C454" s="22" t="s">
        <v>489</v>
      </c>
      <c r="D454" s="22" t="s">
        <v>468</v>
      </c>
      <c r="E454" s="22" t="s">
        <v>490</v>
      </c>
    </row>
    <row r="455" spans="1:5" x14ac:dyDescent="0.25">
      <c r="A455" s="35">
        <v>46008.90419188657</v>
      </c>
      <c r="B455" s="22" t="s">
        <v>947</v>
      </c>
      <c r="C455" s="22" t="s">
        <v>489</v>
      </c>
      <c r="D455" s="22" t="s">
        <v>500</v>
      </c>
      <c r="E455" s="22" t="s">
        <v>490</v>
      </c>
    </row>
    <row r="456" spans="1:5" x14ac:dyDescent="0.25">
      <c r="A456" s="35">
        <v>46008.904193541668</v>
      </c>
      <c r="B456" s="22" t="s">
        <v>948</v>
      </c>
      <c r="C456" s="22" t="s">
        <v>489</v>
      </c>
      <c r="D456" s="22" t="s">
        <v>500</v>
      </c>
      <c r="E456" s="22" t="s">
        <v>490</v>
      </c>
    </row>
    <row r="457" spans="1:5" x14ac:dyDescent="0.25">
      <c r="A457" s="35">
        <v>46008.90419872685</v>
      </c>
      <c r="B457" s="22" t="s">
        <v>949</v>
      </c>
      <c r="C457" s="22" t="s">
        <v>489</v>
      </c>
      <c r="D457" s="22" t="s">
        <v>500</v>
      </c>
      <c r="E457" s="22" t="s">
        <v>490</v>
      </c>
    </row>
    <row r="458" spans="1:5" x14ac:dyDescent="0.25">
      <c r="A458" s="35">
        <v>46008.904200740741</v>
      </c>
      <c r="B458" s="22" t="s">
        <v>950</v>
      </c>
      <c r="C458" s="22" t="s">
        <v>489</v>
      </c>
      <c r="D458" s="22" t="s">
        <v>500</v>
      </c>
      <c r="E458" s="22" t="s">
        <v>490</v>
      </c>
    </row>
    <row r="459" spans="1:5" x14ac:dyDescent="0.25">
      <c r="A459" s="35">
        <v>46008.904202442129</v>
      </c>
      <c r="B459" s="22" t="s">
        <v>951</v>
      </c>
      <c r="C459" s="22" t="s">
        <v>489</v>
      </c>
      <c r="D459" s="22" t="s">
        <v>468</v>
      </c>
      <c r="E459" s="22" t="s">
        <v>490</v>
      </c>
    </row>
    <row r="460" spans="1:5" x14ac:dyDescent="0.25">
      <c r="A460" s="35">
        <v>46008.904204004633</v>
      </c>
      <c r="B460" s="22" t="s">
        <v>952</v>
      </c>
      <c r="C460" s="22" t="s">
        <v>489</v>
      </c>
      <c r="D460" s="22" t="s">
        <v>468</v>
      </c>
      <c r="E460" s="22" t="s">
        <v>490</v>
      </c>
    </row>
    <row r="461" spans="1:5" x14ac:dyDescent="0.25">
      <c r="A461" s="35">
        <v>46008.904205833329</v>
      </c>
      <c r="B461" s="22" t="s">
        <v>953</v>
      </c>
      <c r="C461" s="22" t="s">
        <v>482</v>
      </c>
      <c r="D461" s="22" t="s">
        <v>449</v>
      </c>
      <c r="E461" s="22" t="s">
        <v>490</v>
      </c>
    </row>
    <row r="462" spans="1:5" x14ac:dyDescent="0.25">
      <c r="A462" s="35">
        <v>46008.904207511572</v>
      </c>
      <c r="B462" s="22" t="s">
        <v>954</v>
      </c>
      <c r="C462" s="22" t="s">
        <v>489</v>
      </c>
      <c r="D462" s="22" t="s">
        <v>469</v>
      </c>
      <c r="E462" s="22" t="s">
        <v>490</v>
      </c>
    </row>
    <row r="463" spans="1:5" x14ac:dyDescent="0.25">
      <c r="A463" s="35">
        <v>46008.904209120374</v>
      </c>
      <c r="B463" s="22" t="s">
        <v>955</v>
      </c>
      <c r="C463" s="22" t="s">
        <v>489</v>
      </c>
      <c r="D463" s="22" t="s">
        <v>500</v>
      </c>
      <c r="E463" s="22" t="s">
        <v>490</v>
      </c>
    </row>
    <row r="464" spans="1:5" x14ac:dyDescent="0.25">
      <c r="A464" s="35">
        <v>46008.90421064815</v>
      </c>
      <c r="B464" s="22" t="s">
        <v>956</v>
      </c>
      <c r="C464" s="22" t="s">
        <v>489</v>
      </c>
      <c r="D464" s="22" t="s">
        <v>500</v>
      </c>
      <c r="E464" s="22" t="s">
        <v>490</v>
      </c>
    </row>
    <row r="465" spans="1:5" x14ac:dyDescent="0.25">
      <c r="A465" s="35">
        <v>46008.904212210648</v>
      </c>
      <c r="B465" s="22" t="s">
        <v>957</v>
      </c>
      <c r="C465" s="22" t="s">
        <v>489</v>
      </c>
      <c r="D465" s="22" t="s">
        <v>468</v>
      </c>
      <c r="E465" s="22" t="s">
        <v>490</v>
      </c>
    </row>
    <row r="466" spans="1:5" x14ac:dyDescent="0.25">
      <c r="A466" s="35">
        <v>46008.904213993053</v>
      </c>
      <c r="B466" s="22" t="s">
        <v>958</v>
      </c>
      <c r="C466" s="22" t="s">
        <v>489</v>
      </c>
      <c r="D466" s="22" t="s">
        <v>500</v>
      </c>
      <c r="E466" s="22" t="s">
        <v>490</v>
      </c>
    </row>
    <row r="467" spans="1:5" x14ac:dyDescent="0.25">
      <c r="A467" s="35">
        <v>46008.90421572917</v>
      </c>
      <c r="B467" s="22" t="s">
        <v>959</v>
      </c>
      <c r="C467" s="22" t="s">
        <v>489</v>
      </c>
      <c r="D467" s="22" t="s">
        <v>500</v>
      </c>
      <c r="E467" s="22" t="s">
        <v>490</v>
      </c>
    </row>
    <row r="468" spans="1:5" x14ac:dyDescent="0.25">
      <c r="A468" s="35">
        <v>46008.904219212964</v>
      </c>
      <c r="B468" s="22" t="s">
        <v>960</v>
      </c>
      <c r="C468" s="22" t="s">
        <v>489</v>
      </c>
      <c r="D468" s="22" t="s">
        <v>500</v>
      </c>
      <c r="E468" s="22" t="s">
        <v>490</v>
      </c>
    </row>
    <row r="469" spans="1:5" x14ac:dyDescent="0.25">
      <c r="A469" s="35">
        <v>46008.904221006946</v>
      </c>
      <c r="B469" s="22" t="s">
        <v>961</v>
      </c>
      <c r="C469" s="22" t="s">
        <v>489</v>
      </c>
      <c r="D469" s="22" t="s">
        <v>469</v>
      </c>
      <c r="E469" s="22" t="s">
        <v>490</v>
      </c>
    </row>
    <row r="470" spans="1:5" x14ac:dyDescent="0.25">
      <c r="A470" s="35">
        <v>46008.904222835648</v>
      </c>
      <c r="B470" s="22" t="s">
        <v>962</v>
      </c>
      <c r="C470" s="22" t="s">
        <v>489</v>
      </c>
      <c r="D470" s="22" t="s">
        <v>468</v>
      </c>
      <c r="E470" s="22" t="s">
        <v>490</v>
      </c>
    </row>
    <row r="471" spans="1:5" x14ac:dyDescent="0.25">
      <c r="A471" s="35">
        <v>46008.904224432874</v>
      </c>
      <c r="B471" s="22" t="s">
        <v>963</v>
      </c>
      <c r="C471" s="22" t="s">
        <v>482</v>
      </c>
      <c r="D471" s="22" t="s">
        <v>449</v>
      </c>
      <c r="E471" s="22" t="s">
        <v>490</v>
      </c>
    </row>
    <row r="472" spans="1:5" x14ac:dyDescent="0.25">
      <c r="A472" s="35">
        <v>46008.904229236112</v>
      </c>
      <c r="B472" s="22" t="s">
        <v>964</v>
      </c>
      <c r="C472" s="22" t="s">
        <v>482</v>
      </c>
      <c r="D472" s="22" t="s">
        <v>449</v>
      </c>
      <c r="E472" s="22" t="s">
        <v>490</v>
      </c>
    </row>
    <row r="473" spans="1:5" x14ac:dyDescent="0.25">
      <c r="A473" s="35">
        <v>46008.90423083333</v>
      </c>
      <c r="B473" s="22" t="s">
        <v>965</v>
      </c>
      <c r="C473" s="22" t="s">
        <v>489</v>
      </c>
      <c r="D473" s="22" t="s">
        <v>468</v>
      </c>
      <c r="E473" s="22" t="s">
        <v>490</v>
      </c>
    </row>
    <row r="474" spans="1:5" x14ac:dyDescent="0.25">
      <c r="A474" s="35">
        <v>46008.904232581015</v>
      </c>
      <c r="B474" s="22" t="s">
        <v>966</v>
      </c>
      <c r="C474" s="22" t="s">
        <v>489</v>
      </c>
      <c r="D474" s="22" t="s">
        <v>469</v>
      </c>
      <c r="E474" s="22" t="s">
        <v>490</v>
      </c>
    </row>
    <row r="475" spans="1:5" x14ac:dyDescent="0.25">
      <c r="A475" s="35">
        <v>46008.904234305555</v>
      </c>
      <c r="B475" s="22" t="s">
        <v>967</v>
      </c>
      <c r="C475" s="22" t="s">
        <v>482</v>
      </c>
      <c r="D475" s="22" t="s">
        <v>449</v>
      </c>
      <c r="E475" s="22" t="s">
        <v>490</v>
      </c>
    </row>
    <row r="476" spans="1:5" x14ac:dyDescent="0.25">
      <c r="A476" s="35">
        <v>46008.904235798611</v>
      </c>
      <c r="B476" s="22" t="s">
        <v>968</v>
      </c>
      <c r="C476" s="22" t="s">
        <v>489</v>
      </c>
      <c r="D476" s="22" t="s">
        <v>500</v>
      </c>
      <c r="E476" s="22" t="s">
        <v>490</v>
      </c>
    </row>
    <row r="477" spans="1:5" x14ac:dyDescent="0.25">
      <c r="A477" s="35">
        <v>46008.904237349532</v>
      </c>
      <c r="B477" s="22" t="s">
        <v>969</v>
      </c>
      <c r="C477" s="22" t="s">
        <v>489</v>
      </c>
      <c r="D477" s="22" t="s">
        <v>468</v>
      </c>
      <c r="E477" s="22" t="s">
        <v>490</v>
      </c>
    </row>
    <row r="478" spans="1:5" x14ac:dyDescent="0.25">
      <c r="A478" s="35">
        <v>46008.904253414352</v>
      </c>
      <c r="B478" s="22" t="s">
        <v>970</v>
      </c>
      <c r="C478" s="22" t="s">
        <v>482</v>
      </c>
      <c r="D478" s="22" t="s">
        <v>516</v>
      </c>
      <c r="E478" s="22" t="s">
        <v>490</v>
      </c>
    </row>
    <row r="479" spans="1:5" x14ac:dyDescent="0.25">
      <c r="A479" s="35">
        <v>46008.904255104164</v>
      </c>
      <c r="B479" s="22" t="s">
        <v>971</v>
      </c>
      <c r="C479" s="22" t="s">
        <v>489</v>
      </c>
      <c r="D479" s="22" t="s">
        <v>500</v>
      </c>
      <c r="E479" s="22" t="s">
        <v>490</v>
      </c>
    </row>
    <row r="480" spans="1:5" x14ac:dyDescent="0.25">
      <c r="A480" s="35">
        <v>46008.904256782407</v>
      </c>
      <c r="B480" s="22" t="s">
        <v>972</v>
      </c>
      <c r="C480" s="22" t="s">
        <v>489</v>
      </c>
      <c r="D480" s="22" t="s">
        <v>468</v>
      </c>
      <c r="E480" s="22" t="s">
        <v>490</v>
      </c>
    </row>
    <row r="481" spans="1:5" x14ac:dyDescent="0.25">
      <c r="A481" s="35">
        <v>46008.904261585645</v>
      </c>
      <c r="B481" s="22" t="s">
        <v>973</v>
      </c>
      <c r="C481" s="22" t="s">
        <v>489</v>
      </c>
      <c r="D481" s="22" t="s">
        <v>468</v>
      </c>
      <c r="E481" s="22" t="s">
        <v>490</v>
      </c>
    </row>
    <row r="482" spans="1:5" x14ac:dyDescent="0.25">
      <c r="A482" s="35">
        <v>46008.904263217592</v>
      </c>
      <c r="B482" s="22" t="s">
        <v>974</v>
      </c>
      <c r="C482" s="22" t="s">
        <v>489</v>
      </c>
      <c r="D482" s="22" t="s">
        <v>468</v>
      </c>
      <c r="E482" s="22" t="s">
        <v>490</v>
      </c>
    </row>
    <row r="483" spans="1:5" x14ac:dyDescent="0.25">
      <c r="A483" s="35">
        <v>46008.904264976853</v>
      </c>
      <c r="B483" s="22" t="s">
        <v>975</v>
      </c>
      <c r="C483" s="22" t="s">
        <v>482</v>
      </c>
      <c r="D483" s="22" t="s">
        <v>449</v>
      </c>
      <c r="E483" s="22" t="s">
        <v>490</v>
      </c>
    </row>
    <row r="484" spans="1:5" x14ac:dyDescent="0.25">
      <c r="A484" s="35">
        <v>46008.904267858801</v>
      </c>
      <c r="B484" s="22" t="s">
        <v>976</v>
      </c>
      <c r="C484" s="22" t="s">
        <v>489</v>
      </c>
      <c r="D484" s="22" t="s">
        <v>500</v>
      </c>
      <c r="E484" s="22" t="s">
        <v>490</v>
      </c>
    </row>
    <row r="485" spans="1:5" x14ac:dyDescent="0.25">
      <c r="A485" s="35">
        <v>46008.9042705787</v>
      </c>
      <c r="B485" s="22" t="s">
        <v>977</v>
      </c>
      <c r="C485" s="22" t="s">
        <v>489</v>
      </c>
      <c r="D485" s="22" t="s">
        <v>500</v>
      </c>
      <c r="E485" s="22" t="s">
        <v>490</v>
      </c>
    </row>
    <row r="486" spans="1:5" x14ac:dyDescent="0.25">
      <c r="A486" s="35">
        <v>46008.904281076393</v>
      </c>
      <c r="B486" s="22" t="s">
        <v>978</v>
      </c>
      <c r="C486" s="22" t="s">
        <v>489</v>
      </c>
      <c r="D486" s="22" t="s">
        <v>468</v>
      </c>
      <c r="E486" s="22" t="s">
        <v>490</v>
      </c>
    </row>
    <row r="487" spans="1:5" x14ac:dyDescent="0.25">
      <c r="A487" s="35">
        <v>46008.90428268518</v>
      </c>
      <c r="B487" s="22" t="s">
        <v>979</v>
      </c>
      <c r="C487" s="22" t="s">
        <v>489</v>
      </c>
      <c r="D487" s="22" t="s">
        <v>468</v>
      </c>
      <c r="E487" s="22" t="s">
        <v>490</v>
      </c>
    </row>
    <row r="488" spans="1:5" x14ac:dyDescent="0.25">
      <c r="A488" s="35">
        <v>46008.904284618053</v>
      </c>
      <c r="B488" s="22" t="s">
        <v>980</v>
      </c>
      <c r="C488" s="22" t="s">
        <v>489</v>
      </c>
      <c r="D488" s="22" t="s">
        <v>469</v>
      </c>
      <c r="E488" s="22" t="s">
        <v>490</v>
      </c>
    </row>
    <row r="489" spans="1:5" x14ac:dyDescent="0.25">
      <c r="A489" s="35">
        <v>46008.904287592595</v>
      </c>
      <c r="B489" s="22" t="s">
        <v>981</v>
      </c>
      <c r="C489" s="22" t="s">
        <v>482</v>
      </c>
      <c r="D489" s="22" t="s">
        <v>449</v>
      </c>
      <c r="E489" s="22" t="s">
        <v>490</v>
      </c>
    </row>
    <row r="490" spans="1:5" x14ac:dyDescent="0.25">
      <c r="A490" s="35">
        <v>46008.904296875</v>
      </c>
      <c r="B490" s="22" t="s">
        <v>982</v>
      </c>
      <c r="C490" s="22" t="s">
        <v>482</v>
      </c>
      <c r="D490" s="22" t="s">
        <v>449</v>
      </c>
      <c r="E490" s="22" t="s">
        <v>490</v>
      </c>
    </row>
    <row r="491" spans="1:5" x14ac:dyDescent="0.25">
      <c r="A491" s="35">
        <v>46008.904298692127</v>
      </c>
      <c r="B491" s="22" t="s">
        <v>983</v>
      </c>
      <c r="C491" s="22" t="s">
        <v>482</v>
      </c>
      <c r="D491" s="22" t="s">
        <v>449</v>
      </c>
      <c r="E491" s="22" t="s">
        <v>490</v>
      </c>
    </row>
    <row r="492" spans="1:5" x14ac:dyDescent="0.25">
      <c r="A492" s="35">
        <v>46008.904300833332</v>
      </c>
      <c r="B492" s="22" t="s">
        <v>984</v>
      </c>
      <c r="C492" s="22" t="s">
        <v>489</v>
      </c>
      <c r="D492" s="22" t="s">
        <v>468</v>
      </c>
      <c r="E492" s="22" t="s">
        <v>490</v>
      </c>
    </row>
    <row r="493" spans="1:5" x14ac:dyDescent="0.25">
      <c r="A493" s="35">
        <v>46008.904308888887</v>
      </c>
      <c r="B493" s="22" t="s">
        <v>985</v>
      </c>
      <c r="C493" s="22" t="s">
        <v>489</v>
      </c>
      <c r="D493" s="22" t="s">
        <v>469</v>
      </c>
      <c r="E493" s="22" t="s">
        <v>490</v>
      </c>
    </row>
    <row r="494" spans="1:5" x14ac:dyDescent="0.25">
      <c r="A494" s="35">
        <v>46008.904311006947</v>
      </c>
      <c r="B494" s="22" t="s">
        <v>986</v>
      </c>
      <c r="C494" s="22" t="s">
        <v>489</v>
      </c>
      <c r="D494" s="22" t="s">
        <v>500</v>
      </c>
      <c r="E494" s="22" t="s">
        <v>490</v>
      </c>
    </row>
    <row r="495" spans="1:5" x14ac:dyDescent="0.25">
      <c r="A495" s="35">
        <v>46008.904312743056</v>
      </c>
      <c r="B495" s="22" t="s">
        <v>987</v>
      </c>
      <c r="C495" s="22" t="s">
        <v>489</v>
      </c>
      <c r="D495" s="22" t="s">
        <v>500</v>
      </c>
      <c r="E495" s="22" t="s">
        <v>490</v>
      </c>
    </row>
    <row r="496" spans="1:5" x14ac:dyDescent="0.25">
      <c r="A496" s="35">
        <v>46008.904314375002</v>
      </c>
      <c r="B496" s="22" t="s">
        <v>988</v>
      </c>
      <c r="C496" s="22" t="s">
        <v>489</v>
      </c>
      <c r="D496" s="22" t="s">
        <v>468</v>
      </c>
      <c r="E496" s="22" t="s">
        <v>490</v>
      </c>
    </row>
    <row r="497" spans="1:5" x14ac:dyDescent="0.25">
      <c r="A497" s="35">
        <v>46008.904324212963</v>
      </c>
      <c r="B497" s="22" t="s">
        <v>989</v>
      </c>
      <c r="C497" s="22" t="s">
        <v>489</v>
      </c>
      <c r="D497" s="22" t="s">
        <v>468</v>
      </c>
      <c r="E497" s="22" t="s">
        <v>490</v>
      </c>
    </row>
    <row r="498" spans="1:5" x14ac:dyDescent="0.25">
      <c r="A498" s="35">
        <v>46008.904325671298</v>
      </c>
      <c r="B498" s="22" t="s">
        <v>990</v>
      </c>
      <c r="C498" s="22" t="s">
        <v>489</v>
      </c>
      <c r="D498" s="22" t="s">
        <v>469</v>
      </c>
      <c r="E498" s="22" t="s">
        <v>490</v>
      </c>
    </row>
    <row r="499" spans="1:5" x14ac:dyDescent="0.25">
      <c r="A499" s="35">
        <v>46008.904327303244</v>
      </c>
      <c r="B499" s="22" t="s">
        <v>991</v>
      </c>
      <c r="C499" s="22" t="s">
        <v>489</v>
      </c>
      <c r="D499" s="22" t="s">
        <v>500</v>
      </c>
      <c r="E499" s="22" t="s">
        <v>490</v>
      </c>
    </row>
    <row r="500" spans="1:5" x14ac:dyDescent="0.25">
      <c r="A500" s="35">
        <v>46008.904328761579</v>
      </c>
      <c r="B500" s="22" t="s">
        <v>992</v>
      </c>
      <c r="C500" s="22" t="s">
        <v>489</v>
      </c>
      <c r="D500" s="22" t="s">
        <v>500</v>
      </c>
      <c r="E500" s="22" t="s">
        <v>490</v>
      </c>
    </row>
    <row r="501" spans="1:5" x14ac:dyDescent="0.25">
      <c r="A501" s="35">
        <v>46008.904331516205</v>
      </c>
      <c r="B501" s="22" t="s">
        <v>993</v>
      </c>
      <c r="C501" s="22" t="s">
        <v>489</v>
      </c>
      <c r="D501" s="22" t="s">
        <v>468</v>
      </c>
      <c r="E501" s="22" t="s">
        <v>490</v>
      </c>
    </row>
    <row r="502" spans="1:5" x14ac:dyDescent="0.25">
      <c r="A502" s="35">
        <v>46008.904349872682</v>
      </c>
      <c r="B502" s="22" t="s">
        <v>994</v>
      </c>
      <c r="C502" s="22" t="s">
        <v>489</v>
      </c>
      <c r="D502" s="22" t="s">
        <v>468</v>
      </c>
      <c r="E502" s="22" t="s">
        <v>490</v>
      </c>
    </row>
    <row r="503" spans="1:5" x14ac:dyDescent="0.25">
      <c r="A503" s="35">
        <v>46008.904352280093</v>
      </c>
      <c r="B503" s="22" t="s">
        <v>995</v>
      </c>
      <c r="C503" s="22" t="s">
        <v>489</v>
      </c>
      <c r="D503" s="22" t="s">
        <v>500</v>
      </c>
      <c r="E503" s="22" t="s">
        <v>490</v>
      </c>
    </row>
    <row r="504" spans="1:5" x14ac:dyDescent="0.25">
      <c r="A504" s="35">
        <v>46008.904353784717</v>
      </c>
      <c r="B504" s="22" t="s">
        <v>996</v>
      </c>
      <c r="C504" s="22" t="s">
        <v>489</v>
      </c>
      <c r="D504" s="22" t="s">
        <v>469</v>
      </c>
      <c r="E504" s="22" t="s">
        <v>490</v>
      </c>
    </row>
    <row r="505" spans="1:5" x14ac:dyDescent="0.25">
      <c r="A505" s="35">
        <v>46008.904355289356</v>
      </c>
      <c r="B505" s="22" t="s">
        <v>997</v>
      </c>
      <c r="C505" s="22" t="s">
        <v>489</v>
      </c>
      <c r="D505" s="22" t="s">
        <v>500</v>
      </c>
      <c r="E505" s="22" t="s">
        <v>490</v>
      </c>
    </row>
    <row r="506" spans="1:5" x14ac:dyDescent="0.25">
      <c r="A506" s="35">
        <v>46008.904359085645</v>
      </c>
      <c r="B506" s="22" t="s">
        <v>998</v>
      </c>
      <c r="C506" s="22" t="s">
        <v>489</v>
      </c>
      <c r="D506" s="22" t="s">
        <v>468</v>
      </c>
      <c r="E506" s="22" t="s">
        <v>490</v>
      </c>
    </row>
    <row r="507" spans="1:5" x14ac:dyDescent="0.25">
      <c r="A507" s="35">
        <v>46008.904363391208</v>
      </c>
      <c r="B507" s="22" t="s">
        <v>999</v>
      </c>
      <c r="C507" s="22" t="s">
        <v>482</v>
      </c>
      <c r="D507" s="22" t="s">
        <v>449</v>
      </c>
      <c r="E507" s="22" t="s">
        <v>490</v>
      </c>
    </row>
    <row r="508" spans="1:5" x14ac:dyDescent="0.25">
      <c r="A508" s="35">
        <v>46008.904365057868</v>
      </c>
      <c r="B508" s="22" t="s">
        <v>1000</v>
      </c>
      <c r="C508" s="22" t="s">
        <v>482</v>
      </c>
      <c r="D508" s="22" t="s">
        <v>449</v>
      </c>
      <c r="E508" s="22" t="s">
        <v>490</v>
      </c>
    </row>
    <row r="509" spans="1:5" x14ac:dyDescent="0.25">
      <c r="A509" s="35">
        <v>46008.90436670139</v>
      </c>
      <c r="B509" s="22" t="s">
        <v>1001</v>
      </c>
      <c r="C509" s="22" t="s">
        <v>482</v>
      </c>
      <c r="D509" s="22" t="s">
        <v>449</v>
      </c>
      <c r="E509" s="22" t="s">
        <v>490</v>
      </c>
    </row>
    <row r="510" spans="1:5" x14ac:dyDescent="0.25">
      <c r="A510" s="35">
        <v>46008.904368495372</v>
      </c>
      <c r="B510" s="22" t="s">
        <v>1002</v>
      </c>
      <c r="C510" s="22" t="s">
        <v>489</v>
      </c>
      <c r="D510" s="22" t="s">
        <v>468</v>
      </c>
      <c r="E510" s="22" t="s">
        <v>490</v>
      </c>
    </row>
    <row r="511" spans="1:5" x14ac:dyDescent="0.25">
      <c r="A511" s="35">
        <v>46008.904375949074</v>
      </c>
      <c r="B511" s="22" t="s">
        <v>1003</v>
      </c>
      <c r="C511" s="22" t="s">
        <v>489</v>
      </c>
      <c r="D511" s="22" t="s">
        <v>468</v>
      </c>
      <c r="E511" s="22" t="s">
        <v>490</v>
      </c>
    </row>
    <row r="512" spans="1:5" x14ac:dyDescent="0.25">
      <c r="A512" s="35">
        <v>46008.904377650462</v>
      </c>
      <c r="B512" s="22" t="s">
        <v>1004</v>
      </c>
      <c r="C512" s="22" t="s">
        <v>489</v>
      </c>
      <c r="D512" s="22" t="s">
        <v>468</v>
      </c>
      <c r="E512" s="22" t="s">
        <v>490</v>
      </c>
    </row>
    <row r="513" spans="1:5" x14ac:dyDescent="0.25">
      <c r="A513" s="35">
        <v>46008.904379270833</v>
      </c>
      <c r="B513" s="22" t="s">
        <v>1005</v>
      </c>
      <c r="C513" s="22" t="s">
        <v>489</v>
      </c>
      <c r="D513" s="22" t="s">
        <v>500</v>
      </c>
      <c r="E513" s="22" t="s">
        <v>490</v>
      </c>
    </row>
    <row r="514" spans="1:5" x14ac:dyDescent="0.25">
      <c r="A514" s="35">
        <v>46008.904381817134</v>
      </c>
      <c r="B514" s="22" t="s">
        <v>1006</v>
      </c>
      <c r="C514" s="22" t="s">
        <v>489</v>
      </c>
      <c r="D514" s="22" t="s">
        <v>500</v>
      </c>
      <c r="E514" s="22" t="s">
        <v>490</v>
      </c>
    </row>
    <row r="515" spans="1:5" x14ac:dyDescent="0.25">
      <c r="A515" s="35">
        <v>46008.904383553236</v>
      </c>
      <c r="B515" s="22" t="s">
        <v>1007</v>
      </c>
      <c r="C515" s="22" t="s">
        <v>489</v>
      </c>
      <c r="D515" s="22" t="s">
        <v>500</v>
      </c>
      <c r="E515" s="22" t="s">
        <v>490</v>
      </c>
    </row>
    <row r="516" spans="1:5" x14ac:dyDescent="0.25">
      <c r="A516" s="35">
        <v>46008.904385300921</v>
      </c>
      <c r="B516" s="22" t="s">
        <v>1008</v>
      </c>
      <c r="C516" s="22" t="s">
        <v>489</v>
      </c>
      <c r="D516" s="22" t="s">
        <v>468</v>
      </c>
      <c r="E516" s="22" t="s">
        <v>490</v>
      </c>
    </row>
    <row r="517" spans="1:5" x14ac:dyDescent="0.25">
      <c r="A517" s="35">
        <v>46008.904386944443</v>
      </c>
      <c r="B517" s="22" t="s">
        <v>1009</v>
      </c>
      <c r="C517" s="22" t="s">
        <v>489</v>
      </c>
      <c r="D517" s="22" t="s">
        <v>468</v>
      </c>
      <c r="E517" s="22" t="s">
        <v>490</v>
      </c>
    </row>
    <row r="518" spans="1:5" x14ac:dyDescent="0.25">
      <c r="A518" s="35">
        <v>46008.904388888885</v>
      </c>
      <c r="B518" s="22" t="s">
        <v>1010</v>
      </c>
      <c r="C518" s="22" t="s">
        <v>489</v>
      </c>
      <c r="D518" s="22" t="s">
        <v>468</v>
      </c>
      <c r="E518" s="22" t="s">
        <v>490</v>
      </c>
    </row>
    <row r="519" spans="1:5" x14ac:dyDescent="0.25">
      <c r="A519" s="35">
        <v>46008.904397986116</v>
      </c>
      <c r="B519" s="22" t="s">
        <v>1011</v>
      </c>
      <c r="C519" s="22" t="s">
        <v>489</v>
      </c>
      <c r="D519" s="22" t="s">
        <v>469</v>
      </c>
      <c r="E519" s="22" t="s">
        <v>490</v>
      </c>
    </row>
    <row r="520" spans="1:5" x14ac:dyDescent="0.25">
      <c r="A520" s="35">
        <v>46008.904399930558</v>
      </c>
      <c r="B520" s="22" t="s">
        <v>1012</v>
      </c>
      <c r="C520" s="22" t="s">
        <v>489</v>
      </c>
      <c r="D520" s="22" t="s">
        <v>469</v>
      </c>
      <c r="E520" s="22" t="s">
        <v>490</v>
      </c>
    </row>
    <row r="521" spans="1:5" x14ac:dyDescent="0.25">
      <c r="A521" s="35">
        <v>46008.904401608801</v>
      </c>
      <c r="B521" s="22" t="s">
        <v>1013</v>
      </c>
      <c r="C521" s="22" t="s">
        <v>489</v>
      </c>
      <c r="D521" s="22" t="s">
        <v>469</v>
      </c>
      <c r="E521" s="22" t="s">
        <v>490</v>
      </c>
    </row>
    <row r="522" spans="1:5" x14ac:dyDescent="0.25">
      <c r="A522" s="35">
        <v>46008.904403564811</v>
      </c>
      <c r="B522" s="22" t="s">
        <v>1014</v>
      </c>
      <c r="C522" s="22" t="s">
        <v>489</v>
      </c>
      <c r="D522" s="22" t="s">
        <v>469</v>
      </c>
      <c r="E522" s="22" t="s">
        <v>490</v>
      </c>
    </row>
    <row r="523" spans="1:5" x14ac:dyDescent="0.25">
      <c r="A523" s="35">
        <v>46008.904406064816</v>
      </c>
      <c r="B523" s="22" t="s">
        <v>1015</v>
      </c>
      <c r="C523" s="22" t="s">
        <v>482</v>
      </c>
      <c r="D523" s="22" t="s">
        <v>449</v>
      </c>
      <c r="E523" s="22" t="s">
        <v>490</v>
      </c>
    </row>
    <row r="524" spans="1:5" x14ac:dyDescent="0.25">
      <c r="A524" s="35">
        <v>46008.904407789349</v>
      </c>
      <c r="B524" s="22" t="s">
        <v>1016</v>
      </c>
      <c r="C524" s="22" t="s">
        <v>482</v>
      </c>
      <c r="D524" s="22" t="s">
        <v>449</v>
      </c>
      <c r="E524" s="22" t="s">
        <v>490</v>
      </c>
    </row>
    <row r="525" spans="1:5" x14ac:dyDescent="0.25">
      <c r="A525" s="35">
        <v>46008.904409791663</v>
      </c>
      <c r="B525" s="22" t="s">
        <v>1017</v>
      </c>
      <c r="C525" s="22" t="s">
        <v>489</v>
      </c>
      <c r="D525" s="22" t="s">
        <v>468</v>
      </c>
      <c r="E525" s="22" t="s">
        <v>490</v>
      </c>
    </row>
    <row r="526" spans="1:5" x14ac:dyDescent="0.25">
      <c r="A526" s="35">
        <v>46008.904411435185</v>
      </c>
      <c r="B526" s="22" t="s">
        <v>1018</v>
      </c>
      <c r="C526" s="22" t="s">
        <v>489</v>
      </c>
      <c r="D526" s="22" t="s">
        <v>468</v>
      </c>
      <c r="E526" s="22" t="s">
        <v>490</v>
      </c>
    </row>
    <row r="527" spans="1:5" x14ac:dyDescent="0.25">
      <c r="A527" s="35">
        <v>46008.904413206023</v>
      </c>
      <c r="B527" s="22" t="s">
        <v>1019</v>
      </c>
      <c r="C527" s="22" t="s">
        <v>489</v>
      </c>
      <c r="D527" s="22" t="s">
        <v>468</v>
      </c>
      <c r="E527" s="22" t="s">
        <v>490</v>
      </c>
    </row>
    <row r="528" spans="1:5" x14ac:dyDescent="0.25">
      <c r="A528" s="35">
        <v>46008.904416296296</v>
      </c>
      <c r="B528" s="22" t="s">
        <v>1020</v>
      </c>
      <c r="C528" s="22" t="s">
        <v>489</v>
      </c>
      <c r="D528" s="22" t="s">
        <v>468</v>
      </c>
      <c r="E528" s="22" t="s">
        <v>490</v>
      </c>
    </row>
    <row r="529" spans="1:5" x14ac:dyDescent="0.25">
      <c r="A529" s="35">
        <v>46008.904417962964</v>
      </c>
      <c r="B529" s="22" t="s">
        <v>1021</v>
      </c>
      <c r="C529" s="22" t="s">
        <v>489</v>
      </c>
      <c r="D529" s="22" t="s">
        <v>468</v>
      </c>
      <c r="E529" s="22" t="s">
        <v>490</v>
      </c>
    </row>
    <row r="530" spans="1:5" x14ac:dyDescent="0.25">
      <c r="A530" s="35">
        <v>46008.90441988426</v>
      </c>
      <c r="B530" s="22" t="s">
        <v>1022</v>
      </c>
      <c r="C530" s="22" t="s">
        <v>489</v>
      </c>
      <c r="D530" s="22" t="s">
        <v>500</v>
      </c>
      <c r="E530" s="22" t="s">
        <v>490</v>
      </c>
    </row>
    <row r="531" spans="1:5" x14ac:dyDescent="0.25">
      <c r="A531" s="35">
        <v>46008.904421574072</v>
      </c>
      <c r="B531" s="22" t="s">
        <v>1023</v>
      </c>
      <c r="C531" s="22" t="s">
        <v>489</v>
      </c>
      <c r="D531" s="22" t="s">
        <v>468</v>
      </c>
      <c r="E531" s="22" t="s">
        <v>490</v>
      </c>
    </row>
    <row r="532" spans="1:5" x14ac:dyDescent="0.25">
      <c r="A532" s="35">
        <v>46008.904423518514</v>
      </c>
      <c r="B532" s="22" t="s">
        <v>1024</v>
      </c>
      <c r="C532" s="22" t="s">
        <v>489</v>
      </c>
      <c r="D532" s="22" t="s">
        <v>468</v>
      </c>
      <c r="E532" s="22" t="s">
        <v>490</v>
      </c>
    </row>
    <row r="533" spans="1:5" x14ac:dyDescent="0.25">
      <c r="A533" s="35">
        <v>46008.904425185188</v>
      </c>
      <c r="B533" s="22" t="s">
        <v>1025</v>
      </c>
      <c r="C533" s="22" t="s">
        <v>482</v>
      </c>
      <c r="D533" s="22" t="s">
        <v>449</v>
      </c>
      <c r="E533" s="22" t="s">
        <v>490</v>
      </c>
    </row>
    <row r="534" spans="1:5" x14ac:dyDescent="0.25">
      <c r="A534" s="35">
        <v>46008.904427314817</v>
      </c>
      <c r="B534" s="22" t="s">
        <v>1026</v>
      </c>
      <c r="C534" s="22" t="s">
        <v>489</v>
      </c>
      <c r="D534" s="22" t="s">
        <v>469</v>
      </c>
      <c r="E534" s="22" t="s">
        <v>490</v>
      </c>
    </row>
    <row r="535" spans="1:5" x14ac:dyDescent="0.25">
      <c r="A535" s="35">
        <v>46008.904429907408</v>
      </c>
      <c r="B535" s="22" t="s">
        <v>1027</v>
      </c>
      <c r="C535" s="22" t="s">
        <v>489</v>
      </c>
      <c r="D535" s="22" t="s">
        <v>468</v>
      </c>
      <c r="E535" s="22" t="s">
        <v>490</v>
      </c>
    </row>
    <row r="536" spans="1:5" x14ac:dyDescent="0.25">
      <c r="A536" s="35">
        <v>46008.904431550924</v>
      </c>
      <c r="B536" s="22" t="s">
        <v>1028</v>
      </c>
      <c r="C536" s="22" t="s">
        <v>489</v>
      </c>
      <c r="D536" s="22" t="s">
        <v>468</v>
      </c>
      <c r="E536" s="22" t="s">
        <v>490</v>
      </c>
    </row>
    <row r="537" spans="1:5" x14ac:dyDescent="0.25">
      <c r="A537" s="35">
        <v>46008.90443336805</v>
      </c>
      <c r="B537" s="22" t="s">
        <v>1029</v>
      </c>
      <c r="C537" s="22" t="s">
        <v>489</v>
      </c>
      <c r="D537" s="22" t="s">
        <v>500</v>
      </c>
      <c r="E537" s="22" t="s">
        <v>490</v>
      </c>
    </row>
    <row r="538" spans="1:5" x14ac:dyDescent="0.25">
      <c r="A538" s="35">
        <v>46008.904435011573</v>
      </c>
      <c r="B538" s="22" t="s">
        <v>1030</v>
      </c>
      <c r="C538" s="22" t="s">
        <v>489</v>
      </c>
      <c r="D538" s="22" t="s">
        <v>500</v>
      </c>
      <c r="E538" s="22" t="s">
        <v>490</v>
      </c>
    </row>
    <row r="539" spans="1:5" x14ac:dyDescent="0.25">
      <c r="A539" s="35">
        <v>46008.904436759258</v>
      </c>
      <c r="B539" s="22" t="s">
        <v>1031</v>
      </c>
      <c r="C539" s="22" t="s">
        <v>489</v>
      </c>
      <c r="D539" s="22" t="s">
        <v>500</v>
      </c>
      <c r="E539" s="22" t="s">
        <v>490</v>
      </c>
    </row>
    <row r="540" spans="1:5" x14ac:dyDescent="0.25">
      <c r="A540" s="35">
        <v>46008.904438437501</v>
      </c>
      <c r="B540" s="22" t="s">
        <v>1032</v>
      </c>
      <c r="C540" s="22" t="s">
        <v>489</v>
      </c>
      <c r="D540" s="22" t="s">
        <v>469</v>
      </c>
      <c r="E540" s="22" t="s">
        <v>490</v>
      </c>
    </row>
    <row r="541" spans="1:5" x14ac:dyDescent="0.25">
      <c r="A541" s="35">
        <v>46008.904439930557</v>
      </c>
      <c r="B541" s="22" t="s">
        <v>1033</v>
      </c>
      <c r="C541" s="22" t="s">
        <v>489</v>
      </c>
      <c r="D541" s="22" t="s">
        <v>469</v>
      </c>
      <c r="E541" s="22" t="s">
        <v>490</v>
      </c>
    </row>
    <row r="542" spans="1:5" x14ac:dyDescent="0.25">
      <c r="A542" s="35">
        <v>46008.904441493054</v>
      </c>
      <c r="B542" s="22" t="s">
        <v>1034</v>
      </c>
      <c r="C542" s="22" t="s">
        <v>482</v>
      </c>
      <c r="D542" s="22" t="s">
        <v>449</v>
      </c>
      <c r="E542" s="22" t="s">
        <v>490</v>
      </c>
    </row>
    <row r="543" spans="1:5" x14ac:dyDescent="0.25">
      <c r="A543" s="35">
        <v>46008.904450995367</v>
      </c>
      <c r="B543" s="22" t="s">
        <v>1035</v>
      </c>
      <c r="C543" s="22" t="s">
        <v>482</v>
      </c>
      <c r="D543" s="22" t="s">
        <v>449</v>
      </c>
      <c r="E543" s="22" t="s">
        <v>490</v>
      </c>
    </row>
    <row r="544" spans="1:5" x14ac:dyDescent="0.25">
      <c r="A544" s="35">
        <v>46008.904452407412</v>
      </c>
      <c r="B544" s="22" t="s">
        <v>1036</v>
      </c>
      <c r="C544" s="22" t="s">
        <v>482</v>
      </c>
      <c r="D544" s="22" t="s">
        <v>449</v>
      </c>
      <c r="E544" s="22" t="s">
        <v>490</v>
      </c>
    </row>
    <row r="545" spans="1:5" x14ac:dyDescent="0.25">
      <c r="A545" s="35">
        <v>46008.904461631944</v>
      </c>
      <c r="B545" s="22" t="s">
        <v>1037</v>
      </c>
      <c r="C545" s="22" t="s">
        <v>489</v>
      </c>
      <c r="D545" s="22" t="s">
        <v>500</v>
      </c>
      <c r="E545" s="22" t="s">
        <v>490</v>
      </c>
    </row>
    <row r="546" spans="1:5" x14ac:dyDescent="0.25">
      <c r="A546" s="35">
        <v>46008.904463344908</v>
      </c>
      <c r="B546" s="22" t="s">
        <v>1038</v>
      </c>
      <c r="C546" s="22" t="s">
        <v>489</v>
      </c>
      <c r="D546" s="22" t="s">
        <v>468</v>
      </c>
      <c r="E546" s="22" t="s">
        <v>490</v>
      </c>
    </row>
    <row r="547" spans="1:5" x14ac:dyDescent="0.25">
      <c r="A547" s="35">
        <v>46008.904464872685</v>
      </c>
      <c r="B547" s="22" t="s">
        <v>1039</v>
      </c>
      <c r="C547" s="22" t="s">
        <v>482</v>
      </c>
      <c r="D547" s="22" t="s">
        <v>449</v>
      </c>
      <c r="E547" s="22" t="s">
        <v>490</v>
      </c>
    </row>
    <row r="548" spans="1:5" x14ac:dyDescent="0.25">
      <c r="A548" s="35">
        <v>46008.904470000001</v>
      </c>
      <c r="B548" s="22" t="s">
        <v>1040</v>
      </c>
      <c r="C548" s="22" t="s">
        <v>482</v>
      </c>
      <c r="D548" s="22" t="s">
        <v>449</v>
      </c>
      <c r="E548" s="22" t="s">
        <v>490</v>
      </c>
    </row>
    <row r="549" spans="1:5" x14ac:dyDescent="0.25">
      <c r="A549" s="35">
        <v>46008.904471574075</v>
      </c>
      <c r="B549" s="22" t="s">
        <v>1041</v>
      </c>
      <c r="C549" s="22" t="s">
        <v>482</v>
      </c>
      <c r="D549" s="22" t="s">
        <v>449</v>
      </c>
      <c r="E549" s="22" t="s">
        <v>490</v>
      </c>
    </row>
    <row r="550" spans="1:5" x14ac:dyDescent="0.25">
      <c r="A550" s="35">
        <v>46008.904473310184</v>
      </c>
      <c r="B550" s="22" t="s">
        <v>1042</v>
      </c>
      <c r="C550" s="22" t="s">
        <v>489</v>
      </c>
      <c r="D550" s="22" t="s">
        <v>469</v>
      </c>
      <c r="E550" s="22" t="s">
        <v>490</v>
      </c>
    </row>
    <row r="551" spans="1:5" x14ac:dyDescent="0.25">
      <c r="A551" s="35">
        <v>46008.904486030093</v>
      </c>
      <c r="B551" s="22" t="s">
        <v>1043</v>
      </c>
      <c r="C551" s="22" t="s">
        <v>489</v>
      </c>
      <c r="D551" s="22" t="s">
        <v>468</v>
      </c>
      <c r="E551" s="22" t="s">
        <v>490</v>
      </c>
    </row>
    <row r="552" spans="1:5" x14ac:dyDescent="0.25">
      <c r="A552" s="35">
        <v>46008.904488159722</v>
      </c>
      <c r="B552" s="22" t="s">
        <v>1044</v>
      </c>
      <c r="C552" s="22" t="s">
        <v>489</v>
      </c>
      <c r="D552" s="22" t="s">
        <v>500</v>
      </c>
      <c r="E552" s="22" t="s">
        <v>490</v>
      </c>
    </row>
    <row r="553" spans="1:5" x14ac:dyDescent="0.25">
      <c r="A553" s="35">
        <v>46008.904489664354</v>
      </c>
      <c r="B553" s="22" t="s">
        <v>1045</v>
      </c>
      <c r="C553" s="22" t="s">
        <v>489</v>
      </c>
      <c r="D553" s="22" t="s">
        <v>468</v>
      </c>
      <c r="E553" s="22" t="s">
        <v>490</v>
      </c>
    </row>
    <row r="554" spans="1:5" x14ac:dyDescent="0.25">
      <c r="A554" s="35">
        <v>46008.90449163194</v>
      </c>
      <c r="B554" s="22" t="s">
        <v>1046</v>
      </c>
      <c r="C554" s="22" t="s">
        <v>489</v>
      </c>
      <c r="D554" s="22" t="s">
        <v>500</v>
      </c>
      <c r="E554" s="22" t="s">
        <v>490</v>
      </c>
    </row>
    <row r="555" spans="1:5" x14ac:dyDescent="0.25">
      <c r="A555" s="35">
        <v>46008.904493148148</v>
      </c>
      <c r="B555" s="22" t="s">
        <v>1047</v>
      </c>
      <c r="C555" s="22" t="s">
        <v>489</v>
      </c>
      <c r="D555" s="22" t="s">
        <v>500</v>
      </c>
      <c r="E555" s="22" t="s">
        <v>490</v>
      </c>
    </row>
    <row r="556" spans="1:5" x14ac:dyDescent="0.25">
      <c r="A556" s="35">
        <v>46008.9044946875</v>
      </c>
      <c r="B556" s="22" t="s">
        <v>1048</v>
      </c>
      <c r="C556" s="22" t="s">
        <v>489</v>
      </c>
      <c r="D556" s="22" t="s">
        <v>468</v>
      </c>
      <c r="E556" s="22" t="s">
        <v>490</v>
      </c>
    </row>
    <row r="557" spans="1:5" x14ac:dyDescent="0.25">
      <c r="A557" s="35">
        <v>46008.90449627315</v>
      </c>
      <c r="B557" s="22" t="s">
        <v>1049</v>
      </c>
      <c r="C557" s="22" t="s">
        <v>489</v>
      </c>
      <c r="D557" s="22" t="s">
        <v>469</v>
      </c>
      <c r="E557" s="22" t="s">
        <v>490</v>
      </c>
    </row>
    <row r="558" spans="1:5" x14ac:dyDescent="0.25">
      <c r="A558" s="35">
        <v>46008.904497627314</v>
      </c>
      <c r="B558" s="22" t="s">
        <v>1050</v>
      </c>
      <c r="C558" s="22" t="s">
        <v>489</v>
      </c>
      <c r="D558" s="22" t="s">
        <v>468</v>
      </c>
      <c r="E558" s="22" t="s">
        <v>490</v>
      </c>
    </row>
    <row r="559" spans="1:5" x14ac:dyDescent="0.25">
      <c r="A559" s="35">
        <v>46008.904499479162</v>
      </c>
      <c r="B559" s="22" t="s">
        <v>1051</v>
      </c>
      <c r="C559" s="22" t="s">
        <v>489</v>
      </c>
      <c r="D559" s="22" t="s">
        <v>500</v>
      </c>
      <c r="E559" s="22" t="s">
        <v>490</v>
      </c>
    </row>
    <row r="560" spans="1:5" x14ac:dyDescent="0.25">
      <c r="A560" s="35">
        <v>46008.904504212958</v>
      </c>
      <c r="B560" s="22" t="s">
        <v>1052</v>
      </c>
      <c r="C560" s="22" t="s">
        <v>489</v>
      </c>
      <c r="D560" s="22" t="s">
        <v>500</v>
      </c>
      <c r="E560" s="22" t="s">
        <v>490</v>
      </c>
    </row>
    <row r="561" spans="1:5" x14ac:dyDescent="0.25">
      <c r="A561" s="35">
        <v>46008.904505983795</v>
      </c>
      <c r="B561" s="22" t="s">
        <v>1053</v>
      </c>
      <c r="C561" s="22" t="s">
        <v>489</v>
      </c>
      <c r="D561" s="22" t="s">
        <v>500</v>
      </c>
      <c r="E561" s="22" t="s">
        <v>490</v>
      </c>
    </row>
    <row r="562" spans="1:5" x14ac:dyDescent="0.25">
      <c r="A562" s="35">
        <v>46008.904507557869</v>
      </c>
      <c r="B562" s="22" t="s">
        <v>1054</v>
      </c>
      <c r="C562" s="22" t="s">
        <v>489</v>
      </c>
      <c r="D562" s="22" t="s">
        <v>469</v>
      </c>
      <c r="E562" s="22" t="s">
        <v>490</v>
      </c>
    </row>
    <row r="563" spans="1:5" x14ac:dyDescent="0.25">
      <c r="A563" s="35">
        <v>46008.904509259257</v>
      </c>
      <c r="B563" s="22" t="s">
        <v>1055</v>
      </c>
      <c r="C563" s="22" t="s">
        <v>489</v>
      </c>
      <c r="D563" s="22" t="s">
        <v>492</v>
      </c>
      <c r="E563" s="22" t="s">
        <v>490</v>
      </c>
    </row>
    <row r="564" spans="1:5" x14ac:dyDescent="0.25">
      <c r="A564" s="35">
        <v>46008.904510879627</v>
      </c>
      <c r="B564" s="22" t="s">
        <v>1056</v>
      </c>
      <c r="C564" s="22" t="s">
        <v>489</v>
      </c>
      <c r="D564" s="22" t="s">
        <v>468</v>
      </c>
      <c r="E564" s="22" t="s">
        <v>490</v>
      </c>
    </row>
    <row r="565" spans="1:5" x14ac:dyDescent="0.25">
      <c r="A565" s="35">
        <v>46008.904512604167</v>
      </c>
      <c r="B565" s="22" t="s">
        <v>1057</v>
      </c>
      <c r="C565" s="22" t="s">
        <v>489</v>
      </c>
      <c r="D565" s="22" t="s">
        <v>468</v>
      </c>
      <c r="E565" s="22" t="s">
        <v>490</v>
      </c>
    </row>
    <row r="566" spans="1:5" x14ac:dyDescent="0.25">
      <c r="A566" s="35">
        <v>46008.904518738425</v>
      </c>
      <c r="B566" s="22" t="s">
        <v>1058</v>
      </c>
      <c r="C566" s="22" t="s">
        <v>489</v>
      </c>
      <c r="D566" s="22" t="s">
        <v>468</v>
      </c>
      <c r="E566" s="22" t="s">
        <v>490</v>
      </c>
    </row>
    <row r="567" spans="1:5" x14ac:dyDescent="0.25">
      <c r="A567" s="35">
        <v>46008.904520208336</v>
      </c>
      <c r="B567" s="22" t="s">
        <v>1059</v>
      </c>
      <c r="C567" s="22" t="s">
        <v>489</v>
      </c>
      <c r="D567" s="22" t="s">
        <v>468</v>
      </c>
      <c r="E567" s="22" t="s">
        <v>490</v>
      </c>
    </row>
    <row r="568" spans="1:5" x14ac:dyDescent="0.25">
      <c r="A568" s="35">
        <v>46008.904521620367</v>
      </c>
      <c r="B568" s="22" t="s">
        <v>1060</v>
      </c>
      <c r="C568" s="22" t="s">
        <v>489</v>
      </c>
      <c r="D568" s="22" t="s">
        <v>500</v>
      </c>
      <c r="E568" s="22" t="s">
        <v>490</v>
      </c>
    </row>
    <row r="569" spans="1:5" x14ac:dyDescent="0.25">
      <c r="A569" s="35">
        <v>46008.904523206016</v>
      </c>
      <c r="B569" s="22" t="s">
        <v>1061</v>
      </c>
      <c r="C569" s="22" t="s">
        <v>489</v>
      </c>
      <c r="D569" s="22" t="s">
        <v>468</v>
      </c>
      <c r="E569" s="22" t="s">
        <v>490</v>
      </c>
    </row>
    <row r="570" spans="1:5" x14ac:dyDescent="0.25">
      <c r="A570" s="35">
        <v>46008.904524791666</v>
      </c>
      <c r="B570" s="22" t="s">
        <v>1062</v>
      </c>
      <c r="C570" s="22" t="s">
        <v>489</v>
      </c>
      <c r="D570" s="22" t="s">
        <v>500</v>
      </c>
      <c r="E570" s="22" t="s">
        <v>490</v>
      </c>
    </row>
    <row r="571" spans="1:5" x14ac:dyDescent="0.25">
      <c r="A571" s="35">
        <v>46008.904526469909</v>
      </c>
      <c r="B571" s="22" t="s">
        <v>1063</v>
      </c>
      <c r="C571" s="22" t="s">
        <v>489</v>
      </c>
      <c r="D571" s="22" t="s">
        <v>500</v>
      </c>
      <c r="E571" s="22" t="s">
        <v>490</v>
      </c>
    </row>
    <row r="572" spans="1:5" x14ac:dyDescent="0.25">
      <c r="A572" s="35">
        <v>46008.904528020837</v>
      </c>
      <c r="B572" s="22" t="s">
        <v>1064</v>
      </c>
      <c r="C572" s="22" t="s">
        <v>489</v>
      </c>
      <c r="D572" s="22" t="s">
        <v>500</v>
      </c>
      <c r="E572" s="22" t="s">
        <v>490</v>
      </c>
    </row>
    <row r="573" spans="1:5" x14ac:dyDescent="0.25">
      <c r="A573" s="35">
        <v>46008.904529490741</v>
      </c>
      <c r="B573" s="22" t="s">
        <v>1065</v>
      </c>
      <c r="C573" s="22" t="s">
        <v>489</v>
      </c>
      <c r="D573" s="22" t="s">
        <v>469</v>
      </c>
      <c r="E573" s="22" t="s">
        <v>490</v>
      </c>
    </row>
    <row r="574" spans="1:5" x14ac:dyDescent="0.25">
      <c r="A574" s="35">
        <v>46008.904531261578</v>
      </c>
      <c r="B574" s="22" t="s">
        <v>1066</v>
      </c>
      <c r="C574" s="22" t="s">
        <v>489</v>
      </c>
      <c r="D574" s="22" t="s">
        <v>468</v>
      </c>
      <c r="E574" s="22" t="s">
        <v>490</v>
      </c>
    </row>
    <row r="575" spans="1:5" x14ac:dyDescent="0.25">
      <c r="A575" s="35">
        <v>46008.904533935187</v>
      </c>
      <c r="B575" s="22" t="s">
        <v>1067</v>
      </c>
      <c r="C575" s="22" t="s">
        <v>489</v>
      </c>
      <c r="D575" s="22" t="s">
        <v>468</v>
      </c>
      <c r="E575" s="22" t="s">
        <v>490</v>
      </c>
    </row>
    <row r="576" spans="1:5" x14ac:dyDescent="0.25">
      <c r="A576" s="35">
        <v>46008.904535462963</v>
      </c>
      <c r="B576" s="22" t="s">
        <v>1068</v>
      </c>
      <c r="C576" s="22" t="s">
        <v>489</v>
      </c>
      <c r="D576" s="22" t="s">
        <v>468</v>
      </c>
      <c r="E576" s="22" t="s">
        <v>490</v>
      </c>
    </row>
    <row r="577" spans="1:5" x14ac:dyDescent="0.25">
      <c r="A577" s="35">
        <v>46008.904537268521</v>
      </c>
      <c r="B577" s="22" t="s">
        <v>1069</v>
      </c>
      <c r="C577" s="22" t="s">
        <v>489</v>
      </c>
      <c r="D577" s="22" t="s">
        <v>468</v>
      </c>
      <c r="E577" s="22" t="s">
        <v>490</v>
      </c>
    </row>
    <row r="578" spans="1:5" x14ac:dyDescent="0.25">
      <c r="A578" s="35">
        <v>46008.904538877316</v>
      </c>
      <c r="B578" s="22" t="s">
        <v>1070</v>
      </c>
      <c r="C578" s="22" t="s">
        <v>482</v>
      </c>
      <c r="D578" s="22" t="s">
        <v>449</v>
      </c>
      <c r="E578" s="22" t="s">
        <v>490</v>
      </c>
    </row>
    <row r="579" spans="1:5" x14ac:dyDescent="0.25">
      <c r="A579" s="35">
        <v>46008.904540462958</v>
      </c>
      <c r="B579" s="22" t="s">
        <v>1071</v>
      </c>
      <c r="C579" s="22" t="s">
        <v>489</v>
      </c>
      <c r="D579" s="22" t="s">
        <v>468</v>
      </c>
      <c r="E579" s="22" t="s">
        <v>490</v>
      </c>
    </row>
    <row r="580" spans="1:5" x14ac:dyDescent="0.25">
      <c r="A580" s="35">
        <v>46008.904546331018</v>
      </c>
      <c r="B580" s="22" t="s">
        <v>1072</v>
      </c>
      <c r="C580" s="22" t="s">
        <v>489</v>
      </c>
      <c r="D580" s="22" t="s">
        <v>468</v>
      </c>
      <c r="E580" s="22" t="s">
        <v>490</v>
      </c>
    </row>
    <row r="581" spans="1:5" x14ac:dyDescent="0.25">
      <c r="A581" s="35">
        <v>46008.904558784721</v>
      </c>
      <c r="B581" s="22" t="s">
        <v>1073</v>
      </c>
      <c r="C581" s="22" t="s">
        <v>489</v>
      </c>
      <c r="D581" s="22" t="s">
        <v>468</v>
      </c>
      <c r="E581" s="22" t="s">
        <v>490</v>
      </c>
    </row>
    <row r="582" spans="1:5" x14ac:dyDescent="0.25">
      <c r="A582" s="35">
        <v>46008.904560300929</v>
      </c>
      <c r="B582" s="22" t="s">
        <v>1074</v>
      </c>
      <c r="C582" s="22" t="s">
        <v>489</v>
      </c>
      <c r="D582" s="22" t="s">
        <v>500</v>
      </c>
      <c r="E582" s="22" t="s">
        <v>490</v>
      </c>
    </row>
    <row r="583" spans="1:5" x14ac:dyDescent="0.25">
      <c r="A583" s="35">
        <v>46008.904562118056</v>
      </c>
      <c r="B583" s="22" t="s">
        <v>1075</v>
      </c>
      <c r="C583" s="22" t="s">
        <v>489</v>
      </c>
      <c r="D583" s="22" t="s">
        <v>500</v>
      </c>
      <c r="E583" s="22" t="s">
        <v>490</v>
      </c>
    </row>
    <row r="584" spans="1:5" x14ac:dyDescent="0.25">
      <c r="A584" s="35">
        <v>46008.904563761578</v>
      </c>
      <c r="B584" s="22" t="s">
        <v>1076</v>
      </c>
      <c r="C584" s="22" t="s">
        <v>489</v>
      </c>
      <c r="D584" s="22" t="s">
        <v>500</v>
      </c>
      <c r="E584" s="22" t="s">
        <v>490</v>
      </c>
    </row>
    <row r="585" spans="1:5" x14ac:dyDescent="0.25">
      <c r="A585" s="35">
        <v>46008.904565405093</v>
      </c>
      <c r="B585" s="22" t="s">
        <v>1077</v>
      </c>
      <c r="C585" s="22" t="s">
        <v>489</v>
      </c>
      <c r="D585" s="22" t="s">
        <v>468</v>
      </c>
      <c r="E585" s="22" t="s">
        <v>490</v>
      </c>
    </row>
    <row r="586" spans="1:5" x14ac:dyDescent="0.25">
      <c r="A586" s="35">
        <v>46008.904567210644</v>
      </c>
      <c r="B586" s="22" t="s">
        <v>1078</v>
      </c>
      <c r="C586" s="22" t="s">
        <v>489</v>
      </c>
      <c r="D586" s="22" t="s">
        <v>468</v>
      </c>
      <c r="E586" s="22" t="s">
        <v>490</v>
      </c>
    </row>
    <row r="587" spans="1:5" x14ac:dyDescent="0.25">
      <c r="A587" s="35">
        <v>46008.904568750004</v>
      </c>
      <c r="B587" s="22" t="s">
        <v>1079</v>
      </c>
      <c r="C587" s="22" t="s">
        <v>489</v>
      </c>
      <c r="D587" s="22" t="s">
        <v>468</v>
      </c>
      <c r="E587" s="22" t="s">
        <v>490</v>
      </c>
    </row>
    <row r="588" spans="1:5" x14ac:dyDescent="0.25">
      <c r="A588" s="35">
        <v>46008.904570601851</v>
      </c>
      <c r="B588" s="22" t="s">
        <v>1080</v>
      </c>
      <c r="C588" s="22" t="s">
        <v>489</v>
      </c>
      <c r="D588" s="22" t="s">
        <v>468</v>
      </c>
      <c r="E588" s="22" t="s">
        <v>490</v>
      </c>
    </row>
    <row r="589" spans="1:5" x14ac:dyDescent="0.25">
      <c r="A589" s="35">
        <v>46008.904572175925</v>
      </c>
      <c r="B589" s="22" t="s">
        <v>1081</v>
      </c>
      <c r="C589" s="22" t="s">
        <v>489</v>
      </c>
      <c r="D589" s="22" t="s">
        <v>468</v>
      </c>
      <c r="E589" s="22" t="s">
        <v>490</v>
      </c>
    </row>
    <row r="590" spans="1:5" x14ac:dyDescent="0.25">
      <c r="A590" s="35">
        <v>46008.904573935186</v>
      </c>
      <c r="B590" s="22" t="s">
        <v>1082</v>
      </c>
      <c r="C590" s="22" t="s">
        <v>482</v>
      </c>
      <c r="D590" s="22" t="s">
        <v>449</v>
      </c>
      <c r="E590" s="22" t="s">
        <v>490</v>
      </c>
    </row>
    <row r="591" spans="1:5" x14ac:dyDescent="0.25">
      <c r="A591" s="35">
        <v>46008.904575671295</v>
      </c>
      <c r="B591" s="22" t="s">
        <v>1083</v>
      </c>
      <c r="C591" s="22" t="s">
        <v>482</v>
      </c>
      <c r="D591" s="22" t="s">
        <v>449</v>
      </c>
      <c r="E591" s="22" t="s">
        <v>490</v>
      </c>
    </row>
    <row r="592" spans="1:5" x14ac:dyDescent="0.25">
      <c r="A592" s="35">
        <v>46008.904577372683</v>
      </c>
      <c r="B592" s="22" t="s">
        <v>1084</v>
      </c>
      <c r="C592" s="22" t="s">
        <v>489</v>
      </c>
      <c r="D592" s="22" t="s">
        <v>468</v>
      </c>
      <c r="E592" s="22" t="s">
        <v>490</v>
      </c>
    </row>
    <row r="593" spans="1:5" x14ac:dyDescent="0.25">
      <c r="A593" s="35">
        <v>46008.904579131944</v>
      </c>
      <c r="B593" s="22" t="s">
        <v>1085</v>
      </c>
      <c r="C593" s="22" t="s">
        <v>489</v>
      </c>
      <c r="D593" s="22" t="s">
        <v>468</v>
      </c>
      <c r="E593" s="22" t="s">
        <v>490</v>
      </c>
    </row>
    <row r="594" spans="1:5" x14ac:dyDescent="0.25">
      <c r="A594" s="35">
        <v>46008.904580844908</v>
      </c>
      <c r="B594" s="22" t="s">
        <v>1086</v>
      </c>
      <c r="C594" s="22" t="s">
        <v>482</v>
      </c>
      <c r="D594" s="22" t="s">
        <v>516</v>
      </c>
      <c r="E594" s="22" t="s">
        <v>490</v>
      </c>
    </row>
    <row r="595" spans="1:5" x14ac:dyDescent="0.25">
      <c r="A595" s="35">
        <v>46008.904582268515</v>
      </c>
      <c r="B595" s="22" t="s">
        <v>1087</v>
      </c>
      <c r="C595" s="22" t="s">
        <v>489</v>
      </c>
      <c r="D595" s="22" t="s">
        <v>500</v>
      </c>
      <c r="E595" s="22" t="s">
        <v>490</v>
      </c>
    </row>
    <row r="596" spans="1:5" x14ac:dyDescent="0.25">
      <c r="A596" s="35">
        <v>46008.904583831019</v>
      </c>
      <c r="B596" s="22" t="s">
        <v>1088</v>
      </c>
      <c r="C596" s="22" t="s">
        <v>489</v>
      </c>
      <c r="D596" s="22" t="s">
        <v>500</v>
      </c>
      <c r="E596" s="22" t="s">
        <v>490</v>
      </c>
    </row>
    <row r="597" spans="1:5" x14ac:dyDescent="0.25">
      <c r="A597" s="35">
        <v>46008.904585312499</v>
      </c>
      <c r="B597" s="22" t="s">
        <v>1089</v>
      </c>
      <c r="C597" s="22" t="s">
        <v>489</v>
      </c>
      <c r="D597" s="22" t="s">
        <v>468</v>
      </c>
      <c r="E597" s="22" t="s">
        <v>490</v>
      </c>
    </row>
    <row r="598" spans="1:5" x14ac:dyDescent="0.25">
      <c r="A598" s="35">
        <v>46008.904598946756</v>
      </c>
      <c r="B598" s="22" t="s">
        <v>1090</v>
      </c>
      <c r="C598" s="22" t="s">
        <v>489</v>
      </c>
      <c r="D598" s="22" t="s">
        <v>500</v>
      </c>
      <c r="E598" s="22" t="s">
        <v>490</v>
      </c>
    </row>
    <row r="599" spans="1:5" x14ac:dyDescent="0.25">
      <c r="A599" s="35">
        <v>46008.904600451388</v>
      </c>
      <c r="B599" s="22" t="s">
        <v>1091</v>
      </c>
      <c r="C599" s="22" t="s">
        <v>489</v>
      </c>
      <c r="D599" s="22" t="s">
        <v>468</v>
      </c>
      <c r="E599" s="22" t="s">
        <v>490</v>
      </c>
    </row>
    <row r="600" spans="1:5" x14ac:dyDescent="0.25">
      <c r="A600" s="35">
        <v>46008.904601898146</v>
      </c>
      <c r="B600" s="22" t="s">
        <v>1092</v>
      </c>
      <c r="C600" s="22" t="s">
        <v>489</v>
      </c>
      <c r="D600" s="22" t="s">
        <v>468</v>
      </c>
      <c r="E600" s="22" t="s">
        <v>490</v>
      </c>
    </row>
    <row r="601" spans="1:5" x14ac:dyDescent="0.25">
      <c r="A601" s="35">
        <v>46008.904604166666</v>
      </c>
      <c r="B601" s="22" t="s">
        <v>1093</v>
      </c>
      <c r="C601" s="22" t="s">
        <v>489</v>
      </c>
      <c r="D601" s="22" t="s">
        <v>468</v>
      </c>
      <c r="E601" s="22" t="s">
        <v>490</v>
      </c>
    </row>
    <row r="602" spans="1:5" x14ac:dyDescent="0.25">
      <c r="A602" s="35">
        <v>46008.904605740739</v>
      </c>
      <c r="B602" s="22" t="s">
        <v>1094</v>
      </c>
      <c r="C602" s="22" t="s">
        <v>489</v>
      </c>
      <c r="D602" s="22" t="s">
        <v>468</v>
      </c>
      <c r="E602" s="22" t="s">
        <v>490</v>
      </c>
    </row>
    <row r="603" spans="1:5" x14ac:dyDescent="0.25">
      <c r="A603" s="35">
        <v>46008.904607233795</v>
      </c>
      <c r="B603" s="22" t="s">
        <v>1095</v>
      </c>
      <c r="C603" s="22" t="s">
        <v>489</v>
      </c>
      <c r="D603" s="22" t="s">
        <v>468</v>
      </c>
      <c r="E603" s="22" t="s">
        <v>490</v>
      </c>
    </row>
    <row r="604" spans="1:5" x14ac:dyDescent="0.25">
      <c r="A604" s="35">
        <v>46008.904608900462</v>
      </c>
      <c r="B604" s="22" t="s">
        <v>1096</v>
      </c>
      <c r="C604" s="22" t="s">
        <v>489</v>
      </c>
      <c r="D604" s="22" t="s">
        <v>500</v>
      </c>
      <c r="E604" s="22" t="s">
        <v>490</v>
      </c>
    </row>
    <row r="605" spans="1:5" x14ac:dyDescent="0.25">
      <c r="A605" s="35">
        <v>46008.904610428246</v>
      </c>
      <c r="B605" s="22" t="s">
        <v>1097</v>
      </c>
      <c r="C605" s="22" t="s">
        <v>489</v>
      </c>
      <c r="D605" s="22" t="s">
        <v>500</v>
      </c>
      <c r="E605" s="22" t="s">
        <v>490</v>
      </c>
    </row>
    <row r="606" spans="1:5" x14ac:dyDescent="0.25">
      <c r="A606" s="35">
        <v>46008.904612071754</v>
      </c>
      <c r="B606" s="22" t="s">
        <v>1098</v>
      </c>
      <c r="C606" s="22" t="s">
        <v>489</v>
      </c>
      <c r="D606" s="22" t="s">
        <v>500</v>
      </c>
      <c r="E606" s="22" t="s">
        <v>490</v>
      </c>
    </row>
    <row r="607" spans="1:5" x14ac:dyDescent="0.25">
      <c r="A607" s="35">
        <v>46008.904613472223</v>
      </c>
      <c r="B607" s="22" t="s">
        <v>1099</v>
      </c>
      <c r="C607" s="22" t="s">
        <v>489</v>
      </c>
      <c r="D607" s="22" t="s">
        <v>500</v>
      </c>
      <c r="E607" s="22" t="s">
        <v>490</v>
      </c>
    </row>
    <row r="608" spans="1:5" x14ac:dyDescent="0.25">
      <c r="A608" s="35">
        <v>46008.904615023144</v>
      </c>
      <c r="B608" s="22" t="s">
        <v>1100</v>
      </c>
      <c r="C608" s="22" t="s">
        <v>489</v>
      </c>
      <c r="D608" s="22" t="s">
        <v>500</v>
      </c>
      <c r="E608" s="22" t="s">
        <v>490</v>
      </c>
    </row>
    <row r="609" spans="1:5" x14ac:dyDescent="0.25">
      <c r="A609" s="35">
        <v>46008.9046165162</v>
      </c>
      <c r="B609" s="22" t="s">
        <v>1101</v>
      </c>
      <c r="C609" s="22" t="s">
        <v>489</v>
      </c>
      <c r="D609" s="22" t="s">
        <v>500</v>
      </c>
      <c r="E609" s="22" t="s">
        <v>490</v>
      </c>
    </row>
    <row r="610" spans="1:5" x14ac:dyDescent="0.25">
      <c r="A610" s="35">
        <v>46008.904623009264</v>
      </c>
      <c r="B610" s="22" t="s">
        <v>1102</v>
      </c>
      <c r="C610" s="22" t="s">
        <v>489</v>
      </c>
      <c r="D610" s="22" t="s">
        <v>500</v>
      </c>
      <c r="E610" s="22" t="s">
        <v>490</v>
      </c>
    </row>
    <row r="611" spans="1:5" x14ac:dyDescent="0.25">
      <c r="A611" s="35">
        <v>46008.904624537041</v>
      </c>
      <c r="B611" s="22" t="s">
        <v>1103</v>
      </c>
      <c r="C611" s="22" t="s">
        <v>489</v>
      </c>
      <c r="D611" s="22" t="s">
        <v>468</v>
      </c>
      <c r="E611" s="22" t="s">
        <v>490</v>
      </c>
    </row>
    <row r="612" spans="1:5" x14ac:dyDescent="0.25">
      <c r="A612" s="35">
        <v>46008.904626203701</v>
      </c>
      <c r="B612" s="22" t="s">
        <v>1104</v>
      </c>
      <c r="C612" s="22" t="s">
        <v>482</v>
      </c>
      <c r="D612" s="22" t="s">
        <v>449</v>
      </c>
      <c r="E612" s="22" t="s">
        <v>490</v>
      </c>
    </row>
    <row r="613" spans="1:5" x14ac:dyDescent="0.25">
      <c r="A613" s="35">
        <v>46008.904627696757</v>
      </c>
      <c r="B613" s="22" t="s">
        <v>1105</v>
      </c>
      <c r="C613" s="22" t="s">
        <v>489</v>
      </c>
      <c r="D613" s="22" t="s">
        <v>468</v>
      </c>
      <c r="E613" s="22" t="s">
        <v>490</v>
      </c>
    </row>
    <row r="614" spans="1:5" x14ac:dyDescent="0.25">
      <c r="A614" s="35">
        <v>46008.904645034723</v>
      </c>
      <c r="B614" s="22" t="s">
        <v>1106</v>
      </c>
      <c r="C614" s="22" t="s">
        <v>489</v>
      </c>
      <c r="D614" s="22" t="s">
        <v>468</v>
      </c>
      <c r="E614" s="22" t="s">
        <v>490</v>
      </c>
    </row>
    <row r="615" spans="1:5" x14ac:dyDescent="0.25">
      <c r="A615" s="35">
        <v>46008.904646481482</v>
      </c>
      <c r="B615" s="22" t="s">
        <v>1107</v>
      </c>
      <c r="C615" s="22" t="s">
        <v>489</v>
      </c>
      <c r="D615" s="22" t="s">
        <v>500</v>
      </c>
      <c r="E615" s="22" t="s">
        <v>490</v>
      </c>
    </row>
    <row r="616" spans="1:5" x14ac:dyDescent="0.25">
      <c r="A616" s="35">
        <v>46008.904655243052</v>
      </c>
      <c r="B616" s="22" t="s">
        <v>1108</v>
      </c>
      <c r="C616" s="22" t="s">
        <v>489</v>
      </c>
      <c r="D616" s="22" t="s">
        <v>468</v>
      </c>
      <c r="E616" s="22" t="s">
        <v>490</v>
      </c>
    </row>
    <row r="617" spans="1:5" x14ac:dyDescent="0.25">
      <c r="A617" s="35">
        <v>46008.904662523149</v>
      </c>
      <c r="B617" s="22" t="s">
        <v>1109</v>
      </c>
      <c r="C617" s="22" t="s">
        <v>482</v>
      </c>
      <c r="D617" s="22" t="s">
        <v>449</v>
      </c>
      <c r="E617" s="22" t="s">
        <v>490</v>
      </c>
    </row>
    <row r="618" spans="1:5" x14ac:dyDescent="0.25">
      <c r="A618" s="35">
        <v>46008.904664166665</v>
      </c>
      <c r="B618" s="22" t="s">
        <v>1110</v>
      </c>
      <c r="C618" s="22" t="s">
        <v>489</v>
      </c>
      <c r="D618" s="22" t="s">
        <v>500</v>
      </c>
      <c r="E618" s="22" t="s">
        <v>490</v>
      </c>
    </row>
    <row r="619" spans="1:5" x14ac:dyDescent="0.25">
      <c r="A619" s="35">
        <v>46008.904665821756</v>
      </c>
      <c r="B619" s="22" t="s">
        <v>1111</v>
      </c>
      <c r="C619" s="22" t="s">
        <v>489</v>
      </c>
      <c r="D619" s="22" t="s">
        <v>500</v>
      </c>
      <c r="E619" s="22" t="s">
        <v>490</v>
      </c>
    </row>
    <row r="620" spans="1:5" x14ac:dyDescent="0.25">
      <c r="A620" s="35">
        <v>46008.904677928236</v>
      </c>
      <c r="B620" s="22" t="s">
        <v>1112</v>
      </c>
      <c r="C620" s="22" t="s">
        <v>489</v>
      </c>
      <c r="D620" s="22" t="s">
        <v>468</v>
      </c>
      <c r="E620" s="22" t="s">
        <v>490</v>
      </c>
    </row>
    <row r="621" spans="1:5" x14ac:dyDescent="0.25">
      <c r="A621" s="35">
        <v>46008.904679976855</v>
      </c>
      <c r="B621" s="22" t="s">
        <v>1113</v>
      </c>
      <c r="C621" s="22" t="s">
        <v>482</v>
      </c>
      <c r="D621" s="22" t="s">
        <v>449</v>
      </c>
      <c r="E621" s="22" t="s">
        <v>490</v>
      </c>
    </row>
    <row r="622" spans="1:5" x14ac:dyDescent="0.25">
      <c r="A622" s="35">
        <v>46008.904681319444</v>
      </c>
      <c r="B622" s="22" t="s">
        <v>1114</v>
      </c>
      <c r="C622" s="22" t="s">
        <v>489</v>
      </c>
      <c r="D622" s="22" t="s">
        <v>468</v>
      </c>
      <c r="E622" s="22" t="s">
        <v>490</v>
      </c>
    </row>
    <row r="623" spans="1:5" x14ac:dyDescent="0.25">
      <c r="A623" s="35">
        <v>46008.904682939814</v>
      </c>
      <c r="B623" s="22" t="s">
        <v>1115</v>
      </c>
      <c r="C623" s="22" t="s">
        <v>489</v>
      </c>
      <c r="D623" s="22" t="s">
        <v>500</v>
      </c>
      <c r="E623" s="22" t="s">
        <v>490</v>
      </c>
    </row>
    <row r="624" spans="1:5" x14ac:dyDescent="0.25">
      <c r="A624" s="35">
        <v>46008.904684444446</v>
      </c>
      <c r="B624" s="22" t="s">
        <v>1116</v>
      </c>
      <c r="C624" s="22" t="s">
        <v>489</v>
      </c>
      <c r="D624" s="22" t="s">
        <v>500</v>
      </c>
      <c r="E624" s="22" t="s">
        <v>490</v>
      </c>
    </row>
    <row r="625" spans="1:5" x14ac:dyDescent="0.25">
      <c r="A625" s="35">
        <v>46008.904685960646</v>
      </c>
      <c r="B625" s="22" t="s">
        <v>1117</v>
      </c>
      <c r="C625" s="22" t="s">
        <v>489</v>
      </c>
      <c r="D625" s="22" t="s">
        <v>500</v>
      </c>
      <c r="E625" s="22" t="s">
        <v>490</v>
      </c>
    </row>
    <row r="626" spans="1:5" x14ac:dyDescent="0.25">
      <c r="A626" s="35">
        <v>46008.904687407412</v>
      </c>
      <c r="B626" s="22" t="s">
        <v>1118</v>
      </c>
      <c r="C626" s="22" t="s">
        <v>489</v>
      </c>
      <c r="D626" s="22" t="s">
        <v>500</v>
      </c>
      <c r="E626" s="22" t="s">
        <v>490</v>
      </c>
    </row>
    <row r="627" spans="1:5" x14ac:dyDescent="0.25">
      <c r="A627" s="35">
        <v>46008.904688865739</v>
      </c>
      <c r="B627" s="22" t="s">
        <v>1119</v>
      </c>
      <c r="C627" s="22" t="s">
        <v>489</v>
      </c>
      <c r="D627" s="22" t="s">
        <v>500</v>
      </c>
      <c r="E627" s="22" t="s">
        <v>490</v>
      </c>
    </row>
    <row r="628" spans="1:5" x14ac:dyDescent="0.25">
      <c r="A628" s="35">
        <v>46008.904690347219</v>
      </c>
      <c r="B628" s="22" t="s">
        <v>1120</v>
      </c>
      <c r="C628" s="22" t="s">
        <v>489</v>
      </c>
      <c r="D628" s="22" t="s">
        <v>500</v>
      </c>
      <c r="E628" s="22" t="s">
        <v>490</v>
      </c>
    </row>
    <row r="629" spans="1:5" x14ac:dyDescent="0.25">
      <c r="A629" s="35">
        <v>46008.904692858792</v>
      </c>
      <c r="B629" s="22" t="s">
        <v>1121</v>
      </c>
      <c r="C629" s="22" t="s">
        <v>489</v>
      </c>
      <c r="D629" s="22" t="s">
        <v>500</v>
      </c>
      <c r="E629" s="22" t="s">
        <v>490</v>
      </c>
    </row>
    <row r="630" spans="1:5" x14ac:dyDescent="0.25">
      <c r="A630" s="35">
        <v>46008.904694340279</v>
      </c>
      <c r="B630" s="22" t="s">
        <v>1122</v>
      </c>
      <c r="C630" s="22" t="s">
        <v>489</v>
      </c>
      <c r="D630" s="22" t="s">
        <v>468</v>
      </c>
      <c r="E630" s="22" t="s">
        <v>490</v>
      </c>
    </row>
    <row r="631" spans="1:5" x14ac:dyDescent="0.25">
      <c r="A631" s="35">
        <v>46008.904696793979</v>
      </c>
      <c r="B631" s="22" t="s">
        <v>1123</v>
      </c>
      <c r="C631" s="22" t="s">
        <v>489</v>
      </c>
      <c r="D631" s="22" t="s">
        <v>468</v>
      </c>
      <c r="E631" s="22" t="s">
        <v>490</v>
      </c>
    </row>
    <row r="632" spans="1:5" x14ac:dyDescent="0.25">
      <c r="A632" s="35">
        <v>46008.904698402781</v>
      </c>
      <c r="B632" s="22" t="s">
        <v>1124</v>
      </c>
      <c r="C632" s="22" t="s">
        <v>489</v>
      </c>
      <c r="D632" s="22" t="s">
        <v>468</v>
      </c>
      <c r="E632" s="22" t="s">
        <v>490</v>
      </c>
    </row>
    <row r="633" spans="1:5" x14ac:dyDescent="0.25">
      <c r="A633" s="35">
        <v>46008.904700173611</v>
      </c>
      <c r="B633" s="22" t="s">
        <v>1125</v>
      </c>
      <c r="C633" s="22" t="s">
        <v>489</v>
      </c>
      <c r="D633" s="22" t="s">
        <v>500</v>
      </c>
      <c r="E633" s="22" t="s">
        <v>490</v>
      </c>
    </row>
    <row r="634" spans="1:5" x14ac:dyDescent="0.25">
      <c r="A634" s="35">
        <v>46008.904709120368</v>
      </c>
      <c r="B634" s="22" t="s">
        <v>1126</v>
      </c>
      <c r="C634" s="22" t="s">
        <v>489</v>
      </c>
      <c r="D634" s="22" t="s">
        <v>500</v>
      </c>
      <c r="E634" s="22" t="s">
        <v>490</v>
      </c>
    </row>
    <row r="635" spans="1:5" x14ac:dyDescent="0.25">
      <c r="A635" s="35">
        <v>46008.904710682866</v>
      </c>
      <c r="B635" s="22" t="s">
        <v>1127</v>
      </c>
      <c r="C635" s="22" t="s">
        <v>489</v>
      </c>
      <c r="D635" s="22" t="s">
        <v>468</v>
      </c>
      <c r="E635" s="22" t="s">
        <v>490</v>
      </c>
    </row>
    <row r="636" spans="1:5" x14ac:dyDescent="0.25">
      <c r="A636" s="35">
        <v>46008.904712233794</v>
      </c>
      <c r="B636" s="22" t="s">
        <v>1128</v>
      </c>
      <c r="C636" s="22" t="s">
        <v>489</v>
      </c>
      <c r="D636" s="22" t="s">
        <v>468</v>
      </c>
      <c r="E636" s="22" t="s">
        <v>490</v>
      </c>
    </row>
    <row r="637" spans="1:5" x14ac:dyDescent="0.25">
      <c r="A637" s="35">
        <v>46008.90471412037</v>
      </c>
      <c r="B637" s="22" t="s">
        <v>1129</v>
      </c>
      <c r="C637" s="22" t="s">
        <v>489</v>
      </c>
      <c r="D637" s="22" t="s">
        <v>469</v>
      </c>
      <c r="E637" s="22" t="s">
        <v>490</v>
      </c>
    </row>
    <row r="638" spans="1:5" x14ac:dyDescent="0.25">
      <c r="A638" s="35">
        <v>46008.904715752316</v>
      </c>
      <c r="B638" s="22" t="s">
        <v>1130</v>
      </c>
      <c r="C638" s="22" t="s">
        <v>489</v>
      </c>
      <c r="D638" s="22" t="s">
        <v>469</v>
      </c>
      <c r="E638" s="22" t="s">
        <v>490</v>
      </c>
    </row>
    <row r="639" spans="1:5" x14ac:dyDescent="0.25">
      <c r="A639" s="35">
        <v>46008.904717395832</v>
      </c>
      <c r="B639" s="22" t="s">
        <v>1131</v>
      </c>
      <c r="C639" s="22" t="s">
        <v>489</v>
      </c>
      <c r="D639" s="22" t="s">
        <v>500</v>
      </c>
      <c r="E639" s="22" t="s">
        <v>490</v>
      </c>
    </row>
    <row r="640" spans="1:5" x14ac:dyDescent="0.25">
      <c r="A640" s="35">
        <v>46008.904719062499</v>
      </c>
      <c r="B640" s="22" t="s">
        <v>1132</v>
      </c>
      <c r="C640" s="22" t="s">
        <v>489</v>
      </c>
      <c r="D640" s="22" t="s">
        <v>468</v>
      </c>
      <c r="E640" s="22" t="s">
        <v>490</v>
      </c>
    </row>
    <row r="641" spans="1:5" x14ac:dyDescent="0.25">
      <c r="A641" s="35">
        <v>46008.904720810184</v>
      </c>
      <c r="B641" s="22" t="s">
        <v>1133</v>
      </c>
      <c r="C641" s="22" t="s">
        <v>489</v>
      </c>
      <c r="D641" s="22" t="s">
        <v>468</v>
      </c>
      <c r="E641" s="22" t="s">
        <v>490</v>
      </c>
    </row>
    <row r="642" spans="1:5" x14ac:dyDescent="0.25">
      <c r="A642" s="35">
        <v>46008.904722638894</v>
      </c>
      <c r="B642" s="22" t="s">
        <v>1134</v>
      </c>
      <c r="C642" s="22" t="s">
        <v>489</v>
      </c>
      <c r="D642" s="22" t="s">
        <v>468</v>
      </c>
      <c r="E642" s="22" t="s">
        <v>490</v>
      </c>
    </row>
    <row r="643" spans="1:5" x14ac:dyDescent="0.25">
      <c r="A643" s="35">
        <v>46008.904731631948</v>
      </c>
      <c r="B643" s="22" t="s">
        <v>1135</v>
      </c>
      <c r="C643" s="22" t="s">
        <v>482</v>
      </c>
      <c r="D643" s="22" t="s">
        <v>449</v>
      </c>
      <c r="E643" s="22" t="s">
        <v>490</v>
      </c>
    </row>
    <row r="644" spans="1:5" x14ac:dyDescent="0.25">
      <c r="A644" s="35">
        <v>46008.90473357639</v>
      </c>
      <c r="B644" s="22" t="s">
        <v>1136</v>
      </c>
      <c r="C644" s="22" t="s">
        <v>489</v>
      </c>
      <c r="D644" s="22" t="s">
        <v>469</v>
      </c>
      <c r="E644" s="22" t="s">
        <v>490</v>
      </c>
    </row>
    <row r="645" spans="1:5" x14ac:dyDescent="0.25">
      <c r="A645" s="35">
        <v>46008.904735185184</v>
      </c>
      <c r="B645" s="22" t="s">
        <v>1137</v>
      </c>
      <c r="C645" s="22" t="s">
        <v>482</v>
      </c>
      <c r="D645" s="22" t="s">
        <v>449</v>
      </c>
      <c r="E645" s="22" t="s">
        <v>490</v>
      </c>
    </row>
    <row r="646" spans="1:5" x14ac:dyDescent="0.25">
      <c r="A646" s="35">
        <v>46008.904736712968</v>
      </c>
      <c r="B646" s="22" t="s">
        <v>1138</v>
      </c>
      <c r="C646" s="22" t="s">
        <v>489</v>
      </c>
      <c r="D646" s="22" t="s">
        <v>468</v>
      </c>
      <c r="E646" s="22" t="s">
        <v>490</v>
      </c>
    </row>
    <row r="647" spans="1:5" x14ac:dyDescent="0.25">
      <c r="A647" s="35">
        <v>46008.904738356483</v>
      </c>
      <c r="B647" s="22" t="s">
        <v>1139</v>
      </c>
      <c r="C647" s="22" t="s">
        <v>489</v>
      </c>
      <c r="D647" s="22" t="s">
        <v>500</v>
      </c>
      <c r="E647" s="22" t="s">
        <v>490</v>
      </c>
    </row>
    <row r="648" spans="1:5" x14ac:dyDescent="0.25">
      <c r="A648" s="35">
        <v>46008.904742256942</v>
      </c>
      <c r="B648" s="22" t="s">
        <v>1140</v>
      </c>
      <c r="C648" s="22" t="s">
        <v>489</v>
      </c>
      <c r="D648" s="22" t="s">
        <v>468</v>
      </c>
      <c r="E648" s="22" t="s">
        <v>490</v>
      </c>
    </row>
    <row r="649" spans="1:5" x14ac:dyDescent="0.25">
      <c r="A649" s="35">
        <v>46008.904743749998</v>
      </c>
      <c r="B649" s="22" t="s">
        <v>1141</v>
      </c>
      <c r="C649" s="22" t="s">
        <v>482</v>
      </c>
      <c r="D649" s="22" t="s">
        <v>449</v>
      </c>
      <c r="E649" s="22" t="s">
        <v>490</v>
      </c>
    </row>
    <row r="650" spans="1:5" x14ac:dyDescent="0.25">
      <c r="A650" s="35">
        <v>46008.90474528935</v>
      </c>
      <c r="B650" s="22" t="s">
        <v>1142</v>
      </c>
      <c r="C650" s="22" t="s">
        <v>489</v>
      </c>
      <c r="D650" s="22" t="s">
        <v>500</v>
      </c>
      <c r="E650" s="22" t="s">
        <v>490</v>
      </c>
    </row>
    <row r="651" spans="1:5" x14ac:dyDescent="0.25">
      <c r="A651" s="35">
        <v>46008.904747094908</v>
      </c>
      <c r="B651" s="22" t="s">
        <v>1143</v>
      </c>
      <c r="C651" s="22" t="s">
        <v>489</v>
      </c>
      <c r="D651" s="22" t="s">
        <v>468</v>
      </c>
      <c r="E651" s="22" t="s">
        <v>490</v>
      </c>
    </row>
    <row r="652" spans="1:5" x14ac:dyDescent="0.25">
      <c r="A652" s="35">
        <v>46008.904748900459</v>
      </c>
      <c r="B652" s="22" t="s">
        <v>1144</v>
      </c>
      <c r="C652" s="22" t="s">
        <v>482</v>
      </c>
      <c r="D652" s="22" t="s">
        <v>516</v>
      </c>
      <c r="E652" s="22" t="s">
        <v>490</v>
      </c>
    </row>
    <row r="653" spans="1:5" x14ac:dyDescent="0.25">
      <c r="A653" s="35">
        <v>46008.904750462963</v>
      </c>
      <c r="B653" s="22" t="s">
        <v>1145</v>
      </c>
      <c r="C653" s="22" t="s">
        <v>489</v>
      </c>
      <c r="D653" s="22" t="s">
        <v>468</v>
      </c>
      <c r="E653" s="22" t="s">
        <v>490</v>
      </c>
    </row>
    <row r="654" spans="1:5" x14ac:dyDescent="0.25">
      <c r="A654" s="35">
        <v>46008.904752118055</v>
      </c>
      <c r="B654" s="22" t="s">
        <v>1146</v>
      </c>
      <c r="C654" s="22" t="s">
        <v>489</v>
      </c>
      <c r="D654" s="22" t="s">
        <v>468</v>
      </c>
      <c r="E654" s="22" t="s">
        <v>490</v>
      </c>
    </row>
    <row r="655" spans="1:5" x14ac:dyDescent="0.25">
      <c r="A655" s="35">
        <v>46008.904756990742</v>
      </c>
      <c r="B655" s="22" t="s">
        <v>1147</v>
      </c>
      <c r="C655" s="22" t="s">
        <v>489</v>
      </c>
      <c r="D655" s="22" t="s">
        <v>469</v>
      </c>
      <c r="E655" s="22" t="s">
        <v>490</v>
      </c>
    </row>
    <row r="656" spans="1:5" x14ac:dyDescent="0.25">
      <c r="A656" s="35">
        <v>46008.904758668985</v>
      </c>
      <c r="B656" s="22" t="s">
        <v>1148</v>
      </c>
      <c r="C656" s="22" t="s">
        <v>489</v>
      </c>
      <c r="D656" s="22" t="s">
        <v>500</v>
      </c>
      <c r="E656" s="22" t="s">
        <v>490</v>
      </c>
    </row>
    <row r="657" spans="1:5" x14ac:dyDescent="0.25">
      <c r="A657" s="35">
        <v>46008.904760370366</v>
      </c>
      <c r="B657" s="22" t="s">
        <v>1149</v>
      </c>
      <c r="C657" s="22" t="s">
        <v>489</v>
      </c>
      <c r="D657" s="22" t="s">
        <v>500</v>
      </c>
      <c r="E657" s="22" t="s">
        <v>490</v>
      </c>
    </row>
    <row r="658" spans="1:5" x14ac:dyDescent="0.25">
      <c r="A658" s="35">
        <v>46008.904762152779</v>
      </c>
      <c r="B658" s="22" t="s">
        <v>1150</v>
      </c>
      <c r="C658" s="22" t="s">
        <v>489</v>
      </c>
      <c r="D658" s="22" t="s">
        <v>500</v>
      </c>
      <c r="E658" s="22" t="s">
        <v>490</v>
      </c>
    </row>
    <row r="659" spans="1:5" x14ac:dyDescent="0.25">
      <c r="A659" s="35">
        <v>46008.904763854167</v>
      </c>
      <c r="B659" s="22" t="s">
        <v>1151</v>
      </c>
      <c r="C659" s="22" t="s">
        <v>489</v>
      </c>
      <c r="D659" s="22" t="s">
        <v>468</v>
      </c>
      <c r="E659" s="22" t="s">
        <v>490</v>
      </c>
    </row>
    <row r="660" spans="1:5" x14ac:dyDescent="0.25">
      <c r="A660" s="35">
        <v>46008.904770844907</v>
      </c>
      <c r="B660" s="22" t="s">
        <v>1152</v>
      </c>
      <c r="C660" s="22" t="s">
        <v>489</v>
      </c>
      <c r="D660" s="22" t="s">
        <v>469</v>
      </c>
      <c r="E660" s="22" t="s">
        <v>490</v>
      </c>
    </row>
    <row r="661" spans="1:5" x14ac:dyDescent="0.25">
      <c r="A661" s="35">
        <v>46008.904772303242</v>
      </c>
      <c r="B661" s="22" t="s">
        <v>1153</v>
      </c>
      <c r="C661" s="22" t="s">
        <v>489</v>
      </c>
      <c r="D661" s="22" t="s">
        <v>468</v>
      </c>
      <c r="E661" s="22" t="s">
        <v>490</v>
      </c>
    </row>
    <row r="662" spans="1:5" x14ac:dyDescent="0.25">
      <c r="A662" s="35">
        <v>46008.904773796297</v>
      </c>
      <c r="B662" s="22" t="s">
        <v>1154</v>
      </c>
      <c r="C662" s="22" t="s">
        <v>489</v>
      </c>
      <c r="D662" s="22" t="s">
        <v>468</v>
      </c>
      <c r="E662" s="22" t="s">
        <v>490</v>
      </c>
    </row>
    <row r="663" spans="1:5" x14ac:dyDescent="0.25">
      <c r="A663" s="35">
        <v>46008.90477523148</v>
      </c>
      <c r="B663" s="22" t="s">
        <v>1155</v>
      </c>
      <c r="C663" s="22" t="s">
        <v>489</v>
      </c>
      <c r="D663" s="22" t="s">
        <v>468</v>
      </c>
      <c r="E663" s="22" t="s">
        <v>490</v>
      </c>
    </row>
    <row r="664" spans="1:5" x14ac:dyDescent="0.25">
      <c r="A664" s="35">
        <v>46008.904776747688</v>
      </c>
      <c r="B664" s="22" t="s">
        <v>1156</v>
      </c>
      <c r="C664" s="22" t="s">
        <v>489</v>
      </c>
      <c r="D664" s="22" t="s">
        <v>468</v>
      </c>
      <c r="E664" s="22" t="s">
        <v>490</v>
      </c>
    </row>
    <row r="665" spans="1:5" x14ac:dyDescent="0.25">
      <c r="A665" s="35">
        <v>46008.904778217591</v>
      </c>
      <c r="B665" s="22" t="s">
        <v>1157</v>
      </c>
      <c r="C665" s="22" t="s">
        <v>489</v>
      </c>
      <c r="D665" s="22" t="s">
        <v>469</v>
      </c>
      <c r="E665" s="22" t="s">
        <v>490</v>
      </c>
    </row>
    <row r="666" spans="1:5" x14ac:dyDescent="0.25">
      <c r="A666" s="35">
        <v>46008.904780011573</v>
      </c>
      <c r="B666" s="22" t="s">
        <v>1158</v>
      </c>
      <c r="C666" s="22" t="s">
        <v>489</v>
      </c>
      <c r="D666" s="22" t="s">
        <v>468</v>
      </c>
      <c r="E666" s="22" t="s">
        <v>490</v>
      </c>
    </row>
    <row r="667" spans="1:5" x14ac:dyDescent="0.25">
      <c r="A667" s="35">
        <v>46008.904781354169</v>
      </c>
      <c r="B667" s="22" t="s">
        <v>1159</v>
      </c>
      <c r="C667" s="22" t="s">
        <v>489</v>
      </c>
      <c r="D667" s="22" t="s">
        <v>500</v>
      </c>
      <c r="E667" s="22" t="s">
        <v>490</v>
      </c>
    </row>
    <row r="668" spans="1:5" x14ac:dyDescent="0.25">
      <c r="A668" s="35">
        <v>46008.904782928235</v>
      </c>
      <c r="B668" s="22" t="s">
        <v>1160</v>
      </c>
      <c r="C668" s="22" t="s">
        <v>489</v>
      </c>
      <c r="D668" s="22" t="s">
        <v>500</v>
      </c>
      <c r="E668" s="22" t="s">
        <v>490</v>
      </c>
    </row>
    <row r="669" spans="1:5" x14ac:dyDescent="0.25">
      <c r="A669" s="35">
        <v>46008.904784687504</v>
      </c>
      <c r="B669" s="22" t="s">
        <v>1161</v>
      </c>
      <c r="C669" s="22" t="s">
        <v>489</v>
      </c>
      <c r="D669" s="22" t="s">
        <v>468</v>
      </c>
      <c r="E669" s="22" t="s">
        <v>490</v>
      </c>
    </row>
    <row r="670" spans="1:5" x14ac:dyDescent="0.25">
      <c r="A670" s="35">
        <v>46008.904786296298</v>
      </c>
      <c r="B670" s="22" t="s">
        <v>1162</v>
      </c>
      <c r="C670" s="22" t="s">
        <v>489</v>
      </c>
      <c r="D670" s="22" t="s">
        <v>500</v>
      </c>
      <c r="E670" s="22" t="s">
        <v>490</v>
      </c>
    </row>
    <row r="671" spans="1:5" x14ac:dyDescent="0.25">
      <c r="A671" s="35">
        <v>46008.904787997686</v>
      </c>
      <c r="B671" s="22" t="s">
        <v>1163</v>
      </c>
      <c r="C671" s="22" t="s">
        <v>489</v>
      </c>
      <c r="D671" s="22" t="s">
        <v>500</v>
      </c>
      <c r="E671" s="22" t="s">
        <v>490</v>
      </c>
    </row>
    <row r="672" spans="1:5" x14ac:dyDescent="0.25">
      <c r="A672" s="35">
        <v>46008.904789629625</v>
      </c>
      <c r="B672" s="22" t="s">
        <v>1164</v>
      </c>
      <c r="C672" s="22" t="s">
        <v>489</v>
      </c>
      <c r="D672" s="22" t="s">
        <v>468</v>
      </c>
      <c r="E672" s="22" t="s">
        <v>490</v>
      </c>
    </row>
    <row r="673" spans="1:5" x14ac:dyDescent="0.25">
      <c r="A673" s="35">
        <v>46008.904791331021</v>
      </c>
      <c r="B673" s="22" t="s">
        <v>1165</v>
      </c>
      <c r="C673" s="22" t="s">
        <v>489</v>
      </c>
      <c r="D673" s="22" t="s">
        <v>468</v>
      </c>
      <c r="E673" s="22" t="s">
        <v>490</v>
      </c>
    </row>
    <row r="674" spans="1:5" x14ac:dyDescent="0.25">
      <c r="A674" s="35">
        <v>46008.904793020833</v>
      </c>
      <c r="B674" s="22" t="s">
        <v>1166</v>
      </c>
      <c r="C674" s="22" t="s">
        <v>489</v>
      </c>
      <c r="D674" s="22" t="s">
        <v>468</v>
      </c>
      <c r="E674" s="22" t="s">
        <v>490</v>
      </c>
    </row>
    <row r="675" spans="1:5" x14ac:dyDescent="0.25">
      <c r="A675" s="35">
        <v>46008.904794722221</v>
      </c>
      <c r="B675" s="22" t="s">
        <v>1167</v>
      </c>
      <c r="C675" s="22" t="s">
        <v>489</v>
      </c>
      <c r="D675" s="22" t="s">
        <v>500</v>
      </c>
      <c r="E675" s="22" t="s">
        <v>490</v>
      </c>
    </row>
    <row r="676" spans="1:5" x14ac:dyDescent="0.25">
      <c r="A676" s="35">
        <v>46008.904796261573</v>
      </c>
      <c r="B676" s="22" t="s">
        <v>1168</v>
      </c>
      <c r="C676" s="22" t="s">
        <v>489</v>
      </c>
      <c r="D676" s="22" t="s">
        <v>469</v>
      </c>
      <c r="E676" s="22" t="s">
        <v>490</v>
      </c>
    </row>
    <row r="677" spans="1:5" x14ac:dyDescent="0.25">
      <c r="A677" s="35">
        <v>46008.904799641205</v>
      </c>
      <c r="B677" s="22" t="s">
        <v>1169</v>
      </c>
      <c r="C677" s="22" t="s">
        <v>482</v>
      </c>
      <c r="D677" s="22" t="s">
        <v>449</v>
      </c>
      <c r="E677" s="22" t="s">
        <v>490</v>
      </c>
    </row>
    <row r="678" spans="1:5" x14ac:dyDescent="0.25">
      <c r="A678" s="35">
        <v>46008.904801273151</v>
      </c>
      <c r="B678" s="22" t="s">
        <v>1170</v>
      </c>
      <c r="C678" s="22" t="s">
        <v>489</v>
      </c>
      <c r="D678" s="22" t="s">
        <v>468</v>
      </c>
      <c r="E678" s="22" t="s">
        <v>490</v>
      </c>
    </row>
    <row r="679" spans="1:5" x14ac:dyDescent="0.25">
      <c r="A679" s="35">
        <v>46008.904802951394</v>
      </c>
      <c r="B679" s="22" t="s">
        <v>1171</v>
      </c>
      <c r="C679" s="22" t="s">
        <v>489</v>
      </c>
      <c r="D679" s="22" t="s">
        <v>500</v>
      </c>
      <c r="E679" s="22" t="s">
        <v>490</v>
      </c>
    </row>
    <row r="680" spans="1:5" x14ac:dyDescent="0.25">
      <c r="A680" s="35">
        <v>46008.904804641206</v>
      </c>
      <c r="B680" s="22" t="s">
        <v>1172</v>
      </c>
      <c r="C680" s="22" t="s">
        <v>489</v>
      </c>
      <c r="D680" s="22" t="s">
        <v>468</v>
      </c>
      <c r="E680" s="22" t="s">
        <v>490</v>
      </c>
    </row>
    <row r="681" spans="1:5" x14ac:dyDescent="0.25">
      <c r="A681" s="35">
        <v>46008.904806006947</v>
      </c>
      <c r="B681" s="22" t="s">
        <v>1173</v>
      </c>
      <c r="C681" s="22" t="s">
        <v>489</v>
      </c>
      <c r="D681" s="22" t="s">
        <v>500</v>
      </c>
      <c r="E681" s="22" t="s">
        <v>490</v>
      </c>
    </row>
    <row r="682" spans="1:5" x14ac:dyDescent="0.25">
      <c r="A682" s="35">
        <v>46008.904808113424</v>
      </c>
      <c r="B682" s="22" t="s">
        <v>1174</v>
      </c>
      <c r="C682" s="22" t="s">
        <v>489</v>
      </c>
      <c r="D682" s="22" t="s">
        <v>468</v>
      </c>
      <c r="E682" s="22" t="s">
        <v>490</v>
      </c>
    </row>
    <row r="683" spans="1:5" x14ac:dyDescent="0.25">
      <c r="A683" s="35">
        <v>46008.904809733795</v>
      </c>
      <c r="B683" s="22" t="s">
        <v>1175</v>
      </c>
      <c r="C683" s="22" t="s">
        <v>482</v>
      </c>
      <c r="D683" s="22" t="s">
        <v>449</v>
      </c>
      <c r="E683" s="22" t="s">
        <v>490</v>
      </c>
    </row>
    <row r="684" spans="1:5" x14ac:dyDescent="0.25">
      <c r="A684" s="35">
        <v>46008.904812581022</v>
      </c>
      <c r="B684" s="22" t="s">
        <v>1176</v>
      </c>
      <c r="C684" s="22" t="s">
        <v>489</v>
      </c>
      <c r="D684" s="22" t="s">
        <v>468</v>
      </c>
      <c r="E684" s="22" t="s">
        <v>490</v>
      </c>
    </row>
    <row r="685" spans="1:5" x14ac:dyDescent="0.25">
      <c r="A685" s="35">
        <v>46008.904815069443</v>
      </c>
      <c r="B685" s="22" t="s">
        <v>1177</v>
      </c>
      <c r="C685" s="22" t="s">
        <v>489</v>
      </c>
      <c r="D685" s="22" t="s">
        <v>500</v>
      </c>
      <c r="E685" s="22" t="s">
        <v>490</v>
      </c>
    </row>
    <row r="686" spans="1:5" x14ac:dyDescent="0.25">
      <c r="A686" s="35">
        <v>46008.904817905088</v>
      </c>
      <c r="B686" s="22" t="s">
        <v>1178</v>
      </c>
      <c r="C686" s="22" t="s">
        <v>489</v>
      </c>
      <c r="D686" s="22" t="s">
        <v>500</v>
      </c>
      <c r="E686" s="22" t="s">
        <v>490</v>
      </c>
    </row>
    <row r="687" spans="1:5" x14ac:dyDescent="0.25">
      <c r="A687" s="35">
        <v>46008.90482030093</v>
      </c>
      <c r="B687" s="22" t="s">
        <v>1179</v>
      </c>
      <c r="C687" s="22" t="s">
        <v>489</v>
      </c>
      <c r="D687" s="22" t="s">
        <v>469</v>
      </c>
      <c r="E687" s="22" t="s">
        <v>490</v>
      </c>
    </row>
    <row r="688" spans="1:5" x14ac:dyDescent="0.25">
      <c r="A688" s="35">
        <v>46008.904827557868</v>
      </c>
      <c r="B688" s="22" t="s">
        <v>1180</v>
      </c>
      <c r="C688" s="22" t="s">
        <v>482</v>
      </c>
      <c r="D688" s="22" t="s">
        <v>449</v>
      </c>
      <c r="E688" s="22" t="s">
        <v>490</v>
      </c>
    </row>
    <row r="689" spans="1:5" x14ac:dyDescent="0.25">
      <c r="A689" s="35">
        <v>46008.904830219908</v>
      </c>
      <c r="B689" s="22" t="s">
        <v>1181</v>
      </c>
      <c r="C689" s="22" t="s">
        <v>482</v>
      </c>
      <c r="D689" s="22" t="s">
        <v>516</v>
      </c>
      <c r="E689" s="22" t="s">
        <v>490</v>
      </c>
    </row>
    <row r="690" spans="1:5" x14ac:dyDescent="0.25">
      <c r="A690" s="35">
        <v>46008.90483756944</v>
      </c>
      <c r="B690" s="22" t="s">
        <v>1182</v>
      </c>
      <c r="C690" s="22" t="s">
        <v>489</v>
      </c>
      <c r="D690" s="22" t="s">
        <v>469</v>
      </c>
      <c r="E690" s="22" t="s">
        <v>490</v>
      </c>
    </row>
    <row r="691" spans="1:5" x14ac:dyDescent="0.25">
      <c r="A691" s="35">
        <v>46008.904840532407</v>
      </c>
      <c r="B691" s="22" t="s">
        <v>1183</v>
      </c>
      <c r="C691" s="22" t="s">
        <v>489</v>
      </c>
      <c r="D691" s="22" t="s">
        <v>492</v>
      </c>
      <c r="E691" s="22" t="s">
        <v>490</v>
      </c>
    </row>
    <row r="692" spans="1:5" x14ac:dyDescent="0.25">
      <c r="A692" s="35">
        <v>46008.904846412042</v>
      </c>
      <c r="B692" s="22" t="s">
        <v>1184</v>
      </c>
      <c r="C692" s="22" t="s">
        <v>489</v>
      </c>
      <c r="D692" s="22" t="s">
        <v>468</v>
      </c>
      <c r="E692" s="22" t="s">
        <v>490</v>
      </c>
    </row>
    <row r="693" spans="1:5" x14ac:dyDescent="0.25">
      <c r="A693" s="35">
        <v>46008.904850891202</v>
      </c>
      <c r="B693" s="22" t="s">
        <v>1185</v>
      </c>
      <c r="C693" s="22" t="s">
        <v>482</v>
      </c>
      <c r="D693" s="22" t="s">
        <v>449</v>
      </c>
      <c r="E693" s="22" t="s">
        <v>490</v>
      </c>
    </row>
    <row r="694" spans="1:5" x14ac:dyDescent="0.25">
      <c r="A694" s="35">
        <v>46008.90485475694</v>
      </c>
      <c r="B694" s="22" t="s">
        <v>1186</v>
      </c>
      <c r="C694" s="22" t="s">
        <v>489</v>
      </c>
      <c r="D694" s="22" t="s">
        <v>468</v>
      </c>
      <c r="E694" s="22" t="s">
        <v>490</v>
      </c>
    </row>
    <row r="695" spans="1:5" x14ac:dyDescent="0.25">
      <c r="A695" s="35">
        <v>46008.904857361107</v>
      </c>
      <c r="B695" s="22" t="s">
        <v>1187</v>
      </c>
      <c r="C695" s="22" t="s">
        <v>482</v>
      </c>
      <c r="D695" s="22" t="s">
        <v>449</v>
      </c>
      <c r="E695" s="22" t="s">
        <v>490</v>
      </c>
    </row>
    <row r="696" spans="1:5" x14ac:dyDescent="0.25">
      <c r="A696" s="35">
        <v>46008.904859224538</v>
      </c>
      <c r="B696" s="22" t="s">
        <v>1188</v>
      </c>
      <c r="C696" s="22" t="s">
        <v>489</v>
      </c>
      <c r="D696" s="22" t="s">
        <v>468</v>
      </c>
      <c r="E696" s="22" t="s">
        <v>490</v>
      </c>
    </row>
    <row r="697" spans="1:5" x14ac:dyDescent="0.25">
      <c r="A697" s="35">
        <v>46008.904866689816</v>
      </c>
      <c r="B697" s="22" t="s">
        <v>1189</v>
      </c>
      <c r="C697" s="22" t="s">
        <v>489</v>
      </c>
      <c r="D697" s="22" t="s">
        <v>500</v>
      </c>
      <c r="E697" s="22" t="s">
        <v>490</v>
      </c>
    </row>
    <row r="698" spans="1:5" x14ac:dyDescent="0.25">
      <c r="A698" s="35">
        <v>46008.904868842597</v>
      </c>
      <c r="B698" s="22" t="s">
        <v>1190</v>
      </c>
      <c r="C698" s="22" t="s">
        <v>489</v>
      </c>
      <c r="D698" s="22" t="s">
        <v>468</v>
      </c>
      <c r="E698" s="22" t="s">
        <v>490</v>
      </c>
    </row>
    <row r="699" spans="1:5" x14ac:dyDescent="0.25">
      <c r="A699" s="35">
        <v>46008.904871631945</v>
      </c>
      <c r="B699" s="22" t="s">
        <v>1191</v>
      </c>
      <c r="C699" s="22" t="s">
        <v>489</v>
      </c>
      <c r="D699" s="22" t="s">
        <v>500</v>
      </c>
      <c r="E699" s="22" t="s">
        <v>490</v>
      </c>
    </row>
    <row r="700" spans="1:5" x14ac:dyDescent="0.25">
      <c r="A700" s="35">
        <v>46008.904874328698</v>
      </c>
      <c r="B700" s="22" t="s">
        <v>1192</v>
      </c>
      <c r="C700" s="22" t="s">
        <v>489</v>
      </c>
      <c r="D700" s="22" t="s">
        <v>500</v>
      </c>
      <c r="E700" s="22" t="s">
        <v>490</v>
      </c>
    </row>
    <row r="701" spans="1:5" x14ac:dyDescent="0.25">
      <c r="A701" s="35">
        <v>46008.904877546302</v>
      </c>
      <c r="B701" s="22" t="s">
        <v>1193</v>
      </c>
      <c r="C701" s="22" t="s">
        <v>489</v>
      </c>
      <c r="D701" s="22" t="s">
        <v>500</v>
      </c>
      <c r="E701" s="22" t="s">
        <v>490</v>
      </c>
    </row>
    <row r="702" spans="1:5" x14ac:dyDescent="0.25">
      <c r="A702" s="35">
        <v>46008.90488696759</v>
      </c>
      <c r="B702" s="22" t="s">
        <v>1194</v>
      </c>
      <c r="C702" s="22" t="s">
        <v>489</v>
      </c>
      <c r="D702" s="22" t="s">
        <v>468</v>
      </c>
      <c r="E702" s="22" t="s">
        <v>490</v>
      </c>
    </row>
    <row r="703" spans="1:5" x14ac:dyDescent="0.25">
      <c r="A703" s="35">
        <v>46008.904888564815</v>
      </c>
      <c r="B703" s="22" t="s">
        <v>1195</v>
      </c>
      <c r="C703" s="22" t="s">
        <v>489</v>
      </c>
      <c r="D703" s="22" t="s">
        <v>468</v>
      </c>
      <c r="E703" s="22" t="s">
        <v>490</v>
      </c>
    </row>
    <row r="704" spans="1:5" x14ac:dyDescent="0.25">
      <c r="A704" s="35">
        <v>46008.904895902779</v>
      </c>
      <c r="B704" s="22" t="s">
        <v>1196</v>
      </c>
      <c r="C704" s="22" t="s">
        <v>489</v>
      </c>
      <c r="D704" s="22" t="s">
        <v>500</v>
      </c>
      <c r="E704" s="22" t="s">
        <v>490</v>
      </c>
    </row>
    <row r="705" spans="1:5" x14ac:dyDescent="0.25">
      <c r="A705" s="35">
        <v>46008.904897442131</v>
      </c>
      <c r="B705" s="22" t="s">
        <v>1197</v>
      </c>
      <c r="C705" s="22" t="s">
        <v>489</v>
      </c>
      <c r="D705" s="22" t="s">
        <v>468</v>
      </c>
      <c r="E705" s="22" t="s">
        <v>490</v>
      </c>
    </row>
    <row r="706" spans="1:5" x14ac:dyDescent="0.25">
      <c r="A706" s="35">
        <v>46008.904899212968</v>
      </c>
      <c r="B706" s="22" t="s">
        <v>1198</v>
      </c>
      <c r="C706" s="22" t="s">
        <v>489</v>
      </c>
      <c r="D706" s="22" t="s">
        <v>468</v>
      </c>
      <c r="E706" s="22" t="s">
        <v>490</v>
      </c>
    </row>
    <row r="707" spans="1:5" x14ac:dyDescent="0.25">
      <c r="A707" s="35">
        <v>46008.904900995374</v>
      </c>
      <c r="B707" s="22" t="s">
        <v>1199</v>
      </c>
      <c r="C707" s="22" t="s">
        <v>489</v>
      </c>
      <c r="D707" s="22" t="s">
        <v>468</v>
      </c>
      <c r="E707" s="22" t="s">
        <v>490</v>
      </c>
    </row>
    <row r="708" spans="1:5" x14ac:dyDescent="0.25">
      <c r="A708" s="35">
        <v>46008.904902638889</v>
      </c>
      <c r="B708" s="22" t="s">
        <v>1200</v>
      </c>
      <c r="C708" s="22" t="s">
        <v>489</v>
      </c>
      <c r="D708" s="22" t="s">
        <v>500</v>
      </c>
      <c r="E708" s="22" t="s">
        <v>490</v>
      </c>
    </row>
    <row r="709" spans="1:5" x14ac:dyDescent="0.25">
      <c r="A709" s="35">
        <v>46008.904904131945</v>
      </c>
      <c r="B709" s="22" t="s">
        <v>1201</v>
      </c>
      <c r="C709" s="22" t="s">
        <v>489</v>
      </c>
      <c r="D709" s="22" t="s">
        <v>500</v>
      </c>
      <c r="E709" s="22" t="s">
        <v>490</v>
      </c>
    </row>
    <row r="710" spans="1:5" x14ac:dyDescent="0.25">
      <c r="A710" s="35">
        <v>46008.904905856485</v>
      </c>
      <c r="B710" s="22" t="s">
        <v>1202</v>
      </c>
      <c r="C710" s="22" t="s">
        <v>489</v>
      </c>
      <c r="D710" s="22" t="s">
        <v>468</v>
      </c>
      <c r="E710" s="22" t="s">
        <v>490</v>
      </c>
    </row>
    <row r="711" spans="1:5" x14ac:dyDescent="0.25">
      <c r="A711" s="35">
        <v>46008.904907662036</v>
      </c>
      <c r="B711" s="22" t="s">
        <v>1203</v>
      </c>
      <c r="C711" s="22" t="s">
        <v>489</v>
      </c>
      <c r="D711" s="22" t="s">
        <v>468</v>
      </c>
      <c r="E711" s="22" t="s">
        <v>490</v>
      </c>
    </row>
    <row r="712" spans="1:5" x14ac:dyDescent="0.25">
      <c r="A712" s="35">
        <v>46008.904909340279</v>
      </c>
      <c r="B712" s="22" t="s">
        <v>1204</v>
      </c>
      <c r="C712" s="22" t="s">
        <v>482</v>
      </c>
      <c r="D712" s="22" t="s">
        <v>449</v>
      </c>
      <c r="E712" s="22" t="s">
        <v>490</v>
      </c>
    </row>
    <row r="713" spans="1:5" x14ac:dyDescent="0.25">
      <c r="A713" s="35">
        <v>46008.904910844911</v>
      </c>
      <c r="B713" s="22" t="s">
        <v>1205</v>
      </c>
      <c r="C713" s="22" t="s">
        <v>489</v>
      </c>
      <c r="D713" s="22" t="s">
        <v>492</v>
      </c>
      <c r="E713" s="22" t="s">
        <v>490</v>
      </c>
    </row>
    <row r="714" spans="1:5" x14ac:dyDescent="0.25">
      <c r="A714" s="35">
        <v>46008.904912662038</v>
      </c>
      <c r="B714" s="22" t="s">
        <v>1206</v>
      </c>
      <c r="C714" s="22" t="s">
        <v>482</v>
      </c>
      <c r="D714" s="22" t="s">
        <v>449</v>
      </c>
      <c r="E714" s="22" t="s">
        <v>490</v>
      </c>
    </row>
    <row r="715" spans="1:5" x14ac:dyDescent="0.25">
      <c r="A715" s="35">
        <v>46008.90491438657</v>
      </c>
      <c r="B715" s="22" t="s">
        <v>1207</v>
      </c>
      <c r="C715" s="22" t="s">
        <v>482</v>
      </c>
      <c r="D715" s="22" t="s">
        <v>449</v>
      </c>
      <c r="E715" s="22" t="s">
        <v>490</v>
      </c>
    </row>
    <row r="716" spans="1:5" x14ac:dyDescent="0.25">
      <c r="A716" s="35">
        <v>46008.904915983796</v>
      </c>
      <c r="B716" s="22" t="s">
        <v>1208</v>
      </c>
      <c r="C716" s="22" t="s">
        <v>489</v>
      </c>
      <c r="D716" s="22" t="s">
        <v>468</v>
      </c>
      <c r="E716" s="22" t="s">
        <v>490</v>
      </c>
    </row>
    <row r="717" spans="1:5" x14ac:dyDescent="0.25">
      <c r="A717" s="35">
        <v>46008.904927939817</v>
      </c>
      <c r="B717" s="22" t="s">
        <v>1209</v>
      </c>
      <c r="C717" s="22" t="s">
        <v>489</v>
      </c>
      <c r="D717" s="22" t="s">
        <v>500</v>
      </c>
      <c r="E717" s="22" t="s">
        <v>490</v>
      </c>
    </row>
    <row r="718" spans="1:5" x14ac:dyDescent="0.25">
      <c r="A718" s="35">
        <v>46008.904929490745</v>
      </c>
      <c r="B718" s="22" t="s">
        <v>1210</v>
      </c>
      <c r="C718" s="22" t="s">
        <v>489</v>
      </c>
      <c r="D718" s="22" t="s">
        <v>468</v>
      </c>
      <c r="E718" s="22" t="s">
        <v>490</v>
      </c>
    </row>
    <row r="719" spans="1:5" x14ac:dyDescent="0.25">
      <c r="A719" s="35">
        <v>46008.904937430554</v>
      </c>
      <c r="B719" s="22" t="s">
        <v>1211</v>
      </c>
      <c r="C719" s="22" t="s">
        <v>489</v>
      </c>
      <c r="D719" s="22" t="s">
        <v>469</v>
      </c>
      <c r="E719" s="22" t="s">
        <v>490</v>
      </c>
    </row>
    <row r="720" spans="1:5" x14ac:dyDescent="0.25">
      <c r="A720" s="35">
        <v>46008.904939097221</v>
      </c>
      <c r="B720" s="22" t="s">
        <v>1212</v>
      </c>
      <c r="C720" s="22" t="s">
        <v>489</v>
      </c>
      <c r="D720" s="22" t="s">
        <v>468</v>
      </c>
      <c r="E720" s="22" t="s">
        <v>490</v>
      </c>
    </row>
    <row r="721" spans="1:5" x14ac:dyDescent="0.25">
      <c r="A721" s="35">
        <v>46008.904940752313</v>
      </c>
      <c r="B721" s="22" t="s">
        <v>1213</v>
      </c>
      <c r="C721" s="22" t="s">
        <v>489</v>
      </c>
      <c r="D721" s="22" t="s">
        <v>468</v>
      </c>
      <c r="E721" s="22" t="s">
        <v>490</v>
      </c>
    </row>
    <row r="722" spans="1:5" x14ac:dyDescent="0.25">
      <c r="A722" s="35">
        <v>46008.904942361114</v>
      </c>
      <c r="B722" s="22" t="s">
        <v>1214</v>
      </c>
      <c r="C722" s="22" t="s">
        <v>489</v>
      </c>
      <c r="D722" s="22" t="s">
        <v>469</v>
      </c>
      <c r="E722" s="22" t="s">
        <v>490</v>
      </c>
    </row>
    <row r="723" spans="1:5" x14ac:dyDescent="0.25">
      <c r="A723" s="35">
        <v>46008.904943958332</v>
      </c>
      <c r="B723" s="22" t="s">
        <v>1215</v>
      </c>
      <c r="C723" s="22" t="s">
        <v>489</v>
      </c>
      <c r="D723" s="22" t="s">
        <v>468</v>
      </c>
      <c r="E723" s="22" t="s">
        <v>490</v>
      </c>
    </row>
    <row r="724" spans="1:5" x14ac:dyDescent="0.25">
      <c r="A724" s="35">
        <v>46008.904946226852</v>
      </c>
      <c r="B724" s="22" t="s">
        <v>1216</v>
      </c>
      <c r="C724" s="22" t="s">
        <v>482</v>
      </c>
      <c r="D724" s="22" t="s">
        <v>449</v>
      </c>
      <c r="E724" s="22" t="s">
        <v>490</v>
      </c>
    </row>
    <row r="725" spans="1:5" x14ac:dyDescent="0.25">
      <c r="A725" s="35">
        <v>46008.904947766205</v>
      </c>
      <c r="B725" s="22" t="s">
        <v>1217</v>
      </c>
      <c r="C725" s="22" t="s">
        <v>489</v>
      </c>
      <c r="D725" s="22" t="s">
        <v>500</v>
      </c>
      <c r="E725" s="22" t="s">
        <v>490</v>
      </c>
    </row>
    <row r="726" spans="1:5" x14ac:dyDescent="0.25">
      <c r="A726" s="35">
        <v>46008.904949398144</v>
      </c>
      <c r="B726" s="22" t="s">
        <v>1218</v>
      </c>
      <c r="C726" s="22" t="s">
        <v>482</v>
      </c>
      <c r="D726" s="22" t="s">
        <v>516</v>
      </c>
      <c r="E726" s="22" t="s">
        <v>490</v>
      </c>
    </row>
    <row r="727" spans="1:5" x14ac:dyDescent="0.25">
      <c r="A727" s="35">
        <v>46008.904951122684</v>
      </c>
      <c r="B727" s="22" t="s">
        <v>1219</v>
      </c>
      <c r="C727" s="22" t="s">
        <v>482</v>
      </c>
      <c r="D727" s="22" t="s">
        <v>516</v>
      </c>
      <c r="E727" s="22" t="s">
        <v>490</v>
      </c>
    </row>
    <row r="728" spans="1:5" x14ac:dyDescent="0.25">
      <c r="A728" s="35">
        <v>46008.904952777782</v>
      </c>
      <c r="B728" s="22" t="s">
        <v>1220</v>
      </c>
      <c r="C728" s="22" t="s">
        <v>489</v>
      </c>
      <c r="D728" s="22" t="s">
        <v>500</v>
      </c>
      <c r="E728" s="22" t="s">
        <v>490</v>
      </c>
    </row>
    <row r="729" spans="1:5" x14ac:dyDescent="0.25">
      <c r="A729" s="35">
        <v>46008.904954444442</v>
      </c>
      <c r="B729" s="22" t="s">
        <v>1221</v>
      </c>
      <c r="C729" s="22" t="s">
        <v>489</v>
      </c>
      <c r="D729" s="22" t="s">
        <v>500</v>
      </c>
      <c r="E729" s="22" t="s">
        <v>490</v>
      </c>
    </row>
    <row r="730" spans="1:5" x14ac:dyDescent="0.25">
      <c r="A730" s="35">
        <v>46008.904956157407</v>
      </c>
      <c r="B730" s="22" t="s">
        <v>1222</v>
      </c>
      <c r="C730" s="22" t="s">
        <v>489</v>
      </c>
      <c r="D730" s="22" t="s">
        <v>468</v>
      </c>
      <c r="E730" s="22" t="s">
        <v>490</v>
      </c>
    </row>
    <row r="731" spans="1:5" x14ac:dyDescent="0.25">
      <c r="A731" s="35">
        <v>46008.904959826388</v>
      </c>
      <c r="B731" s="22" t="s">
        <v>1223</v>
      </c>
      <c r="C731" s="22" t="s">
        <v>489</v>
      </c>
      <c r="D731" s="22" t="s">
        <v>468</v>
      </c>
      <c r="E731" s="22" t="s">
        <v>490</v>
      </c>
    </row>
    <row r="732" spans="1:5" x14ac:dyDescent="0.25">
      <c r="A732" s="35">
        <v>46008.904961261578</v>
      </c>
      <c r="B732" s="22" t="s">
        <v>1224</v>
      </c>
      <c r="C732" s="22" t="s">
        <v>489</v>
      </c>
      <c r="D732" s="22" t="s">
        <v>468</v>
      </c>
      <c r="E732" s="22" t="s">
        <v>490</v>
      </c>
    </row>
    <row r="733" spans="1:5" x14ac:dyDescent="0.25">
      <c r="A733" s="35">
        <v>46008.904962754634</v>
      </c>
      <c r="B733" s="22" t="s">
        <v>1225</v>
      </c>
      <c r="C733" s="22" t="s">
        <v>489</v>
      </c>
      <c r="D733" s="22" t="s">
        <v>468</v>
      </c>
      <c r="E733" s="22" t="s">
        <v>490</v>
      </c>
    </row>
    <row r="734" spans="1:5" x14ac:dyDescent="0.25">
      <c r="A734" s="35">
        <v>46008.904965243055</v>
      </c>
      <c r="B734" s="22" t="s">
        <v>1226</v>
      </c>
      <c r="C734" s="22" t="s">
        <v>489</v>
      </c>
      <c r="D734" s="22" t="s">
        <v>500</v>
      </c>
      <c r="E734" s="22" t="s">
        <v>490</v>
      </c>
    </row>
    <row r="735" spans="1:5" x14ac:dyDescent="0.25">
      <c r="A735" s="35">
        <v>46008.904966759263</v>
      </c>
      <c r="B735" s="22" t="s">
        <v>1227</v>
      </c>
      <c r="C735" s="22" t="s">
        <v>489</v>
      </c>
      <c r="D735" s="22" t="s">
        <v>500</v>
      </c>
      <c r="E735" s="22" t="s">
        <v>490</v>
      </c>
    </row>
    <row r="736" spans="1:5" x14ac:dyDescent="0.25">
      <c r="A736" s="35">
        <v>46008.904968344912</v>
      </c>
      <c r="B736" s="22" t="s">
        <v>1228</v>
      </c>
      <c r="C736" s="22" t="s">
        <v>489</v>
      </c>
      <c r="D736" s="22" t="s">
        <v>468</v>
      </c>
      <c r="E736" s="22" t="s">
        <v>490</v>
      </c>
    </row>
    <row r="737" spans="1:5" x14ac:dyDescent="0.25">
      <c r="A737" s="35">
        <v>46008.904970115742</v>
      </c>
      <c r="B737" s="22" t="s">
        <v>1229</v>
      </c>
      <c r="C737" s="22" t="s">
        <v>489</v>
      </c>
      <c r="D737" s="22" t="s">
        <v>468</v>
      </c>
      <c r="E737" s="22" t="s">
        <v>490</v>
      </c>
    </row>
    <row r="738" spans="1:5" x14ac:dyDescent="0.25">
      <c r="A738" s="35">
        <v>46008.904983009255</v>
      </c>
      <c r="B738" s="22" t="s">
        <v>1230</v>
      </c>
      <c r="C738" s="22" t="s">
        <v>489</v>
      </c>
      <c r="D738" s="22" t="s">
        <v>500</v>
      </c>
      <c r="E738" s="22" t="s">
        <v>490</v>
      </c>
    </row>
    <row r="739" spans="1:5" x14ac:dyDescent="0.25">
      <c r="A739" s="35">
        <v>46008.904984629626</v>
      </c>
      <c r="B739" s="22" t="s">
        <v>1231</v>
      </c>
      <c r="C739" s="22" t="s">
        <v>489</v>
      </c>
      <c r="D739" s="22" t="s">
        <v>500</v>
      </c>
      <c r="E739" s="22" t="s">
        <v>490</v>
      </c>
    </row>
    <row r="740" spans="1:5" x14ac:dyDescent="0.25">
      <c r="A740" s="35">
        <v>46008.904986319445</v>
      </c>
      <c r="B740" s="22" t="s">
        <v>1232</v>
      </c>
      <c r="C740" s="22" t="s">
        <v>489</v>
      </c>
      <c r="D740" s="22" t="s">
        <v>468</v>
      </c>
      <c r="E740" s="22" t="s">
        <v>490</v>
      </c>
    </row>
    <row r="741" spans="1:5" x14ac:dyDescent="0.25">
      <c r="A741" s="35">
        <v>46008.905002800922</v>
      </c>
      <c r="B741" s="22" t="s">
        <v>1233</v>
      </c>
      <c r="C741" s="22" t="s">
        <v>489</v>
      </c>
      <c r="D741" s="22" t="s">
        <v>468</v>
      </c>
      <c r="E741" s="22" t="s">
        <v>490</v>
      </c>
    </row>
    <row r="742" spans="1:5" x14ac:dyDescent="0.25">
      <c r="A742" s="35">
        <v>46008.905004259257</v>
      </c>
      <c r="B742" s="22" t="s">
        <v>1234</v>
      </c>
      <c r="C742" s="22" t="s">
        <v>489</v>
      </c>
      <c r="D742" s="22" t="s">
        <v>468</v>
      </c>
      <c r="E742" s="22" t="s">
        <v>490</v>
      </c>
    </row>
    <row r="743" spans="1:5" x14ac:dyDescent="0.25">
      <c r="A743" s="35">
        <v>46008.905005787034</v>
      </c>
      <c r="B743" s="22" t="s">
        <v>1235</v>
      </c>
      <c r="C743" s="22" t="s">
        <v>489</v>
      </c>
      <c r="D743" s="22" t="s">
        <v>469</v>
      </c>
      <c r="E743" s="22" t="s">
        <v>490</v>
      </c>
    </row>
    <row r="744" spans="1:5" x14ac:dyDescent="0.25">
      <c r="A744" s="35">
        <v>46008.90500726852</v>
      </c>
      <c r="B744" s="22" t="s">
        <v>1236</v>
      </c>
      <c r="C744" s="22" t="s">
        <v>489</v>
      </c>
      <c r="D744" s="22" t="s">
        <v>500</v>
      </c>
      <c r="E744" s="22" t="s">
        <v>490</v>
      </c>
    </row>
    <row r="745" spans="1:5" x14ac:dyDescent="0.25">
      <c r="A745" s="35">
        <v>46008.905008796297</v>
      </c>
      <c r="B745" s="22" t="s">
        <v>1237</v>
      </c>
      <c r="C745" s="22" t="s">
        <v>489</v>
      </c>
      <c r="D745" s="22" t="s">
        <v>500</v>
      </c>
      <c r="E745" s="22" t="s">
        <v>490</v>
      </c>
    </row>
    <row r="746" spans="1:5" x14ac:dyDescent="0.25">
      <c r="A746" s="35">
        <v>46008.905010289353</v>
      </c>
      <c r="B746" s="22" t="s">
        <v>1238</v>
      </c>
      <c r="C746" s="22" t="s">
        <v>489</v>
      </c>
      <c r="D746" s="22" t="s">
        <v>500</v>
      </c>
      <c r="E746" s="22" t="s">
        <v>490</v>
      </c>
    </row>
    <row r="747" spans="1:5" x14ac:dyDescent="0.25">
      <c r="A747" s="35">
        <v>46008.905012164352</v>
      </c>
      <c r="B747" s="22" t="s">
        <v>1239</v>
      </c>
      <c r="C747" s="22" t="s">
        <v>489</v>
      </c>
      <c r="D747" s="22" t="s">
        <v>468</v>
      </c>
      <c r="E747" s="22" t="s">
        <v>490</v>
      </c>
    </row>
    <row r="748" spans="1:5" x14ac:dyDescent="0.25">
      <c r="A748" s="35">
        <v>46008.90501372685</v>
      </c>
      <c r="B748" s="22" t="s">
        <v>1240</v>
      </c>
      <c r="C748" s="22" t="s">
        <v>489</v>
      </c>
      <c r="D748" s="22" t="s">
        <v>469</v>
      </c>
      <c r="E748" s="22" t="s">
        <v>490</v>
      </c>
    </row>
    <row r="749" spans="1:5" x14ac:dyDescent="0.25">
      <c r="A749" s="35">
        <v>46008.905015254626</v>
      </c>
      <c r="B749" s="22" t="s">
        <v>1241</v>
      </c>
      <c r="C749" s="22" t="s">
        <v>489</v>
      </c>
      <c r="D749" s="22" t="s">
        <v>500</v>
      </c>
      <c r="E749" s="22" t="s">
        <v>490</v>
      </c>
    </row>
    <row r="750" spans="1:5" x14ac:dyDescent="0.25">
      <c r="A750" s="35">
        <v>46008.905016782403</v>
      </c>
      <c r="B750" s="22" t="s">
        <v>1242</v>
      </c>
      <c r="C750" s="22" t="s">
        <v>489</v>
      </c>
      <c r="D750" s="22" t="s">
        <v>500</v>
      </c>
      <c r="E750" s="22" t="s">
        <v>490</v>
      </c>
    </row>
    <row r="751" spans="1:5" x14ac:dyDescent="0.25">
      <c r="A751" s="35">
        <v>46008.90501923611</v>
      </c>
      <c r="B751" s="22" t="s">
        <v>1243</v>
      </c>
      <c r="C751" s="22" t="s">
        <v>489</v>
      </c>
      <c r="D751" s="22" t="s">
        <v>468</v>
      </c>
      <c r="E751" s="22" t="s">
        <v>490</v>
      </c>
    </row>
    <row r="752" spans="1:5" x14ac:dyDescent="0.25">
      <c r="A752" s="35">
        <v>46008.905023310188</v>
      </c>
      <c r="B752" s="22" t="s">
        <v>1244</v>
      </c>
      <c r="C752" s="22" t="s">
        <v>489</v>
      </c>
      <c r="D752" s="22" t="s">
        <v>468</v>
      </c>
      <c r="E752" s="22" t="s">
        <v>490</v>
      </c>
    </row>
    <row r="753" spans="1:5" x14ac:dyDescent="0.25">
      <c r="A753" s="35">
        <v>46008.905025081018</v>
      </c>
      <c r="B753" s="22" t="s">
        <v>1245</v>
      </c>
      <c r="C753" s="22" t="s">
        <v>489</v>
      </c>
      <c r="D753" s="22" t="s">
        <v>468</v>
      </c>
      <c r="E753" s="22" t="s">
        <v>490</v>
      </c>
    </row>
    <row r="754" spans="1:5" x14ac:dyDescent="0.25">
      <c r="A754" s="35">
        <v>46008.905039780089</v>
      </c>
      <c r="B754" s="22" t="s">
        <v>1246</v>
      </c>
      <c r="C754" s="22" t="s">
        <v>489</v>
      </c>
      <c r="D754" s="22" t="s">
        <v>468</v>
      </c>
      <c r="E754" s="22" t="s">
        <v>490</v>
      </c>
    </row>
    <row r="755" spans="1:5" x14ac:dyDescent="0.25">
      <c r="A755" s="35">
        <v>46008.905041469909</v>
      </c>
      <c r="B755" s="22" t="s">
        <v>1247</v>
      </c>
      <c r="C755" s="22" t="s">
        <v>489</v>
      </c>
      <c r="D755" s="22" t="s">
        <v>500</v>
      </c>
      <c r="E755" s="22" t="s">
        <v>490</v>
      </c>
    </row>
    <row r="756" spans="1:5" x14ac:dyDescent="0.25">
      <c r="A756" s="35">
        <v>46008.905043333332</v>
      </c>
      <c r="B756" s="22" t="s">
        <v>1248</v>
      </c>
      <c r="C756" s="22" t="s">
        <v>489</v>
      </c>
      <c r="D756" s="22" t="s">
        <v>468</v>
      </c>
      <c r="E756" s="22" t="s">
        <v>490</v>
      </c>
    </row>
    <row r="757" spans="1:5" x14ac:dyDescent="0.25">
      <c r="A757" s="35">
        <v>46008.905045787033</v>
      </c>
      <c r="B757" s="22" t="s">
        <v>1249</v>
      </c>
      <c r="C757" s="22" t="s">
        <v>489</v>
      </c>
      <c r="D757" s="22" t="s">
        <v>468</v>
      </c>
      <c r="E757" s="22" t="s">
        <v>490</v>
      </c>
    </row>
    <row r="758" spans="1:5" x14ac:dyDescent="0.25">
      <c r="A758" s="35">
        <v>46008.905047673616</v>
      </c>
      <c r="B758" s="22" t="s">
        <v>1250</v>
      </c>
      <c r="C758" s="22" t="s">
        <v>489</v>
      </c>
      <c r="D758" s="22" t="s">
        <v>468</v>
      </c>
      <c r="E758" s="22" t="s">
        <v>490</v>
      </c>
    </row>
    <row r="759" spans="1:5" x14ac:dyDescent="0.25">
      <c r="A759" s="35">
        <v>46008.905049652778</v>
      </c>
      <c r="B759" s="22" t="s">
        <v>1251</v>
      </c>
      <c r="C759" s="22" t="s">
        <v>489</v>
      </c>
      <c r="D759" s="22" t="s">
        <v>468</v>
      </c>
      <c r="E759" s="22" t="s">
        <v>490</v>
      </c>
    </row>
    <row r="760" spans="1:5" x14ac:dyDescent="0.25">
      <c r="A760" s="35">
        <v>46008.905051747686</v>
      </c>
      <c r="B760" s="22" t="s">
        <v>1252</v>
      </c>
      <c r="C760" s="22" t="s">
        <v>489</v>
      </c>
      <c r="D760" s="22" t="s">
        <v>468</v>
      </c>
      <c r="E760" s="22" t="s">
        <v>490</v>
      </c>
    </row>
    <row r="761" spans="1:5" x14ac:dyDescent="0.25">
      <c r="A761" s="35">
        <v>46008.90505321759</v>
      </c>
      <c r="B761" s="22" t="s">
        <v>1253</v>
      </c>
      <c r="C761" s="22" t="s">
        <v>489</v>
      </c>
      <c r="D761" s="22" t="s">
        <v>500</v>
      </c>
      <c r="E761" s="22" t="s">
        <v>490</v>
      </c>
    </row>
    <row r="762" spans="1:5" x14ac:dyDescent="0.25">
      <c r="A762" s="35">
        <v>46008.905054699077</v>
      </c>
      <c r="B762" s="22" t="s">
        <v>1254</v>
      </c>
      <c r="C762" s="22" t="s">
        <v>489</v>
      </c>
      <c r="D762" s="22" t="s">
        <v>500</v>
      </c>
      <c r="E762" s="22" t="s">
        <v>490</v>
      </c>
    </row>
    <row r="763" spans="1:5" x14ac:dyDescent="0.25">
      <c r="A763" s="35">
        <v>46008.905056331016</v>
      </c>
      <c r="B763" s="22" t="s">
        <v>1255</v>
      </c>
      <c r="C763" s="22" t="s">
        <v>489</v>
      </c>
      <c r="D763" s="22" t="s">
        <v>468</v>
      </c>
      <c r="E763" s="22" t="s">
        <v>490</v>
      </c>
    </row>
    <row r="764" spans="1:5" x14ac:dyDescent="0.25">
      <c r="A764" s="35">
        <v>46008.905058055556</v>
      </c>
      <c r="B764" s="22" t="s">
        <v>1256</v>
      </c>
      <c r="C764" s="22" t="s">
        <v>489</v>
      </c>
      <c r="D764" s="22" t="s">
        <v>468</v>
      </c>
      <c r="E764" s="22" t="s">
        <v>490</v>
      </c>
    </row>
    <row r="765" spans="1:5" x14ac:dyDescent="0.25">
      <c r="A765" s="35">
        <v>46008.905059641205</v>
      </c>
      <c r="B765" s="22" t="s">
        <v>1257</v>
      </c>
      <c r="C765" s="22" t="s">
        <v>489</v>
      </c>
      <c r="D765" s="22" t="s">
        <v>468</v>
      </c>
      <c r="E765" s="22" t="s">
        <v>490</v>
      </c>
    </row>
    <row r="766" spans="1:5" x14ac:dyDescent="0.25">
      <c r="A766" s="35">
        <v>46008.905069016204</v>
      </c>
      <c r="B766" s="22" t="s">
        <v>1258</v>
      </c>
      <c r="C766" s="22" t="s">
        <v>489</v>
      </c>
      <c r="D766" s="22" t="s">
        <v>500</v>
      </c>
      <c r="E766" s="22" t="s">
        <v>490</v>
      </c>
    </row>
    <row r="767" spans="1:5" x14ac:dyDescent="0.25">
      <c r="A767" s="35">
        <v>46008.905070578709</v>
      </c>
      <c r="B767" s="22" t="s">
        <v>1259</v>
      </c>
      <c r="C767" s="22" t="s">
        <v>489</v>
      </c>
      <c r="D767" s="22" t="s">
        <v>468</v>
      </c>
      <c r="E767" s="22" t="s">
        <v>490</v>
      </c>
    </row>
    <row r="768" spans="1:5" x14ac:dyDescent="0.25">
      <c r="A768" s="35">
        <v>46008.90507231481</v>
      </c>
      <c r="B768" s="22" t="s">
        <v>1260</v>
      </c>
      <c r="C768" s="22" t="s">
        <v>489</v>
      </c>
      <c r="D768" s="22" t="s">
        <v>469</v>
      </c>
      <c r="E768" s="22" t="s">
        <v>490</v>
      </c>
    </row>
    <row r="769" spans="1:5" x14ac:dyDescent="0.25">
      <c r="A769" s="35">
        <v>46008.905073958333</v>
      </c>
      <c r="B769" s="22" t="s">
        <v>1261</v>
      </c>
      <c r="C769" s="22" t="s">
        <v>482</v>
      </c>
      <c r="D769" s="22" t="s">
        <v>449</v>
      </c>
      <c r="E769" s="22" t="s">
        <v>490</v>
      </c>
    </row>
    <row r="770" spans="1:5" x14ac:dyDescent="0.25">
      <c r="A770" s="35">
        <v>46008.905078379627</v>
      </c>
      <c r="B770" s="22" t="s">
        <v>1262</v>
      </c>
      <c r="C770" s="22" t="s">
        <v>489</v>
      </c>
      <c r="D770" s="22" t="s">
        <v>468</v>
      </c>
      <c r="E770" s="22" t="s">
        <v>490</v>
      </c>
    </row>
    <row r="771" spans="1:5" x14ac:dyDescent="0.25">
      <c r="A771" s="35">
        <v>46008.905079942131</v>
      </c>
      <c r="B771" s="22" t="s">
        <v>1263</v>
      </c>
      <c r="C771" s="22" t="s">
        <v>489</v>
      </c>
      <c r="D771" s="22" t="s">
        <v>468</v>
      </c>
      <c r="E771" s="22" t="s">
        <v>490</v>
      </c>
    </row>
    <row r="772" spans="1:5" x14ac:dyDescent="0.25">
      <c r="A772" s="35">
        <v>46008.905081805555</v>
      </c>
      <c r="B772" s="22" t="s">
        <v>1264</v>
      </c>
      <c r="C772" s="22" t="s">
        <v>489</v>
      </c>
      <c r="D772" s="22" t="s">
        <v>500</v>
      </c>
      <c r="E772" s="22" t="s">
        <v>490</v>
      </c>
    </row>
    <row r="773" spans="1:5" x14ac:dyDescent="0.25">
      <c r="A773" s="35">
        <v>46008.905092835645</v>
      </c>
      <c r="B773" s="22" t="s">
        <v>1265</v>
      </c>
      <c r="C773" s="22" t="s">
        <v>489</v>
      </c>
      <c r="D773" s="22" t="s">
        <v>500</v>
      </c>
      <c r="E773" s="22" t="s">
        <v>490</v>
      </c>
    </row>
    <row r="774" spans="1:5" x14ac:dyDescent="0.25">
      <c r="A774" s="35">
        <v>46008.905094641203</v>
      </c>
      <c r="B774" s="22" t="s">
        <v>1266</v>
      </c>
      <c r="C774" s="22" t="s">
        <v>489</v>
      </c>
      <c r="D774" s="22" t="s">
        <v>469</v>
      </c>
      <c r="E774" s="22" t="s">
        <v>490</v>
      </c>
    </row>
    <row r="775" spans="1:5" x14ac:dyDescent="0.25">
      <c r="A775" s="35">
        <v>46008.905096284725</v>
      </c>
      <c r="B775" s="22" t="s">
        <v>1267</v>
      </c>
      <c r="C775" s="22" t="s">
        <v>489</v>
      </c>
      <c r="D775" s="22" t="s">
        <v>500</v>
      </c>
      <c r="E775" s="22" t="s">
        <v>490</v>
      </c>
    </row>
    <row r="776" spans="1:5" x14ac:dyDescent="0.25">
      <c r="A776" s="35">
        <v>46008.905097905095</v>
      </c>
      <c r="B776" s="22" t="s">
        <v>1268</v>
      </c>
      <c r="C776" s="22" t="s">
        <v>489</v>
      </c>
      <c r="D776" s="22" t="s">
        <v>500</v>
      </c>
      <c r="E776" s="22" t="s">
        <v>490</v>
      </c>
    </row>
    <row r="777" spans="1:5" x14ac:dyDescent="0.25">
      <c r="A777" s="35">
        <v>46008.905099756943</v>
      </c>
      <c r="B777" s="22" t="s">
        <v>1269</v>
      </c>
      <c r="C777" s="22" t="s">
        <v>482</v>
      </c>
      <c r="D777" s="22" t="s">
        <v>449</v>
      </c>
      <c r="E777" s="22" t="s">
        <v>490</v>
      </c>
    </row>
    <row r="778" spans="1:5" x14ac:dyDescent="0.25">
      <c r="A778" s="35">
        <v>46008.90510131944</v>
      </c>
      <c r="B778" s="22" t="s">
        <v>1270</v>
      </c>
      <c r="C778" s="22" t="s">
        <v>489</v>
      </c>
      <c r="D778" s="22" t="s">
        <v>468</v>
      </c>
      <c r="E778" s="22" t="s">
        <v>490</v>
      </c>
    </row>
    <row r="779" spans="1:5" x14ac:dyDescent="0.25">
      <c r="A779" s="35">
        <v>46008.905103136574</v>
      </c>
      <c r="B779" s="22" t="s">
        <v>1271</v>
      </c>
      <c r="C779" s="22" t="s">
        <v>489</v>
      </c>
      <c r="D779" s="22" t="s">
        <v>500</v>
      </c>
      <c r="E779" s="22" t="s">
        <v>490</v>
      </c>
    </row>
    <row r="780" spans="1:5" x14ac:dyDescent="0.25">
      <c r="A780" s="35">
        <v>46008.9051047338</v>
      </c>
      <c r="B780" s="22" t="s">
        <v>1272</v>
      </c>
      <c r="C780" s="22" t="s">
        <v>489</v>
      </c>
      <c r="D780" s="22" t="s">
        <v>500</v>
      </c>
      <c r="E780" s="22" t="s">
        <v>490</v>
      </c>
    </row>
    <row r="781" spans="1:5" x14ac:dyDescent="0.25">
      <c r="A781" s="35">
        <v>46008.905106666665</v>
      </c>
      <c r="B781" s="22" t="s">
        <v>1273</v>
      </c>
      <c r="C781" s="22" t="s">
        <v>489</v>
      </c>
      <c r="D781" s="22" t="s">
        <v>469</v>
      </c>
      <c r="E781" s="22" t="s">
        <v>490</v>
      </c>
    </row>
    <row r="782" spans="1:5" x14ac:dyDescent="0.25">
      <c r="A782" s="35">
        <v>46008.905108460647</v>
      </c>
      <c r="B782" s="22" t="s">
        <v>1274</v>
      </c>
      <c r="C782" s="22" t="s">
        <v>489</v>
      </c>
      <c r="D782" s="22" t="s">
        <v>468</v>
      </c>
      <c r="E782" s="22" t="s">
        <v>490</v>
      </c>
    </row>
    <row r="783" spans="1:5" x14ac:dyDescent="0.25">
      <c r="A783" s="35">
        <v>46008.905121874996</v>
      </c>
      <c r="B783" s="22" t="s">
        <v>1275</v>
      </c>
      <c r="C783" s="22" t="s">
        <v>489</v>
      </c>
      <c r="D783" s="22" t="s">
        <v>500</v>
      </c>
      <c r="E783" s="22" t="s">
        <v>490</v>
      </c>
    </row>
    <row r="784" spans="1:5" x14ac:dyDescent="0.25">
      <c r="A784" s="35">
        <v>46008.905123460645</v>
      </c>
      <c r="B784" s="22" t="s">
        <v>1276</v>
      </c>
      <c r="C784" s="22" t="s">
        <v>489</v>
      </c>
      <c r="D784" s="22" t="s">
        <v>468</v>
      </c>
      <c r="E784" s="22" t="s">
        <v>490</v>
      </c>
    </row>
    <row r="785" spans="1:5" x14ac:dyDescent="0.25">
      <c r="A785" s="35">
        <v>46008.905125196761</v>
      </c>
      <c r="B785" s="22" t="s">
        <v>1277</v>
      </c>
      <c r="C785" s="22" t="s">
        <v>489</v>
      </c>
      <c r="D785" s="22" t="s">
        <v>469</v>
      </c>
      <c r="E785" s="22" t="s">
        <v>490</v>
      </c>
    </row>
    <row r="786" spans="1:5" x14ac:dyDescent="0.25">
      <c r="A786" s="35">
        <v>46008.90512693287</v>
      </c>
      <c r="B786" s="22" t="s">
        <v>1278</v>
      </c>
      <c r="C786" s="22" t="s">
        <v>489</v>
      </c>
      <c r="D786" s="22" t="s">
        <v>500</v>
      </c>
      <c r="E786" s="22" t="s">
        <v>490</v>
      </c>
    </row>
    <row r="787" spans="1:5" x14ac:dyDescent="0.25">
      <c r="A787" s="35">
        <v>46008.90512862269</v>
      </c>
      <c r="B787" s="22" t="s">
        <v>1279</v>
      </c>
      <c r="C787" s="22" t="s">
        <v>482</v>
      </c>
      <c r="D787" s="22" t="s">
        <v>449</v>
      </c>
      <c r="E787" s="22" t="s">
        <v>490</v>
      </c>
    </row>
    <row r="788" spans="1:5" x14ac:dyDescent="0.25">
      <c r="A788" s="35">
        <v>46008.905137488429</v>
      </c>
      <c r="B788" s="22" t="s">
        <v>1280</v>
      </c>
      <c r="C788" s="22" t="s">
        <v>482</v>
      </c>
      <c r="D788" s="22" t="s">
        <v>449</v>
      </c>
      <c r="E788" s="22" t="s">
        <v>490</v>
      </c>
    </row>
    <row r="789" spans="1:5" x14ac:dyDescent="0.25">
      <c r="A789" s="35">
        <v>46008.905141296302</v>
      </c>
      <c r="B789" s="22" t="s">
        <v>1281</v>
      </c>
      <c r="C789" s="22" t="s">
        <v>489</v>
      </c>
      <c r="D789" s="22" t="s">
        <v>500</v>
      </c>
      <c r="E789" s="22" t="s">
        <v>490</v>
      </c>
    </row>
    <row r="790" spans="1:5" x14ac:dyDescent="0.25">
      <c r="A790" s="35">
        <v>46008.905142731484</v>
      </c>
      <c r="B790" s="22" t="s">
        <v>1282</v>
      </c>
      <c r="C790" s="22" t="s">
        <v>489</v>
      </c>
      <c r="D790" s="22" t="s">
        <v>469</v>
      </c>
      <c r="E790" s="22" t="s">
        <v>490</v>
      </c>
    </row>
    <row r="791" spans="1:5" x14ac:dyDescent="0.25">
      <c r="A791" s="35">
        <v>46008.905144456017</v>
      </c>
      <c r="B791" s="22" t="s">
        <v>1283</v>
      </c>
      <c r="C791" s="22" t="s">
        <v>489</v>
      </c>
      <c r="D791" s="22" t="s">
        <v>469</v>
      </c>
      <c r="E791" s="22" t="s">
        <v>490</v>
      </c>
    </row>
    <row r="792" spans="1:5" x14ac:dyDescent="0.25">
      <c r="A792" s="35">
        <v>46008.905146041667</v>
      </c>
      <c r="B792" s="22" t="s">
        <v>1284</v>
      </c>
      <c r="C792" s="22" t="s">
        <v>489</v>
      </c>
      <c r="D792" s="22" t="s">
        <v>469</v>
      </c>
      <c r="E792" s="22" t="s">
        <v>490</v>
      </c>
    </row>
    <row r="793" spans="1:5" x14ac:dyDescent="0.25">
      <c r="A793" s="35">
        <v>46008.905147777783</v>
      </c>
      <c r="B793" s="22" t="s">
        <v>1285</v>
      </c>
      <c r="C793" s="22" t="s">
        <v>482</v>
      </c>
      <c r="D793" s="22" t="s">
        <v>449</v>
      </c>
      <c r="E793" s="22" t="s">
        <v>490</v>
      </c>
    </row>
    <row r="794" spans="1:5" x14ac:dyDescent="0.25">
      <c r="A794" s="35">
        <v>46008.905149375001</v>
      </c>
      <c r="B794" s="22" t="s">
        <v>1286</v>
      </c>
      <c r="C794" s="22" t="s">
        <v>489</v>
      </c>
      <c r="D794" s="22" t="s">
        <v>468</v>
      </c>
      <c r="E794" s="22" t="s">
        <v>490</v>
      </c>
    </row>
    <row r="795" spans="1:5" x14ac:dyDescent="0.25">
      <c r="A795" s="35">
        <v>46008.905150844905</v>
      </c>
      <c r="B795" s="22" t="s">
        <v>1287</v>
      </c>
      <c r="C795" s="22" t="s">
        <v>489</v>
      </c>
      <c r="D795" s="22" t="s">
        <v>468</v>
      </c>
      <c r="E795" s="22" t="s">
        <v>490</v>
      </c>
    </row>
    <row r="796" spans="1:5" x14ac:dyDescent="0.25">
      <c r="A796" s="35">
        <v>46008.905152268519</v>
      </c>
      <c r="B796" s="22" t="s">
        <v>1288</v>
      </c>
      <c r="C796" s="22" t="s">
        <v>489</v>
      </c>
      <c r="D796" s="22" t="s">
        <v>468</v>
      </c>
      <c r="E796" s="22" t="s">
        <v>490</v>
      </c>
    </row>
    <row r="797" spans="1:5" x14ac:dyDescent="0.25">
      <c r="A797" s="35">
        <v>46008.905154004635</v>
      </c>
      <c r="B797" s="22" t="s">
        <v>1289</v>
      </c>
      <c r="C797" s="22" t="s">
        <v>482</v>
      </c>
      <c r="D797" s="22" t="s">
        <v>449</v>
      </c>
      <c r="E797" s="22" t="s">
        <v>490</v>
      </c>
    </row>
    <row r="798" spans="1:5" x14ac:dyDescent="0.25">
      <c r="A798" s="35">
        <v>46008.905155659726</v>
      </c>
      <c r="B798" s="22" t="s">
        <v>1290</v>
      </c>
      <c r="C798" s="22" t="s">
        <v>482</v>
      </c>
      <c r="D798" s="22" t="s">
        <v>449</v>
      </c>
      <c r="E798" s="22" t="s">
        <v>490</v>
      </c>
    </row>
    <row r="799" spans="1:5" x14ac:dyDescent="0.25">
      <c r="A799" s="35">
        <v>46008.905157187502</v>
      </c>
      <c r="B799" s="22" t="s">
        <v>1291</v>
      </c>
      <c r="C799" s="22" t="s">
        <v>489</v>
      </c>
      <c r="D799" s="22" t="s">
        <v>468</v>
      </c>
      <c r="E799" s="22" t="s">
        <v>490</v>
      </c>
    </row>
    <row r="800" spans="1:5" x14ac:dyDescent="0.25">
      <c r="A800" s="35">
        <v>46008.905159062502</v>
      </c>
      <c r="B800" s="22" t="s">
        <v>1292</v>
      </c>
      <c r="C800" s="22" t="s">
        <v>489</v>
      </c>
      <c r="D800" s="22" t="s">
        <v>468</v>
      </c>
      <c r="E800" s="22" t="s">
        <v>490</v>
      </c>
    </row>
    <row r="801" spans="1:5" x14ac:dyDescent="0.25">
      <c r="A801" s="35">
        <v>46008.90516195602</v>
      </c>
      <c r="B801" s="22" t="s">
        <v>1293</v>
      </c>
      <c r="C801" s="22" t="s">
        <v>489</v>
      </c>
      <c r="D801" s="22" t="s">
        <v>500</v>
      </c>
      <c r="E801" s="22" t="s">
        <v>490</v>
      </c>
    </row>
    <row r="802" spans="1:5" x14ac:dyDescent="0.25">
      <c r="A802" s="35">
        <v>46008.905163437499</v>
      </c>
      <c r="B802" s="22" t="s">
        <v>1294</v>
      </c>
      <c r="C802" s="22" t="s">
        <v>482</v>
      </c>
      <c r="D802" s="22" t="s">
        <v>449</v>
      </c>
      <c r="E802" s="22" t="s">
        <v>490</v>
      </c>
    </row>
    <row r="803" spans="1:5" x14ac:dyDescent="0.25">
      <c r="A803" s="35">
        <v>46008.905164930555</v>
      </c>
      <c r="B803" s="22" t="s">
        <v>1295</v>
      </c>
      <c r="C803" s="22" t="s">
        <v>489</v>
      </c>
      <c r="D803" s="22" t="s">
        <v>469</v>
      </c>
      <c r="E803" s="22" t="s">
        <v>490</v>
      </c>
    </row>
    <row r="804" spans="1:5" x14ac:dyDescent="0.25">
      <c r="A804" s="35">
        <v>46008.905166504628</v>
      </c>
      <c r="B804" s="22" t="s">
        <v>1296</v>
      </c>
      <c r="C804" s="22" t="s">
        <v>489</v>
      </c>
      <c r="D804" s="22" t="s">
        <v>500</v>
      </c>
      <c r="E804" s="22" t="s">
        <v>490</v>
      </c>
    </row>
    <row r="805" spans="1:5" x14ac:dyDescent="0.25">
      <c r="A805" s="35">
        <v>46008.905168240744</v>
      </c>
      <c r="B805" s="22" t="s">
        <v>1297</v>
      </c>
      <c r="C805" s="22" t="s">
        <v>482</v>
      </c>
      <c r="D805" s="22" t="s">
        <v>449</v>
      </c>
      <c r="E805" s="22" t="s">
        <v>490</v>
      </c>
    </row>
    <row r="806" spans="1:5" x14ac:dyDescent="0.25">
      <c r="A806" s="35">
        <v>46008.905169756945</v>
      </c>
      <c r="B806" s="22" t="s">
        <v>1298</v>
      </c>
      <c r="C806" s="22" t="s">
        <v>482</v>
      </c>
      <c r="D806" s="22" t="s">
        <v>449</v>
      </c>
      <c r="E806" s="22" t="s">
        <v>490</v>
      </c>
    </row>
    <row r="807" spans="1:5" x14ac:dyDescent="0.25">
      <c r="A807" s="35">
        <v>46008.90517539352</v>
      </c>
      <c r="B807" s="22" t="s">
        <v>1299</v>
      </c>
      <c r="C807" s="22" t="s">
        <v>482</v>
      </c>
      <c r="D807" s="22" t="s">
        <v>449</v>
      </c>
      <c r="E807" s="22" t="s">
        <v>490</v>
      </c>
    </row>
    <row r="808" spans="1:5" x14ac:dyDescent="0.25">
      <c r="A808" s="35">
        <v>46008.905200266207</v>
      </c>
      <c r="B808" s="22" t="s">
        <v>1300</v>
      </c>
      <c r="C808" s="22" t="s">
        <v>489</v>
      </c>
      <c r="D808" s="22" t="s">
        <v>469</v>
      </c>
      <c r="E808" s="22" t="s">
        <v>490</v>
      </c>
    </row>
    <row r="809" spans="1:5" x14ac:dyDescent="0.25">
      <c r="A809" s="35">
        <v>46008.905201759262</v>
      </c>
      <c r="B809" s="22" t="s">
        <v>1301</v>
      </c>
      <c r="C809" s="22" t="s">
        <v>482</v>
      </c>
      <c r="D809" s="22" t="s">
        <v>449</v>
      </c>
      <c r="E809" s="22" t="s">
        <v>490</v>
      </c>
    </row>
    <row r="810" spans="1:5" x14ac:dyDescent="0.25">
      <c r="A810" s="35">
        <v>46008.905206377312</v>
      </c>
      <c r="B810" s="22" t="s">
        <v>1302</v>
      </c>
      <c r="C810" s="22" t="s">
        <v>489</v>
      </c>
      <c r="D810" s="22" t="s">
        <v>500</v>
      </c>
      <c r="E810" s="22" t="s">
        <v>490</v>
      </c>
    </row>
    <row r="811" spans="1:5" x14ac:dyDescent="0.25">
      <c r="A811" s="35">
        <v>46008.905208576391</v>
      </c>
      <c r="B811" s="22" t="s">
        <v>1303</v>
      </c>
      <c r="C811" s="22" t="s">
        <v>489</v>
      </c>
      <c r="D811" s="22" t="s">
        <v>468</v>
      </c>
      <c r="E811" s="22" t="s">
        <v>490</v>
      </c>
    </row>
    <row r="812" spans="1:5" x14ac:dyDescent="0.25">
      <c r="A812" s="35">
        <v>46008.905210046301</v>
      </c>
      <c r="B812" s="22" t="s">
        <v>1304</v>
      </c>
      <c r="C812" s="22" t="s">
        <v>482</v>
      </c>
      <c r="D812" s="22" t="s">
        <v>449</v>
      </c>
      <c r="E812" s="22" t="s">
        <v>490</v>
      </c>
    </row>
    <row r="813" spans="1:5" x14ac:dyDescent="0.25">
      <c r="A813" s="35">
        <v>46008.905211620367</v>
      </c>
      <c r="B813" s="22" t="s">
        <v>1305</v>
      </c>
      <c r="C813" s="22" t="s">
        <v>482</v>
      </c>
      <c r="D813" s="22" t="s">
        <v>449</v>
      </c>
      <c r="E813" s="22" t="s">
        <v>490</v>
      </c>
    </row>
    <row r="814" spans="1:5" x14ac:dyDescent="0.25">
      <c r="A814" s="35">
        <v>46008.905213101854</v>
      </c>
      <c r="B814" s="22" t="s">
        <v>1306</v>
      </c>
      <c r="C814" s="22" t="s">
        <v>489</v>
      </c>
      <c r="D814" s="22" t="s">
        <v>500</v>
      </c>
      <c r="E814" s="22" t="s">
        <v>490</v>
      </c>
    </row>
    <row r="815" spans="1:5" x14ac:dyDescent="0.25">
      <c r="A815" s="35">
        <v>46008.905214930557</v>
      </c>
      <c r="B815" s="22" t="s">
        <v>1307</v>
      </c>
      <c r="C815" s="22" t="s">
        <v>482</v>
      </c>
      <c r="D815" s="22" t="s">
        <v>449</v>
      </c>
      <c r="E815" s="22" t="s">
        <v>490</v>
      </c>
    </row>
    <row r="816" spans="1:5" x14ac:dyDescent="0.25">
      <c r="A816" s="35">
        <v>46008.905216550927</v>
      </c>
      <c r="B816" s="22" t="s">
        <v>1308</v>
      </c>
      <c r="C816" s="22" t="s">
        <v>489</v>
      </c>
      <c r="D816" s="22" t="s">
        <v>469</v>
      </c>
      <c r="E816" s="22" t="s">
        <v>490</v>
      </c>
    </row>
    <row r="817" spans="1:5" x14ac:dyDescent="0.25">
      <c r="A817" s="35">
        <v>46008.905218263884</v>
      </c>
      <c r="B817" s="22" t="s">
        <v>1309</v>
      </c>
      <c r="C817" s="22" t="s">
        <v>482</v>
      </c>
      <c r="D817" s="22" t="s">
        <v>449</v>
      </c>
      <c r="E817" s="22" t="s">
        <v>490</v>
      </c>
    </row>
    <row r="818" spans="1:5" x14ac:dyDescent="0.25">
      <c r="A818" s="35">
        <v>46008.905219907407</v>
      </c>
      <c r="B818" s="22" t="s">
        <v>1310</v>
      </c>
      <c r="C818" s="22" t="s">
        <v>482</v>
      </c>
      <c r="D818" s="22" t="s">
        <v>449</v>
      </c>
      <c r="E818" s="22" t="s">
        <v>490</v>
      </c>
    </row>
    <row r="819" spans="1:5" x14ac:dyDescent="0.25">
      <c r="A819" s="35">
        <v>46008.905224363421</v>
      </c>
      <c r="B819" s="22" t="s">
        <v>1311</v>
      </c>
      <c r="C819" s="22" t="s">
        <v>489</v>
      </c>
      <c r="D819" s="22" t="s">
        <v>468</v>
      </c>
      <c r="E819" s="22" t="s">
        <v>490</v>
      </c>
    </row>
    <row r="820" spans="1:5" x14ac:dyDescent="0.25">
      <c r="A820" s="35">
        <v>46008.905225902781</v>
      </c>
      <c r="B820" s="22" t="s">
        <v>1312</v>
      </c>
      <c r="C820" s="22" t="s">
        <v>482</v>
      </c>
      <c r="D820" s="22" t="s">
        <v>449</v>
      </c>
      <c r="E820" s="22" t="s">
        <v>490</v>
      </c>
    </row>
    <row r="821" spans="1:5" x14ac:dyDescent="0.25">
      <c r="A821" s="35">
        <v>46008.905227407406</v>
      </c>
      <c r="B821" s="22" t="s">
        <v>1313</v>
      </c>
      <c r="C821" s="22" t="s">
        <v>489</v>
      </c>
      <c r="D821" s="22" t="s">
        <v>469</v>
      </c>
      <c r="E821" s="22" t="s">
        <v>490</v>
      </c>
    </row>
    <row r="822" spans="1:5" x14ac:dyDescent="0.25">
      <c r="A822" s="35">
        <v>46008.905228888892</v>
      </c>
      <c r="B822" s="22" t="s">
        <v>1314</v>
      </c>
      <c r="C822" s="22" t="s">
        <v>482</v>
      </c>
      <c r="D822" s="22" t="s">
        <v>449</v>
      </c>
      <c r="E822" s="22" t="s">
        <v>490</v>
      </c>
    </row>
    <row r="823" spans="1:5" x14ac:dyDescent="0.25">
      <c r="A823" s="35">
        <v>46008.905230393517</v>
      </c>
      <c r="B823" s="22" t="s">
        <v>1315</v>
      </c>
      <c r="C823" s="22" t="s">
        <v>489</v>
      </c>
      <c r="D823" s="22" t="s">
        <v>500</v>
      </c>
      <c r="E823" s="22" t="s">
        <v>490</v>
      </c>
    </row>
    <row r="824" spans="1:5" x14ac:dyDescent="0.25">
      <c r="A824" s="35">
        <v>46008.905232210644</v>
      </c>
      <c r="B824" s="22" t="s">
        <v>1316</v>
      </c>
      <c r="C824" s="22" t="s">
        <v>489</v>
      </c>
      <c r="D824" s="22" t="s">
        <v>500</v>
      </c>
      <c r="E824" s="22" t="s">
        <v>490</v>
      </c>
    </row>
    <row r="825" spans="1:5" x14ac:dyDescent="0.25">
      <c r="A825" s="35">
        <v>46008.905233773148</v>
      </c>
      <c r="B825" s="22" t="s">
        <v>1317</v>
      </c>
      <c r="C825" s="22" t="s">
        <v>489</v>
      </c>
      <c r="D825" s="22" t="s">
        <v>500</v>
      </c>
      <c r="E825" s="22" t="s">
        <v>490</v>
      </c>
    </row>
    <row r="826" spans="1:5" x14ac:dyDescent="0.25">
      <c r="A826" s="35">
        <v>46008.905235451384</v>
      </c>
      <c r="B826" s="22" t="s">
        <v>1318</v>
      </c>
      <c r="C826" s="22" t="s">
        <v>489</v>
      </c>
      <c r="D826" s="22" t="s">
        <v>468</v>
      </c>
      <c r="E826" s="22" t="s">
        <v>490</v>
      </c>
    </row>
    <row r="827" spans="1:5" x14ac:dyDescent="0.25">
      <c r="A827" s="35">
        <v>46008.905239502317</v>
      </c>
      <c r="B827" s="22" t="s">
        <v>1319</v>
      </c>
      <c r="C827" s="22" t="s">
        <v>489</v>
      </c>
      <c r="D827" s="22" t="s">
        <v>468</v>
      </c>
      <c r="E827" s="22" t="s">
        <v>490</v>
      </c>
    </row>
    <row r="828" spans="1:5" x14ac:dyDescent="0.25">
      <c r="A828" s="35">
        <v>46008.905241273147</v>
      </c>
      <c r="B828" s="22" t="s">
        <v>1320</v>
      </c>
      <c r="C828" s="22" t="s">
        <v>489</v>
      </c>
      <c r="D828" s="22" t="s">
        <v>468</v>
      </c>
      <c r="E828" s="22" t="s">
        <v>490</v>
      </c>
    </row>
    <row r="829" spans="1:5" x14ac:dyDescent="0.25">
      <c r="A829" s="35">
        <v>46008.905243020832</v>
      </c>
      <c r="B829" s="22" t="s">
        <v>1321</v>
      </c>
      <c r="C829" s="22" t="s">
        <v>482</v>
      </c>
      <c r="D829" s="22" t="s">
        <v>449</v>
      </c>
      <c r="E829" s="22" t="s">
        <v>490</v>
      </c>
    </row>
    <row r="830" spans="1:5" x14ac:dyDescent="0.25">
      <c r="A830" s="35">
        <v>46008.905244664347</v>
      </c>
      <c r="B830" s="22" t="s">
        <v>1322</v>
      </c>
      <c r="C830" s="22" t="s">
        <v>489</v>
      </c>
      <c r="D830" s="22" t="s">
        <v>468</v>
      </c>
      <c r="E830" s="22" t="s">
        <v>490</v>
      </c>
    </row>
    <row r="831" spans="1:5" x14ac:dyDescent="0.25">
      <c r="A831" s="35">
        <v>46008.905246377311</v>
      </c>
      <c r="B831" s="22" t="s">
        <v>1323</v>
      </c>
      <c r="C831" s="22" t="s">
        <v>482</v>
      </c>
      <c r="D831" s="22" t="s">
        <v>449</v>
      </c>
      <c r="E831" s="22" t="s">
        <v>490</v>
      </c>
    </row>
    <row r="832" spans="1:5" x14ac:dyDescent="0.25">
      <c r="A832" s="35">
        <v>46008.905249641204</v>
      </c>
      <c r="B832" s="22" t="s">
        <v>1324</v>
      </c>
      <c r="C832" s="22" t="s">
        <v>489</v>
      </c>
      <c r="D832" s="22" t="s">
        <v>500</v>
      </c>
      <c r="E832" s="22" t="s">
        <v>490</v>
      </c>
    </row>
    <row r="833" spans="1:5" x14ac:dyDescent="0.25">
      <c r="A833" s="35">
        <v>46008.906732743053</v>
      </c>
      <c r="B833" s="22" t="s">
        <v>1325</v>
      </c>
      <c r="C833" s="22" t="s">
        <v>482</v>
      </c>
      <c r="D833" s="22" t="s">
        <v>449</v>
      </c>
      <c r="E833" s="22" t="s">
        <v>490</v>
      </c>
    </row>
    <row r="834" spans="1:5" x14ac:dyDescent="0.25">
      <c r="A834" s="35">
        <v>46008.906735914352</v>
      </c>
      <c r="B834" s="22" t="s">
        <v>1326</v>
      </c>
      <c r="C834" s="22" t="s">
        <v>482</v>
      </c>
      <c r="D834" s="22" t="s">
        <v>449</v>
      </c>
      <c r="E834" s="22" t="s">
        <v>490</v>
      </c>
    </row>
    <row r="835" spans="1:5" x14ac:dyDescent="0.25">
      <c r="A835" s="35">
        <v>46008.906738831021</v>
      </c>
      <c r="B835" s="22" t="s">
        <v>1327</v>
      </c>
      <c r="C835" s="22" t="s">
        <v>489</v>
      </c>
      <c r="D835" s="22" t="s">
        <v>500</v>
      </c>
      <c r="E835" s="22" t="s">
        <v>490</v>
      </c>
    </row>
    <row r="836" spans="1:5" x14ac:dyDescent="0.25">
      <c r="A836" s="35">
        <v>46008.906741932871</v>
      </c>
      <c r="B836" s="22" t="s">
        <v>1328</v>
      </c>
      <c r="C836" s="22" t="s">
        <v>482</v>
      </c>
      <c r="D836" s="22" t="s">
        <v>449</v>
      </c>
      <c r="E836" s="22" t="s">
        <v>490</v>
      </c>
    </row>
    <row r="837" spans="1:5" x14ac:dyDescent="0.25">
      <c r="A837" s="35">
        <v>46008.906744965279</v>
      </c>
      <c r="B837" s="22" t="s">
        <v>1329</v>
      </c>
      <c r="C837" s="22" t="s">
        <v>489</v>
      </c>
      <c r="D837" s="22" t="s">
        <v>492</v>
      </c>
      <c r="E837" s="22" t="s">
        <v>490</v>
      </c>
    </row>
    <row r="838" spans="1:5" x14ac:dyDescent="0.25">
      <c r="A838" s="35">
        <v>46008.906747870366</v>
      </c>
      <c r="B838" s="22" t="s">
        <v>1330</v>
      </c>
      <c r="C838" s="22" t="s">
        <v>489</v>
      </c>
      <c r="D838" s="22" t="s">
        <v>468</v>
      </c>
      <c r="E838" s="22" t="s">
        <v>490</v>
      </c>
    </row>
    <row r="839" spans="1:5" x14ac:dyDescent="0.25">
      <c r="A839" s="35">
        <v>46008.906750995375</v>
      </c>
      <c r="B839" s="22" t="s">
        <v>1331</v>
      </c>
      <c r="C839" s="22" t="s">
        <v>489</v>
      </c>
      <c r="D839" s="22" t="s">
        <v>468</v>
      </c>
      <c r="E839" s="22" t="s">
        <v>490</v>
      </c>
    </row>
    <row r="840" spans="1:5" x14ac:dyDescent="0.25">
      <c r="A840" s="35">
        <v>46008.906753888892</v>
      </c>
      <c r="B840" s="22" t="s">
        <v>1332</v>
      </c>
      <c r="C840" s="22" t="s">
        <v>489</v>
      </c>
      <c r="D840" s="22" t="s">
        <v>500</v>
      </c>
      <c r="E840" s="22" t="s">
        <v>490</v>
      </c>
    </row>
    <row r="841" spans="1:5" x14ac:dyDescent="0.25">
      <c r="A841" s="35">
        <v>46008.906756932869</v>
      </c>
      <c r="B841" s="22" t="s">
        <v>1333</v>
      </c>
      <c r="C841" s="22" t="s">
        <v>482</v>
      </c>
      <c r="D841" s="22" t="s">
        <v>449</v>
      </c>
      <c r="E841" s="22" t="s">
        <v>490</v>
      </c>
    </row>
    <row r="842" spans="1:5" x14ac:dyDescent="0.25">
      <c r="A842" s="35">
        <v>46008.906759988429</v>
      </c>
      <c r="B842" s="22" t="s">
        <v>1334</v>
      </c>
      <c r="C842" s="22" t="s">
        <v>489</v>
      </c>
      <c r="D842" s="22" t="s">
        <v>492</v>
      </c>
      <c r="E842" s="22" t="s">
        <v>490</v>
      </c>
    </row>
    <row r="843" spans="1:5" x14ac:dyDescent="0.25">
      <c r="A843" s="35">
        <v>46008.906762905091</v>
      </c>
      <c r="B843" s="22" t="s">
        <v>1335</v>
      </c>
      <c r="C843" s="22" t="s">
        <v>482</v>
      </c>
      <c r="D843" s="22" t="s">
        <v>516</v>
      </c>
      <c r="E843" s="22" t="s">
        <v>490</v>
      </c>
    </row>
    <row r="844" spans="1:5" x14ac:dyDescent="0.25">
      <c r="A844" s="35">
        <v>46008.906766944448</v>
      </c>
      <c r="B844" s="22" t="s">
        <v>1336</v>
      </c>
      <c r="C844" s="22" t="s">
        <v>489</v>
      </c>
      <c r="D844" s="22" t="s">
        <v>468</v>
      </c>
      <c r="E844" s="22" t="s">
        <v>490</v>
      </c>
    </row>
    <row r="845" spans="1:5" x14ac:dyDescent="0.25">
      <c r="A845" s="35">
        <v>46008.906781331018</v>
      </c>
      <c r="B845" s="22" t="s">
        <v>1337</v>
      </c>
      <c r="C845" s="22" t="s">
        <v>489</v>
      </c>
      <c r="D845" s="22" t="s">
        <v>468</v>
      </c>
      <c r="E845" s="22" t="s">
        <v>490</v>
      </c>
    </row>
    <row r="846" spans="1:5" x14ac:dyDescent="0.25">
      <c r="A846" s="35">
        <v>46008.906788541666</v>
      </c>
      <c r="B846" s="22" t="s">
        <v>1338</v>
      </c>
      <c r="C846" s="22" t="s">
        <v>489</v>
      </c>
      <c r="D846" s="22" t="s">
        <v>500</v>
      </c>
      <c r="E846" s="22" t="s">
        <v>490</v>
      </c>
    </row>
    <row r="847" spans="1:5" x14ac:dyDescent="0.25">
      <c r="A847" s="35">
        <v>46008.906791365742</v>
      </c>
      <c r="B847" s="22" t="s">
        <v>1339</v>
      </c>
      <c r="C847" s="22" t="s">
        <v>489</v>
      </c>
      <c r="D847" s="22" t="s">
        <v>500</v>
      </c>
      <c r="E847" s="22" t="s">
        <v>490</v>
      </c>
    </row>
    <row r="848" spans="1:5" x14ac:dyDescent="0.25">
      <c r="A848" s="35">
        <v>46008.906795960647</v>
      </c>
      <c r="B848" s="22" t="s">
        <v>1340</v>
      </c>
      <c r="C848" s="22" t="s">
        <v>482</v>
      </c>
      <c r="D848" s="22" t="s">
        <v>449</v>
      </c>
      <c r="E848" s="22" t="s">
        <v>490</v>
      </c>
    </row>
    <row r="849" spans="1:5" x14ac:dyDescent="0.25">
      <c r="A849" s="35">
        <v>46008.906798888886</v>
      </c>
      <c r="B849" s="22" t="s">
        <v>1341</v>
      </c>
      <c r="C849" s="22" t="s">
        <v>489</v>
      </c>
      <c r="D849" s="22" t="s">
        <v>492</v>
      </c>
      <c r="E849" s="22" t="s">
        <v>490</v>
      </c>
    </row>
    <row r="850" spans="1:5" x14ac:dyDescent="0.25">
      <c r="A850" s="35">
        <v>46008.906801828707</v>
      </c>
      <c r="B850" s="22" t="s">
        <v>1342</v>
      </c>
      <c r="C850" s="22" t="s">
        <v>489</v>
      </c>
      <c r="D850" s="22" t="s">
        <v>468</v>
      </c>
      <c r="E850" s="22" t="s">
        <v>490</v>
      </c>
    </row>
    <row r="851" spans="1:5" x14ac:dyDescent="0.25">
      <c r="A851" s="35">
        <v>46008.906804664352</v>
      </c>
      <c r="B851" s="22" t="s">
        <v>1343</v>
      </c>
      <c r="C851" s="22" t="s">
        <v>482</v>
      </c>
      <c r="D851" s="22" t="s">
        <v>449</v>
      </c>
      <c r="E851" s="22" t="s">
        <v>490</v>
      </c>
    </row>
    <row r="852" spans="1:5" x14ac:dyDescent="0.25">
      <c r="A852" s="35">
        <v>46008.906807534717</v>
      </c>
      <c r="B852" s="22" t="s">
        <v>1344</v>
      </c>
      <c r="C852" s="22" t="s">
        <v>482</v>
      </c>
      <c r="D852" s="22" t="s">
        <v>449</v>
      </c>
      <c r="E852" s="22" t="s">
        <v>490</v>
      </c>
    </row>
    <row r="853" spans="1:5" x14ac:dyDescent="0.25">
      <c r="A853" s="35">
        <v>46008.906810451386</v>
      </c>
      <c r="B853" s="22" t="s">
        <v>1345</v>
      </c>
      <c r="C853" s="22" t="s">
        <v>482</v>
      </c>
      <c r="D853" s="22" t="s">
        <v>449</v>
      </c>
      <c r="E853" s="22" t="s">
        <v>490</v>
      </c>
    </row>
    <row r="854" spans="1:5" x14ac:dyDescent="0.25">
      <c r="A854" s="35">
        <v>46008.906813379625</v>
      </c>
      <c r="B854" s="22" t="s">
        <v>1346</v>
      </c>
      <c r="C854" s="22" t="s">
        <v>489</v>
      </c>
      <c r="D854" s="22" t="s">
        <v>468</v>
      </c>
      <c r="E854" s="22" t="s">
        <v>490</v>
      </c>
    </row>
    <row r="855" spans="1:5" x14ac:dyDescent="0.25">
      <c r="A855" s="35">
        <v>46008.906816574075</v>
      </c>
      <c r="B855" s="22" t="s">
        <v>1347</v>
      </c>
      <c r="C855" s="22" t="s">
        <v>489</v>
      </c>
      <c r="D855" s="22" t="s">
        <v>492</v>
      </c>
      <c r="E855" s="22" t="s">
        <v>490</v>
      </c>
    </row>
    <row r="856" spans="1:5" x14ac:dyDescent="0.25">
      <c r="A856" s="35">
        <v>46008.906819571755</v>
      </c>
      <c r="B856" s="22" t="s">
        <v>1348</v>
      </c>
      <c r="C856" s="22" t="s">
        <v>482</v>
      </c>
      <c r="D856" s="22" t="s">
        <v>449</v>
      </c>
      <c r="E856" s="22" t="s">
        <v>490</v>
      </c>
    </row>
    <row r="857" spans="1:5" x14ac:dyDescent="0.25">
      <c r="A857" s="35">
        <v>46008.906822476856</v>
      </c>
      <c r="B857" s="22" t="s">
        <v>1349</v>
      </c>
      <c r="C857" s="22" t="s">
        <v>489</v>
      </c>
      <c r="D857" s="22" t="s">
        <v>468</v>
      </c>
      <c r="E857" s="22" t="s">
        <v>490</v>
      </c>
    </row>
    <row r="858" spans="1:5" x14ac:dyDescent="0.25">
      <c r="A858" s="35">
        <v>46008.906825601851</v>
      </c>
      <c r="B858" s="22" t="s">
        <v>1350</v>
      </c>
      <c r="C858" s="22" t="s">
        <v>489</v>
      </c>
      <c r="D858" s="22" t="s">
        <v>468</v>
      </c>
      <c r="E858" s="22" t="s">
        <v>490</v>
      </c>
    </row>
    <row r="859" spans="1:5" x14ac:dyDescent="0.25">
      <c r="A859" s="35">
        <v>46008.906832418987</v>
      </c>
      <c r="B859" s="22" t="s">
        <v>1351</v>
      </c>
      <c r="C859" s="22" t="s">
        <v>489</v>
      </c>
      <c r="D859" s="22" t="s">
        <v>468</v>
      </c>
      <c r="E859" s="22" t="s">
        <v>490</v>
      </c>
    </row>
    <row r="860" spans="1:5" x14ac:dyDescent="0.25">
      <c r="A860" s="35">
        <v>46008.906835243055</v>
      </c>
      <c r="B860" s="22" t="s">
        <v>1352</v>
      </c>
      <c r="C860" s="22" t="s">
        <v>489</v>
      </c>
      <c r="D860" s="22" t="s">
        <v>500</v>
      </c>
      <c r="E860" s="22" t="s">
        <v>490</v>
      </c>
    </row>
    <row r="861" spans="1:5" x14ac:dyDescent="0.25">
      <c r="A861" s="35">
        <v>46008.906838090275</v>
      </c>
      <c r="B861" s="22" t="s">
        <v>1353</v>
      </c>
      <c r="C861" s="22" t="s">
        <v>489</v>
      </c>
      <c r="D861" s="22" t="s">
        <v>500</v>
      </c>
      <c r="E861" s="22" t="s">
        <v>490</v>
      </c>
    </row>
    <row r="862" spans="1:5" x14ac:dyDescent="0.25">
      <c r="A862" s="35">
        <v>46008.906841238422</v>
      </c>
      <c r="B862" s="22" t="s">
        <v>1354</v>
      </c>
      <c r="C862" s="22" t="s">
        <v>489</v>
      </c>
      <c r="D862" s="22" t="s">
        <v>468</v>
      </c>
      <c r="E862" s="22" t="s">
        <v>490</v>
      </c>
    </row>
    <row r="863" spans="1:5" x14ac:dyDescent="0.25">
      <c r="A863" s="35">
        <v>46008.906844097219</v>
      </c>
      <c r="B863" s="22" t="s">
        <v>1355</v>
      </c>
      <c r="C863" s="22" t="s">
        <v>489</v>
      </c>
      <c r="D863" s="22" t="s">
        <v>468</v>
      </c>
      <c r="E863" s="22" t="s">
        <v>490</v>
      </c>
    </row>
    <row r="864" spans="1:5" x14ac:dyDescent="0.25">
      <c r="A864" s="35">
        <v>46008.906846909726</v>
      </c>
      <c r="B864" s="22" t="s">
        <v>1356</v>
      </c>
      <c r="C864" s="22" t="s">
        <v>489</v>
      </c>
      <c r="D864" s="22" t="s">
        <v>500</v>
      </c>
      <c r="E864" s="22" t="s">
        <v>490</v>
      </c>
    </row>
    <row r="865" spans="1:5" x14ac:dyDescent="0.25">
      <c r="A865" s="35">
        <v>46008.906849907406</v>
      </c>
      <c r="B865" s="22" t="s">
        <v>1357</v>
      </c>
      <c r="C865" s="22" t="s">
        <v>482</v>
      </c>
      <c r="D865" s="22" t="s">
        <v>449</v>
      </c>
      <c r="E865" s="22" t="s">
        <v>490</v>
      </c>
    </row>
    <row r="866" spans="1:5" x14ac:dyDescent="0.25">
      <c r="A866" s="35">
        <v>46008.906853877314</v>
      </c>
      <c r="B866" s="22" t="s">
        <v>1358</v>
      </c>
      <c r="C866" s="22" t="s">
        <v>489</v>
      </c>
      <c r="D866" s="22" t="s">
        <v>500</v>
      </c>
      <c r="E866" s="22" t="s">
        <v>490</v>
      </c>
    </row>
    <row r="867" spans="1:5" x14ac:dyDescent="0.25">
      <c r="A867" s="35">
        <v>46008.906856712958</v>
      </c>
      <c r="B867" s="22" t="s">
        <v>1359</v>
      </c>
      <c r="C867" s="22" t="s">
        <v>489</v>
      </c>
      <c r="D867" s="22" t="s">
        <v>468</v>
      </c>
      <c r="E867" s="22" t="s">
        <v>490</v>
      </c>
    </row>
    <row r="868" spans="1:5" x14ac:dyDescent="0.25">
      <c r="A868" s="35">
        <v>46008.906859513889</v>
      </c>
      <c r="B868" s="22" t="s">
        <v>1360</v>
      </c>
      <c r="C868" s="22" t="s">
        <v>489</v>
      </c>
      <c r="D868" s="22" t="s">
        <v>468</v>
      </c>
      <c r="E868" s="22" t="s">
        <v>490</v>
      </c>
    </row>
    <row r="869" spans="1:5" x14ac:dyDescent="0.25">
      <c r="A869" s="35">
        <v>46008.906866921301</v>
      </c>
      <c r="B869" s="22" t="s">
        <v>1361</v>
      </c>
      <c r="C869" s="22" t="s">
        <v>489</v>
      </c>
      <c r="D869" s="22" t="s">
        <v>468</v>
      </c>
      <c r="E869" s="22" t="s">
        <v>490</v>
      </c>
    </row>
    <row r="870" spans="1:5" x14ac:dyDescent="0.25">
      <c r="A870" s="35">
        <v>46008.906880752314</v>
      </c>
      <c r="B870" s="22" t="s">
        <v>1362</v>
      </c>
      <c r="C870" s="22" t="s">
        <v>482</v>
      </c>
      <c r="D870" s="22" t="s">
        <v>516</v>
      </c>
      <c r="E870" s="22" t="s">
        <v>490</v>
      </c>
    </row>
    <row r="871" spans="1:5" x14ac:dyDescent="0.25">
      <c r="A871" s="35">
        <v>46008.906884236116</v>
      </c>
      <c r="B871" s="22" t="s">
        <v>1363</v>
      </c>
      <c r="C871" s="22" t="s">
        <v>489</v>
      </c>
      <c r="D871" s="22" t="s">
        <v>582</v>
      </c>
      <c r="E871" s="22" t="s">
        <v>490</v>
      </c>
    </row>
    <row r="872" spans="1:5" x14ac:dyDescent="0.25">
      <c r="A872" s="35">
        <v>46008.906887129633</v>
      </c>
      <c r="B872" s="22" t="s">
        <v>1364</v>
      </c>
      <c r="C872" s="22" t="s">
        <v>489</v>
      </c>
      <c r="D872" s="22" t="s">
        <v>500</v>
      </c>
      <c r="E872" s="22" t="s">
        <v>490</v>
      </c>
    </row>
    <row r="873" spans="1:5" x14ac:dyDescent="0.25">
      <c r="A873" s="35">
        <v>46008.906890335653</v>
      </c>
      <c r="B873" s="22" t="s">
        <v>1365</v>
      </c>
      <c r="C873" s="22" t="s">
        <v>482</v>
      </c>
      <c r="D873" s="22" t="s">
        <v>449</v>
      </c>
      <c r="E873" s="22" t="s">
        <v>490</v>
      </c>
    </row>
    <row r="874" spans="1:5" x14ac:dyDescent="0.25">
      <c r="A874" s="35">
        <v>46008.906893182866</v>
      </c>
      <c r="B874" s="22" t="s">
        <v>1366</v>
      </c>
      <c r="C874" s="22" t="s">
        <v>489</v>
      </c>
      <c r="D874" s="22" t="s">
        <v>469</v>
      </c>
      <c r="E874" s="22" t="s">
        <v>490</v>
      </c>
    </row>
    <row r="875" spans="1:5" x14ac:dyDescent="0.25">
      <c r="A875" s="35">
        <v>46008.906896087967</v>
      </c>
      <c r="B875" s="22" t="s">
        <v>1367</v>
      </c>
      <c r="C875" s="22" t="s">
        <v>489</v>
      </c>
      <c r="D875" s="22" t="s">
        <v>469</v>
      </c>
      <c r="E875" s="22" t="s">
        <v>490</v>
      </c>
    </row>
    <row r="876" spans="1:5" x14ac:dyDescent="0.25">
      <c r="A876" s="35">
        <v>46008.906899050926</v>
      </c>
      <c r="B876" s="22" t="s">
        <v>1368</v>
      </c>
      <c r="C876" s="22" t="s">
        <v>489</v>
      </c>
      <c r="D876" s="22" t="s">
        <v>469</v>
      </c>
      <c r="E876" s="22" t="s">
        <v>490</v>
      </c>
    </row>
    <row r="877" spans="1:5" x14ac:dyDescent="0.25">
      <c r="A877" s="35">
        <v>46008.906903287032</v>
      </c>
      <c r="B877" s="22" t="s">
        <v>1369</v>
      </c>
      <c r="C877" s="22" t="s">
        <v>482</v>
      </c>
      <c r="D877" s="22" t="s">
        <v>449</v>
      </c>
      <c r="E877" s="22" t="s">
        <v>490</v>
      </c>
    </row>
    <row r="878" spans="1:5" x14ac:dyDescent="0.25">
      <c r="A878" s="35">
        <v>46008.906906296295</v>
      </c>
      <c r="B878" s="22" t="s">
        <v>1370</v>
      </c>
      <c r="C878" s="22" t="s">
        <v>489</v>
      </c>
      <c r="D878" s="22" t="s">
        <v>492</v>
      </c>
      <c r="E878" s="22" t="s">
        <v>490</v>
      </c>
    </row>
    <row r="879" spans="1:5" x14ac:dyDescent="0.25">
      <c r="A879" s="35">
        <v>46008.906914942127</v>
      </c>
      <c r="B879" s="22" t="s">
        <v>1371</v>
      </c>
      <c r="C879" s="22" t="s">
        <v>489</v>
      </c>
      <c r="D879" s="22" t="s">
        <v>500</v>
      </c>
      <c r="E879" s="22" t="s">
        <v>490</v>
      </c>
    </row>
    <row r="880" spans="1:5" x14ac:dyDescent="0.25">
      <c r="A880" s="35">
        <v>46008.906917928238</v>
      </c>
      <c r="B880" s="22" t="s">
        <v>1372</v>
      </c>
      <c r="C880" s="22" t="s">
        <v>489</v>
      </c>
      <c r="D880" s="22" t="s">
        <v>500</v>
      </c>
      <c r="E880" s="22" t="s">
        <v>490</v>
      </c>
    </row>
    <row r="881" spans="1:5" x14ac:dyDescent="0.25">
      <c r="A881" s="35">
        <v>46008.906921307869</v>
      </c>
      <c r="B881" s="22" t="s">
        <v>1373</v>
      </c>
      <c r="C881" s="22" t="s">
        <v>489</v>
      </c>
      <c r="D881" s="22" t="s">
        <v>468</v>
      </c>
      <c r="E881" s="22" t="s">
        <v>490</v>
      </c>
    </row>
    <row r="882" spans="1:5" x14ac:dyDescent="0.25">
      <c r="A882" s="35">
        <v>46008.906924374998</v>
      </c>
      <c r="B882" s="22" t="s">
        <v>1374</v>
      </c>
      <c r="C882" s="22" t="s">
        <v>489</v>
      </c>
      <c r="D882" s="22" t="s">
        <v>500</v>
      </c>
      <c r="E882" s="22" t="s">
        <v>490</v>
      </c>
    </row>
    <row r="883" spans="1:5" x14ac:dyDescent="0.25">
      <c r="A883" s="35">
        <v>46008.906939085646</v>
      </c>
      <c r="B883" s="22" t="s">
        <v>1375</v>
      </c>
      <c r="C883" s="22" t="s">
        <v>489</v>
      </c>
      <c r="D883" s="22" t="s">
        <v>500</v>
      </c>
      <c r="E883" s="22" t="s">
        <v>490</v>
      </c>
    </row>
    <row r="884" spans="1:5" x14ac:dyDescent="0.25">
      <c r="A884" s="35">
        <v>46008.906942974536</v>
      </c>
      <c r="B884" s="22" t="s">
        <v>1376</v>
      </c>
      <c r="C884" s="22" t="s">
        <v>489</v>
      </c>
      <c r="D884" s="22" t="s">
        <v>500</v>
      </c>
      <c r="E884" s="22" t="s">
        <v>490</v>
      </c>
    </row>
    <row r="885" spans="1:5" x14ac:dyDescent="0.25">
      <c r="A885" s="35">
        <v>46008.906945752315</v>
      </c>
      <c r="B885" s="22" t="s">
        <v>1377</v>
      </c>
      <c r="C885" s="22" t="s">
        <v>489</v>
      </c>
      <c r="D885" s="22" t="s">
        <v>492</v>
      </c>
      <c r="E885" s="22" t="s">
        <v>490</v>
      </c>
    </row>
    <row r="886" spans="1:5" x14ac:dyDescent="0.25">
      <c r="A886" s="35">
        <v>46008.906948657408</v>
      </c>
      <c r="B886" s="22" t="s">
        <v>1378</v>
      </c>
      <c r="C886" s="22" t="s">
        <v>489</v>
      </c>
      <c r="D886" s="22" t="s">
        <v>468</v>
      </c>
      <c r="E886" s="22" t="s">
        <v>490</v>
      </c>
    </row>
    <row r="887" spans="1:5" x14ac:dyDescent="0.25">
      <c r="A887" s="35">
        <v>46008.906951643519</v>
      </c>
      <c r="B887" s="22" t="s">
        <v>1379</v>
      </c>
      <c r="C887" s="22" t="s">
        <v>489</v>
      </c>
      <c r="D887" s="22" t="s">
        <v>492</v>
      </c>
      <c r="E887" s="22" t="s">
        <v>490</v>
      </c>
    </row>
    <row r="888" spans="1:5" x14ac:dyDescent="0.25">
      <c r="A888" s="35">
        <v>46008.906954560181</v>
      </c>
      <c r="B888" s="22" t="s">
        <v>1380</v>
      </c>
      <c r="C888" s="22" t="s">
        <v>489</v>
      </c>
      <c r="D888" s="22" t="s">
        <v>468</v>
      </c>
      <c r="E888" s="22" t="s">
        <v>490</v>
      </c>
    </row>
    <row r="889" spans="1:5" x14ac:dyDescent="0.25">
      <c r="A889" s="35">
        <v>46008.906957361112</v>
      </c>
      <c r="B889" s="22" t="s">
        <v>1381</v>
      </c>
      <c r="C889" s="22" t="s">
        <v>489</v>
      </c>
      <c r="D889" s="22" t="s">
        <v>500</v>
      </c>
      <c r="E889" s="22" t="s">
        <v>490</v>
      </c>
    </row>
    <row r="890" spans="1:5" x14ac:dyDescent="0.25">
      <c r="A890" s="35">
        <v>46008.906960243054</v>
      </c>
      <c r="B890" s="22" t="s">
        <v>1382</v>
      </c>
      <c r="C890" s="22" t="s">
        <v>489</v>
      </c>
      <c r="D890" s="22" t="s">
        <v>500</v>
      </c>
      <c r="E890" s="22" t="s">
        <v>490</v>
      </c>
    </row>
    <row r="891" spans="1:5" x14ac:dyDescent="0.25">
      <c r="A891" s="35">
        <v>46008.906963252317</v>
      </c>
      <c r="B891" s="22" t="s">
        <v>1383</v>
      </c>
      <c r="C891" s="22" t="s">
        <v>489</v>
      </c>
      <c r="D891" s="22" t="s">
        <v>500</v>
      </c>
      <c r="E891" s="22" t="s">
        <v>490</v>
      </c>
    </row>
    <row r="892" spans="1:5" x14ac:dyDescent="0.25">
      <c r="A892" s="35">
        <v>46008.906966261573</v>
      </c>
      <c r="B892" s="22" t="s">
        <v>1384</v>
      </c>
      <c r="C892" s="22" t="s">
        <v>489</v>
      </c>
      <c r="D892" s="22" t="s">
        <v>500</v>
      </c>
      <c r="E892" s="22" t="s">
        <v>490</v>
      </c>
    </row>
    <row r="893" spans="1:5" x14ac:dyDescent="0.25">
      <c r="A893" s="35">
        <v>46008.906969050928</v>
      </c>
      <c r="B893" s="22" t="s">
        <v>1385</v>
      </c>
      <c r="C893" s="22" t="s">
        <v>489</v>
      </c>
      <c r="D893" s="22" t="s">
        <v>468</v>
      </c>
      <c r="E893" s="22" t="s">
        <v>490</v>
      </c>
    </row>
    <row r="894" spans="1:5" x14ac:dyDescent="0.25">
      <c r="A894" s="35">
        <v>46008.90698028935</v>
      </c>
      <c r="B894" s="22" t="s">
        <v>1386</v>
      </c>
      <c r="C894" s="22" t="s">
        <v>489</v>
      </c>
      <c r="D894" s="22" t="s">
        <v>468</v>
      </c>
      <c r="E894" s="22" t="s">
        <v>490</v>
      </c>
    </row>
    <row r="895" spans="1:5" x14ac:dyDescent="0.25">
      <c r="A895" s="35">
        <v>46008.906983252316</v>
      </c>
      <c r="B895" s="22" t="s">
        <v>1387</v>
      </c>
      <c r="C895" s="22" t="s">
        <v>489</v>
      </c>
      <c r="D895" s="22" t="s">
        <v>468</v>
      </c>
      <c r="E895" s="22" t="s">
        <v>490</v>
      </c>
    </row>
    <row r="896" spans="1:5" x14ac:dyDescent="0.25">
      <c r="A896" s="35">
        <v>46008.906986076385</v>
      </c>
      <c r="B896" s="22" t="s">
        <v>1388</v>
      </c>
      <c r="C896" s="22" t="s">
        <v>482</v>
      </c>
      <c r="D896" s="22" t="s">
        <v>449</v>
      </c>
      <c r="E896" s="22" t="s">
        <v>490</v>
      </c>
    </row>
    <row r="897" spans="1:5" x14ac:dyDescent="0.25">
      <c r="A897" s="35">
        <v>46008.906989050927</v>
      </c>
      <c r="B897" s="22" t="s">
        <v>1389</v>
      </c>
      <c r="C897" s="22" t="s">
        <v>482</v>
      </c>
      <c r="D897" s="22" t="s">
        <v>449</v>
      </c>
      <c r="E897" s="22" t="s">
        <v>490</v>
      </c>
    </row>
    <row r="898" spans="1:5" x14ac:dyDescent="0.25">
      <c r="A898" s="35">
        <v>46008.906991967597</v>
      </c>
      <c r="B898" s="22" t="s">
        <v>1390</v>
      </c>
      <c r="C898" s="22" t="s">
        <v>482</v>
      </c>
      <c r="D898" s="22" t="s">
        <v>449</v>
      </c>
      <c r="E898" s="22" t="s">
        <v>490</v>
      </c>
    </row>
    <row r="899" spans="1:5" x14ac:dyDescent="0.25">
      <c r="A899" s="35">
        <v>46008.906994930556</v>
      </c>
      <c r="B899" s="22" t="s">
        <v>1391</v>
      </c>
      <c r="C899" s="22" t="s">
        <v>489</v>
      </c>
      <c r="D899" s="22" t="s">
        <v>468</v>
      </c>
      <c r="E899" s="22" t="s">
        <v>490</v>
      </c>
    </row>
    <row r="900" spans="1:5" x14ac:dyDescent="0.25">
      <c r="A900" s="35">
        <v>46008.90699787037</v>
      </c>
      <c r="B900" s="22" t="s">
        <v>1392</v>
      </c>
      <c r="C900" s="22" t="s">
        <v>489</v>
      </c>
      <c r="D900" s="22" t="s">
        <v>469</v>
      </c>
      <c r="E900" s="22" t="s">
        <v>490</v>
      </c>
    </row>
    <row r="901" spans="1:5" x14ac:dyDescent="0.25">
      <c r="A901" s="35">
        <v>46008.907000833336</v>
      </c>
      <c r="B901" s="22" t="s">
        <v>1393</v>
      </c>
      <c r="C901" s="22" t="s">
        <v>489</v>
      </c>
      <c r="D901" s="22" t="s">
        <v>500</v>
      </c>
      <c r="E901" s="22" t="s">
        <v>490</v>
      </c>
    </row>
    <row r="902" spans="1:5" x14ac:dyDescent="0.25">
      <c r="A902" s="35">
        <v>46008.907003900458</v>
      </c>
      <c r="B902" s="22" t="s">
        <v>1394</v>
      </c>
      <c r="C902" s="22" t="s">
        <v>489</v>
      </c>
      <c r="D902" s="22" t="s">
        <v>500</v>
      </c>
      <c r="E902" s="22" t="s">
        <v>490</v>
      </c>
    </row>
    <row r="903" spans="1:5" x14ac:dyDescent="0.25">
      <c r="A903" s="35">
        <v>46008.907006747686</v>
      </c>
      <c r="B903" s="22" t="s">
        <v>1395</v>
      </c>
      <c r="C903" s="22" t="s">
        <v>489</v>
      </c>
      <c r="D903" s="22" t="s">
        <v>500</v>
      </c>
      <c r="E903" s="22" t="s">
        <v>490</v>
      </c>
    </row>
    <row r="904" spans="1:5" x14ac:dyDescent="0.25">
      <c r="A904" s="35">
        <v>46008.907009629635</v>
      </c>
      <c r="B904" s="22" t="s">
        <v>1396</v>
      </c>
      <c r="C904" s="22" t="s">
        <v>489</v>
      </c>
      <c r="D904" s="22" t="s">
        <v>468</v>
      </c>
      <c r="E904" s="22" t="s">
        <v>490</v>
      </c>
    </row>
    <row r="905" spans="1:5" x14ac:dyDescent="0.25">
      <c r="A905" s="35">
        <v>46008.907012615746</v>
      </c>
      <c r="B905" s="22" t="s">
        <v>1397</v>
      </c>
      <c r="C905" s="22" t="s">
        <v>489</v>
      </c>
      <c r="D905" s="22" t="s">
        <v>468</v>
      </c>
      <c r="E905" s="22" t="s">
        <v>490</v>
      </c>
    </row>
    <row r="906" spans="1:5" x14ac:dyDescent="0.25">
      <c r="A906" s="35">
        <v>46008.907015636578</v>
      </c>
      <c r="B906" s="22" t="s">
        <v>1398</v>
      </c>
      <c r="C906" s="22" t="s">
        <v>489</v>
      </c>
      <c r="D906" s="22" t="s">
        <v>468</v>
      </c>
      <c r="E906" s="22" t="s">
        <v>490</v>
      </c>
    </row>
    <row r="907" spans="1:5" x14ac:dyDescent="0.25">
      <c r="A907" s="35">
        <v>46008.907018541664</v>
      </c>
      <c r="B907" s="22" t="s">
        <v>1399</v>
      </c>
      <c r="C907" s="22" t="s">
        <v>482</v>
      </c>
      <c r="D907" s="22" t="s">
        <v>449</v>
      </c>
      <c r="E907" s="22" t="s">
        <v>490</v>
      </c>
    </row>
    <row r="908" spans="1:5" x14ac:dyDescent="0.25">
      <c r="A908" s="35">
        <v>46008.907021331019</v>
      </c>
      <c r="B908" s="22" t="s">
        <v>1400</v>
      </c>
      <c r="C908" s="22" t="s">
        <v>482</v>
      </c>
      <c r="D908" s="22" t="s">
        <v>449</v>
      </c>
      <c r="E908" s="22" t="s">
        <v>490</v>
      </c>
    </row>
    <row r="909" spans="1:5" x14ac:dyDescent="0.25">
      <c r="A909" s="35">
        <v>46008.907024039348</v>
      </c>
      <c r="B909" s="22" t="s">
        <v>1401</v>
      </c>
      <c r="C909" s="22" t="s">
        <v>482</v>
      </c>
      <c r="D909" s="22" t="s">
        <v>449</v>
      </c>
      <c r="E909" s="22" t="s">
        <v>490</v>
      </c>
    </row>
    <row r="910" spans="1:5" x14ac:dyDescent="0.25">
      <c r="A910" s="35">
        <v>46008.907026875</v>
      </c>
      <c r="B910" s="22" t="s">
        <v>1402</v>
      </c>
      <c r="C910" s="22" t="s">
        <v>482</v>
      </c>
      <c r="D910" s="22" t="s">
        <v>449</v>
      </c>
      <c r="E910" s="22" t="s">
        <v>490</v>
      </c>
    </row>
    <row r="911" spans="1:5" x14ac:dyDescent="0.25">
      <c r="A911" s="35">
        <v>46008.907029872687</v>
      </c>
      <c r="B911" s="22" t="s">
        <v>1403</v>
      </c>
      <c r="C911" s="22" t="s">
        <v>489</v>
      </c>
      <c r="D911" s="22" t="s">
        <v>500</v>
      </c>
      <c r="E911" s="22" t="s">
        <v>490</v>
      </c>
    </row>
    <row r="912" spans="1:5" x14ac:dyDescent="0.25">
      <c r="A912" s="35">
        <v>46008.907032719908</v>
      </c>
      <c r="B912" s="22" t="s">
        <v>1404</v>
      </c>
      <c r="C912" s="22" t="s">
        <v>489</v>
      </c>
      <c r="D912" s="22" t="s">
        <v>500</v>
      </c>
      <c r="E912" s="22" t="s">
        <v>490</v>
      </c>
    </row>
    <row r="913" spans="1:5" x14ac:dyDescent="0.25">
      <c r="A913" s="35">
        <v>46008.907040763894</v>
      </c>
      <c r="B913" s="22" t="s">
        <v>1405</v>
      </c>
      <c r="C913" s="22" t="s">
        <v>489</v>
      </c>
      <c r="D913" s="22" t="s">
        <v>468</v>
      </c>
      <c r="E913" s="22" t="s">
        <v>490</v>
      </c>
    </row>
    <row r="914" spans="1:5" x14ac:dyDescent="0.25">
      <c r="A914" s="35">
        <v>46008.907043738422</v>
      </c>
      <c r="B914" s="22" t="s">
        <v>1406</v>
      </c>
      <c r="C914" s="22" t="s">
        <v>489</v>
      </c>
      <c r="D914" s="22" t="s">
        <v>468</v>
      </c>
      <c r="E914" s="22" t="s">
        <v>490</v>
      </c>
    </row>
    <row r="915" spans="1:5" x14ac:dyDescent="0.25">
      <c r="A915" s="35">
        <v>46008.907046898152</v>
      </c>
      <c r="B915" s="22" t="s">
        <v>1407</v>
      </c>
      <c r="C915" s="22" t="s">
        <v>489</v>
      </c>
      <c r="D915" s="22" t="s">
        <v>468</v>
      </c>
      <c r="E915" s="22" t="s">
        <v>490</v>
      </c>
    </row>
    <row r="916" spans="1:5" x14ac:dyDescent="0.25">
      <c r="A916" s="35">
        <v>46008.907049988426</v>
      </c>
      <c r="B916" s="22" t="s">
        <v>1408</v>
      </c>
      <c r="C916" s="22" t="s">
        <v>482</v>
      </c>
      <c r="D916" s="22" t="s">
        <v>449</v>
      </c>
      <c r="E916" s="22" t="s">
        <v>490</v>
      </c>
    </row>
    <row r="917" spans="1:5" x14ac:dyDescent="0.25">
      <c r="A917" s="35">
        <v>46008.907052893519</v>
      </c>
      <c r="B917" s="22" t="s">
        <v>1409</v>
      </c>
      <c r="C917" s="22" t="s">
        <v>489</v>
      </c>
      <c r="D917" s="22" t="s">
        <v>492</v>
      </c>
      <c r="E917" s="22" t="s">
        <v>490</v>
      </c>
    </row>
    <row r="918" spans="1:5" x14ac:dyDescent="0.25">
      <c r="A918" s="35">
        <v>46008.907055787036</v>
      </c>
      <c r="B918" s="22" t="s">
        <v>1410</v>
      </c>
      <c r="C918" s="22" t="s">
        <v>489</v>
      </c>
      <c r="D918" s="22" t="s">
        <v>500</v>
      </c>
      <c r="E918" s="22" t="s">
        <v>490</v>
      </c>
    </row>
    <row r="919" spans="1:5" x14ac:dyDescent="0.25">
      <c r="A919" s="35">
        <v>46008.907058761572</v>
      </c>
      <c r="B919" s="22" t="s">
        <v>1411</v>
      </c>
      <c r="C919" s="22" t="s">
        <v>489</v>
      </c>
      <c r="D919" s="22" t="s">
        <v>500</v>
      </c>
      <c r="E919" s="22" t="s">
        <v>490</v>
      </c>
    </row>
    <row r="920" spans="1:5" x14ac:dyDescent="0.25">
      <c r="A920" s="35">
        <v>46008.907061412036</v>
      </c>
      <c r="B920" s="22" t="s">
        <v>1412</v>
      </c>
      <c r="C920" s="22" t="s">
        <v>489</v>
      </c>
      <c r="D920" s="22" t="s">
        <v>500</v>
      </c>
      <c r="E920" s="22" t="s">
        <v>490</v>
      </c>
    </row>
    <row r="921" spans="1:5" x14ac:dyDescent="0.25">
      <c r="A921" s="35">
        <v>46008.907064247687</v>
      </c>
      <c r="B921" s="22" t="s">
        <v>1413</v>
      </c>
      <c r="C921" s="22" t="s">
        <v>489</v>
      </c>
      <c r="D921" s="22" t="s">
        <v>500</v>
      </c>
      <c r="E921" s="22" t="s">
        <v>490</v>
      </c>
    </row>
    <row r="922" spans="1:5" x14ac:dyDescent="0.25">
      <c r="A922" s="35">
        <v>46008.907067152773</v>
      </c>
      <c r="B922" s="22" t="s">
        <v>1414</v>
      </c>
      <c r="C922" s="22" t="s">
        <v>489</v>
      </c>
      <c r="D922" s="22" t="s">
        <v>500</v>
      </c>
      <c r="E922" s="22" t="s">
        <v>490</v>
      </c>
    </row>
    <row r="923" spans="1:5" x14ac:dyDescent="0.25">
      <c r="A923" s="35">
        <v>46008.907070162037</v>
      </c>
      <c r="B923" s="22" t="s">
        <v>1415</v>
      </c>
      <c r="C923" s="22" t="s">
        <v>489</v>
      </c>
      <c r="D923" s="22" t="s">
        <v>500</v>
      </c>
      <c r="E923" s="22" t="s">
        <v>490</v>
      </c>
    </row>
    <row r="924" spans="1:5" x14ac:dyDescent="0.25">
      <c r="A924" s="35">
        <v>46008.907074120369</v>
      </c>
      <c r="B924" s="22" t="s">
        <v>1416</v>
      </c>
      <c r="C924" s="22" t="s">
        <v>489</v>
      </c>
      <c r="D924" s="22" t="s">
        <v>468</v>
      </c>
      <c r="E924" s="22" t="s">
        <v>490</v>
      </c>
    </row>
    <row r="925" spans="1:5" x14ac:dyDescent="0.25">
      <c r="A925" s="35">
        <v>46008.907083576385</v>
      </c>
      <c r="B925" s="22" t="s">
        <v>1417</v>
      </c>
      <c r="C925" s="22" t="s">
        <v>489</v>
      </c>
      <c r="D925" s="22" t="s">
        <v>492</v>
      </c>
      <c r="E925" s="22" t="s">
        <v>490</v>
      </c>
    </row>
    <row r="926" spans="1:5" x14ac:dyDescent="0.25">
      <c r="A926" s="35">
        <v>46008.9070866088</v>
      </c>
      <c r="B926" s="22" t="s">
        <v>1418</v>
      </c>
      <c r="C926" s="22" t="s">
        <v>482</v>
      </c>
      <c r="D926" s="22" t="s">
        <v>449</v>
      </c>
      <c r="E926" s="22" t="s">
        <v>490</v>
      </c>
    </row>
    <row r="927" spans="1:5" x14ac:dyDescent="0.25">
      <c r="A927" s="35">
        <v>46008.907098668977</v>
      </c>
      <c r="B927" s="22" t="s">
        <v>1419</v>
      </c>
      <c r="C927" s="22" t="s">
        <v>489</v>
      </c>
      <c r="D927" s="22" t="s">
        <v>468</v>
      </c>
      <c r="E927" s="22" t="s">
        <v>490</v>
      </c>
    </row>
    <row r="928" spans="1:5" x14ac:dyDescent="0.25">
      <c r="A928" s="35">
        <v>46008.907101724537</v>
      </c>
      <c r="B928" s="22" t="s">
        <v>1420</v>
      </c>
      <c r="C928" s="22" t="s">
        <v>489</v>
      </c>
      <c r="D928" s="22" t="s">
        <v>468</v>
      </c>
      <c r="E928" s="22" t="s">
        <v>490</v>
      </c>
    </row>
    <row r="929" spans="1:5" x14ac:dyDescent="0.25">
      <c r="A929" s="35">
        <v>46008.907104675927</v>
      </c>
      <c r="B929" s="22" t="s">
        <v>1421</v>
      </c>
      <c r="C929" s="22" t="s">
        <v>489</v>
      </c>
      <c r="D929" s="22" t="s">
        <v>500</v>
      </c>
      <c r="E929" s="22" t="s">
        <v>490</v>
      </c>
    </row>
    <row r="930" spans="1:5" x14ac:dyDescent="0.25">
      <c r="A930" s="35">
        <v>46008.90710762731</v>
      </c>
      <c r="B930" s="22" t="s">
        <v>1422</v>
      </c>
      <c r="C930" s="22" t="s">
        <v>489</v>
      </c>
      <c r="D930" s="22" t="s">
        <v>500</v>
      </c>
      <c r="E930" s="22" t="s">
        <v>490</v>
      </c>
    </row>
    <row r="931" spans="1:5" x14ac:dyDescent="0.25">
      <c r="A931" s="35">
        <v>46008.907110520835</v>
      </c>
      <c r="B931" s="22" t="s">
        <v>1423</v>
      </c>
      <c r="C931" s="22" t="s">
        <v>482</v>
      </c>
      <c r="D931" s="22" t="s">
        <v>516</v>
      </c>
      <c r="E931" s="22" t="s">
        <v>490</v>
      </c>
    </row>
    <row r="932" spans="1:5" x14ac:dyDescent="0.25">
      <c r="A932" s="35">
        <v>46008.907113564812</v>
      </c>
      <c r="B932" s="22" t="s">
        <v>1424</v>
      </c>
      <c r="C932" s="22" t="s">
        <v>489</v>
      </c>
      <c r="D932" s="22" t="s">
        <v>468</v>
      </c>
      <c r="E932" s="22" t="s">
        <v>490</v>
      </c>
    </row>
    <row r="933" spans="1:5" x14ac:dyDescent="0.25">
      <c r="A933" s="35">
        <v>46008.907116631948</v>
      </c>
      <c r="B933" s="22" t="s">
        <v>1425</v>
      </c>
      <c r="C933" s="22" t="s">
        <v>482</v>
      </c>
      <c r="D933" s="22" t="s">
        <v>449</v>
      </c>
      <c r="E933" s="22" t="s">
        <v>490</v>
      </c>
    </row>
    <row r="934" spans="1:5" x14ac:dyDescent="0.25">
      <c r="A934" s="35">
        <v>46008.907119479161</v>
      </c>
      <c r="B934" s="22" t="s">
        <v>1426</v>
      </c>
      <c r="C934" s="22" t="s">
        <v>489</v>
      </c>
      <c r="D934" s="22" t="s">
        <v>492</v>
      </c>
      <c r="E934" s="22" t="s">
        <v>490</v>
      </c>
    </row>
    <row r="935" spans="1:5" x14ac:dyDescent="0.25">
      <c r="A935" s="35">
        <v>46008.907122557866</v>
      </c>
      <c r="B935" s="22" t="s">
        <v>1427</v>
      </c>
      <c r="C935" s="22" t="s">
        <v>482</v>
      </c>
      <c r="D935" s="22" t="s">
        <v>449</v>
      </c>
      <c r="E935" s="22" t="s">
        <v>490</v>
      </c>
    </row>
    <row r="936" spans="1:5" x14ac:dyDescent="0.25">
      <c r="A936" s="35">
        <v>46008.907125428239</v>
      </c>
      <c r="B936" s="22" t="s">
        <v>1428</v>
      </c>
      <c r="C936" s="22" t="s">
        <v>482</v>
      </c>
      <c r="D936" s="22" t="s">
        <v>516</v>
      </c>
      <c r="E936" s="22" t="s">
        <v>490</v>
      </c>
    </row>
    <row r="937" spans="1:5" x14ac:dyDescent="0.25">
      <c r="A937" s="35">
        <v>46008.90712822917</v>
      </c>
      <c r="B937" s="22" t="s">
        <v>1429</v>
      </c>
      <c r="C937" s="22" t="s">
        <v>489</v>
      </c>
      <c r="D937" s="22" t="s">
        <v>468</v>
      </c>
      <c r="E937" s="22" t="s">
        <v>490</v>
      </c>
    </row>
    <row r="938" spans="1:5" x14ac:dyDescent="0.25">
      <c r="A938" s="35">
        <v>46008.90713118056</v>
      </c>
      <c r="B938" s="22" t="s">
        <v>1430</v>
      </c>
      <c r="C938" s="22" t="s">
        <v>489</v>
      </c>
      <c r="D938" s="22" t="s">
        <v>582</v>
      </c>
      <c r="E938" s="22" t="s">
        <v>490</v>
      </c>
    </row>
    <row r="939" spans="1:5" x14ac:dyDescent="0.25">
      <c r="A939" s="35">
        <v>46008.907133993052</v>
      </c>
      <c r="B939" s="22" t="s">
        <v>1431</v>
      </c>
      <c r="C939" s="22" t="s">
        <v>482</v>
      </c>
      <c r="D939" s="22" t="s">
        <v>449</v>
      </c>
      <c r="E939" s="22" t="s">
        <v>490</v>
      </c>
    </row>
    <row r="940" spans="1:5" x14ac:dyDescent="0.25">
      <c r="A940" s="35">
        <v>46008.907136863425</v>
      </c>
      <c r="B940" s="22" t="s">
        <v>1432</v>
      </c>
      <c r="C940" s="22" t="s">
        <v>489</v>
      </c>
      <c r="D940" s="22" t="s">
        <v>468</v>
      </c>
      <c r="E940" s="22" t="s">
        <v>490</v>
      </c>
    </row>
    <row r="941" spans="1:5" x14ac:dyDescent="0.25">
      <c r="A941" s="35">
        <v>46008.907139594907</v>
      </c>
      <c r="B941" s="22" t="s">
        <v>1433</v>
      </c>
      <c r="C941" s="22" t="s">
        <v>489</v>
      </c>
      <c r="D941" s="22" t="s">
        <v>492</v>
      </c>
      <c r="E941" s="22" t="s">
        <v>490</v>
      </c>
    </row>
    <row r="942" spans="1:5" x14ac:dyDescent="0.25">
      <c r="A942" s="35">
        <v>46008.907142777782</v>
      </c>
      <c r="B942" s="22" t="s">
        <v>1434</v>
      </c>
      <c r="C942" s="22" t="s">
        <v>489</v>
      </c>
      <c r="D942" s="22" t="s">
        <v>468</v>
      </c>
      <c r="E942" s="22" t="s">
        <v>490</v>
      </c>
    </row>
    <row r="943" spans="1:5" x14ac:dyDescent="0.25">
      <c r="A943" s="35">
        <v>46008.907145659723</v>
      </c>
      <c r="B943" s="22" t="s">
        <v>1435</v>
      </c>
      <c r="C943" s="22" t="s">
        <v>489</v>
      </c>
      <c r="D943" s="22" t="s">
        <v>468</v>
      </c>
      <c r="E943" s="22" t="s">
        <v>490</v>
      </c>
    </row>
    <row r="944" spans="1:5" x14ac:dyDescent="0.25">
      <c r="A944" s="35">
        <v>46008.907149814811</v>
      </c>
      <c r="B944" s="22" t="s">
        <v>1436</v>
      </c>
      <c r="C944" s="22" t="s">
        <v>489</v>
      </c>
      <c r="D944" s="22" t="s">
        <v>500</v>
      </c>
      <c r="E944" s="22" t="s">
        <v>490</v>
      </c>
    </row>
    <row r="945" spans="1:5" x14ac:dyDescent="0.25">
      <c r="A945" s="35">
        <v>46008.907152812499</v>
      </c>
      <c r="B945" s="22" t="s">
        <v>1437</v>
      </c>
      <c r="C945" s="22" t="s">
        <v>489</v>
      </c>
      <c r="D945" s="22" t="s">
        <v>468</v>
      </c>
      <c r="E945" s="22" t="s">
        <v>490</v>
      </c>
    </row>
    <row r="946" spans="1:5" x14ac:dyDescent="0.25">
      <c r="A946" s="35">
        <v>46008.907155578709</v>
      </c>
      <c r="B946" s="22" t="s">
        <v>1438</v>
      </c>
      <c r="C946" s="22" t="s">
        <v>489</v>
      </c>
      <c r="D946" s="22" t="s">
        <v>582</v>
      </c>
      <c r="E946" s="22" t="s">
        <v>490</v>
      </c>
    </row>
    <row r="947" spans="1:5" x14ac:dyDescent="0.25">
      <c r="A947" s="35">
        <v>46008.907158425922</v>
      </c>
      <c r="B947" s="22" t="s">
        <v>1439</v>
      </c>
      <c r="C947" s="22" t="s">
        <v>482</v>
      </c>
      <c r="D947" s="22" t="s">
        <v>449</v>
      </c>
      <c r="E947" s="22" t="s">
        <v>490</v>
      </c>
    </row>
    <row r="948" spans="1:5" x14ac:dyDescent="0.25">
      <c r="A948" s="35">
        <v>46008.907161296302</v>
      </c>
      <c r="B948" s="22" t="s">
        <v>1440</v>
      </c>
      <c r="C948" s="22" t="s">
        <v>482</v>
      </c>
      <c r="D948" s="22" t="s">
        <v>449</v>
      </c>
      <c r="E948" s="22" t="s">
        <v>490</v>
      </c>
    </row>
    <row r="949" spans="1:5" x14ac:dyDescent="0.25">
      <c r="A949" s="35">
        <v>46008.907164074073</v>
      </c>
      <c r="B949" s="22" t="s">
        <v>1441</v>
      </c>
      <c r="C949" s="22" t="s">
        <v>489</v>
      </c>
      <c r="D949" s="22" t="s">
        <v>492</v>
      </c>
      <c r="E949" s="22" t="s">
        <v>490</v>
      </c>
    </row>
    <row r="950" spans="1:5" x14ac:dyDescent="0.25">
      <c r="A950" s="35">
        <v>46008.907166782403</v>
      </c>
      <c r="B950" s="22" t="s">
        <v>1442</v>
      </c>
      <c r="C950" s="22" t="s">
        <v>489</v>
      </c>
      <c r="D950" s="22" t="s">
        <v>492</v>
      </c>
      <c r="E950" s="22" t="s">
        <v>490</v>
      </c>
    </row>
    <row r="951" spans="1:5" x14ac:dyDescent="0.25">
      <c r="A951" s="35">
        <v>46008.907169548613</v>
      </c>
      <c r="B951" s="22" t="s">
        <v>1443</v>
      </c>
      <c r="C951" s="22" t="s">
        <v>489</v>
      </c>
      <c r="D951" s="22" t="s">
        <v>500</v>
      </c>
      <c r="E951" s="22" t="s">
        <v>490</v>
      </c>
    </row>
    <row r="952" spans="1:5" x14ac:dyDescent="0.25">
      <c r="A952" s="35">
        <v>46008.907172488427</v>
      </c>
      <c r="B952" s="22" t="s">
        <v>1444</v>
      </c>
      <c r="C952" s="22" t="s">
        <v>489</v>
      </c>
      <c r="D952" s="22" t="s">
        <v>500</v>
      </c>
      <c r="E952" s="22" t="s">
        <v>490</v>
      </c>
    </row>
    <row r="953" spans="1:5" x14ac:dyDescent="0.25">
      <c r="A953" s="35">
        <v>46008.907202326387</v>
      </c>
      <c r="B953" s="22" t="s">
        <v>1445</v>
      </c>
      <c r="C953" s="22" t="s">
        <v>489</v>
      </c>
      <c r="D953" s="22" t="s">
        <v>468</v>
      </c>
      <c r="E953" s="22" t="s">
        <v>490</v>
      </c>
    </row>
    <row r="954" spans="1:5" x14ac:dyDescent="0.25">
      <c r="A954" s="35">
        <v>46008.907205312498</v>
      </c>
      <c r="B954" s="22" t="s">
        <v>1446</v>
      </c>
      <c r="C954" s="22" t="s">
        <v>489</v>
      </c>
      <c r="D954" s="22" t="s">
        <v>468</v>
      </c>
      <c r="E954" s="22" t="s">
        <v>490</v>
      </c>
    </row>
    <row r="955" spans="1:5" x14ac:dyDescent="0.25">
      <c r="A955" s="35">
        <v>46008.907208425924</v>
      </c>
      <c r="B955" s="22" t="s">
        <v>1447</v>
      </c>
      <c r="C955" s="22" t="s">
        <v>489</v>
      </c>
      <c r="D955" s="22" t="s">
        <v>500</v>
      </c>
      <c r="E955" s="22" t="s">
        <v>490</v>
      </c>
    </row>
    <row r="956" spans="1:5" x14ac:dyDescent="0.25">
      <c r="A956" s="35">
        <v>46008.907211469908</v>
      </c>
      <c r="B956" s="22" t="s">
        <v>1448</v>
      </c>
      <c r="C956" s="22" t="s">
        <v>489</v>
      </c>
      <c r="D956" s="22" t="s">
        <v>468</v>
      </c>
      <c r="E956" s="22" t="s">
        <v>490</v>
      </c>
    </row>
    <row r="957" spans="1:5" x14ac:dyDescent="0.25">
      <c r="A957" s="35">
        <v>46008.90721690972</v>
      </c>
      <c r="B957" s="22" t="s">
        <v>1449</v>
      </c>
      <c r="C957" s="22" t="s">
        <v>489</v>
      </c>
      <c r="D957" s="22" t="s">
        <v>492</v>
      </c>
      <c r="E957" s="22" t="s">
        <v>490</v>
      </c>
    </row>
    <row r="958" spans="1:5" x14ac:dyDescent="0.25">
      <c r="A958" s="35">
        <v>46008.90721986111</v>
      </c>
      <c r="B958" s="22" t="s">
        <v>1450</v>
      </c>
      <c r="C958" s="22" t="s">
        <v>489</v>
      </c>
      <c r="D958" s="22" t="s">
        <v>468</v>
      </c>
      <c r="E958" s="22" t="s">
        <v>490</v>
      </c>
    </row>
    <row r="959" spans="1:5" x14ac:dyDescent="0.25">
      <c r="A959" s="35">
        <v>46008.907222997688</v>
      </c>
      <c r="B959" s="22" t="s">
        <v>1451</v>
      </c>
      <c r="C959" s="22" t="s">
        <v>489</v>
      </c>
      <c r="D959" s="22" t="s">
        <v>500</v>
      </c>
      <c r="E959" s="22" t="s">
        <v>490</v>
      </c>
    </row>
    <row r="960" spans="1:5" x14ac:dyDescent="0.25">
      <c r="A960" s="35">
        <v>46008.907226215277</v>
      </c>
      <c r="B960" s="22" t="s">
        <v>1452</v>
      </c>
      <c r="C960" s="22" t="s">
        <v>489</v>
      </c>
      <c r="D960" s="22" t="s">
        <v>500</v>
      </c>
      <c r="E960" s="22" t="s">
        <v>490</v>
      </c>
    </row>
    <row r="961" spans="1:5" x14ac:dyDescent="0.25">
      <c r="A961" s="35">
        <v>46008.907228993055</v>
      </c>
      <c r="B961" s="22" t="s">
        <v>1453</v>
      </c>
      <c r="C961" s="22" t="s">
        <v>489</v>
      </c>
      <c r="D961" s="22" t="s">
        <v>469</v>
      </c>
      <c r="E961" s="22" t="s">
        <v>490</v>
      </c>
    </row>
    <row r="962" spans="1:5" x14ac:dyDescent="0.25">
      <c r="A962" s="35">
        <v>46008.907232997684</v>
      </c>
      <c r="B962" s="22" t="s">
        <v>1454</v>
      </c>
      <c r="C962" s="22" t="s">
        <v>489</v>
      </c>
      <c r="D962" s="22" t="s">
        <v>468</v>
      </c>
      <c r="E962" s="22" t="s">
        <v>490</v>
      </c>
    </row>
    <row r="963" spans="1:5" x14ac:dyDescent="0.25">
      <c r="A963" s="35">
        <v>46008.907246863426</v>
      </c>
      <c r="B963" s="22" t="s">
        <v>1455</v>
      </c>
      <c r="C963" s="22" t="s">
        <v>489</v>
      </c>
      <c r="D963" s="22" t="s">
        <v>492</v>
      </c>
      <c r="E963" s="22" t="s">
        <v>490</v>
      </c>
    </row>
    <row r="964" spans="1:5" x14ac:dyDescent="0.25">
      <c r="A964" s="35">
        <v>46008.907255300925</v>
      </c>
      <c r="B964" s="22" t="s">
        <v>1456</v>
      </c>
      <c r="C964" s="22" t="s">
        <v>489</v>
      </c>
      <c r="D964" s="22" t="s">
        <v>492</v>
      </c>
      <c r="E964" s="22" t="s">
        <v>490</v>
      </c>
    </row>
    <row r="965" spans="1:5" x14ac:dyDescent="0.25">
      <c r="A965" s="35">
        <v>46008.907273495366</v>
      </c>
      <c r="B965" s="22" t="s">
        <v>1457</v>
      </c>
      <c r="C965" s="22" t="s">
        <v>489</v>
      </c>
      <c r="D965" s="22" t="s">
        <v>500</v>
      </c>
      <c r="E965" s="22" t="s">
        <v>490</v>
      </c>
    </row>
    <row r="966" spans="1:5" x14ac:dyDescent="0.25">
      <c r="A966" s="35">
        <v>46008.907278078703</v>
      </c>
      <c r="B966" s="22" t="s">
        <v>1458</v>
      </c>
      <c r="C966" s="22" t="s">
        <v>489</v>
      </c>
      <c r="D966" s="22" t="s">
        <v>468</v>
      </c>
      <c r="E966" s="22" t="s">
        <v>490</v>
      </c>
    </row>
    <row r="967" spans="1:5" x14ac:dyDescent="0.25">
      <c r="A967" s="35">
        <v>46008.907280914354</v>
      </c>
      <c r="B967" s="22" t="s">
        <v>1459</v>
      </c>
      <c r="C967" s="22" t="s">
        <v>489</v>
      </c>
      <c r="D967" s="22" t="s">
        <v>500</v>
      </c>
      <c r="E967" s="22" t="s">
        <v>490</v>
      </c>
    </row>
    <row r="968" spans="1:5" x14ac:dyDescent="0.25">
      <c r="A968" s="35">
        <v>46008.907283900466</v>
      </c>
      <c r="B968" s="22" t="s">
        <v>1460</v>
      </c>
      <c r="C968" s="22" t="s">
        <v>489</v>
      </c>
      <c r="D968" s="22" t="s">
        <v>469</v>
      </c>
      <c r="E968" s="22" t="s">
        <v>490</v>
      </c>
    </row>
    <row r="969" spans="1:5" x14ac:dyDescent="0.25">
      <c r="A969" s="35">
        <v>46008.907286851856</v>
      </c>
      <c r="B969" s="22" t="s">
        <v>1461</v>
      </c>
      <c r="C969" s="22" t="s">
        <v>489</v>
      </c>
      <c r="D969" s="22" t="s">
        <v>468</v>
      </c>
      <c r="E969" s="22" t="s">
        <v>490</v>
      </c>
    </row>
    <row r="970" spans="1:5" x14ac:dyDescent="0.25">
      <c r="A970" s="35">
        <v>46008.907296412042</v>
      </c>
      <c r="B970" s="22" t="s">
        <v>1462</v>
      </c>
      <c r="C970" s="22" t="s">
        <v>489</v>
      </c>
      <c r="D970" s="22" t="s">
        <v>582</v>
      </c>
      <c r="E970" s="22" t="s">
        <v>490</v>
      </c>
    </row>
    <row r="971" spans="1:5" x14ac:dyDescent="0.25">
      <c r="A971" s="35">
        <v>46008.90729930556</v>
      </c>
      <c r="B971" s="22" t="s">
        <v>1463</v>
      </c>
      <c r="C971" s="22" t="s">
        <v>482</v>
      </c>
      <c r="D971" s="22" t="s">
        <v>449</v>
      </c>
      <c r="E971" s="22" t="s">
        <v>490</v>
      </c>
    </row>
    <row r="972" spans="1:5" x14ac:dyDescent="0.25">
      <c r="A972" s="35">
        <v>46008.907302129628</v>
      </c>
      <c r="B972" s="22" t="s">
        <v>1464</v>
      </c>
      <c r="C972" s="22" t="s">
        <v>482</v>
      </c>
      <c r="D972" s="22" t="s">
        <v>449</v>
      </c>
      <c r="E972" s="22" t="s">
        <v>490</v>
      </c>
    </row>
    <row r="973" spans="1:5" x14ac:dyDescent="0.25">
      <c r="A973" s="35">
        <v>46008.907304884255</v>
      </c>
      <c r="B973" s="22" t="s">
        <v>1465</v>
      </c>
      <c r="C973" s="22" t="s">
        <v>482</v>
      </c>
      <c r="D973" s="22" t="s">
        <v>449</v>
      </c>
      <c r="E973" s="22" t="s">
        <v>490</v>
      </c>
    </row>
    <row r="974" spans="1:5" x14ac:dyDescent="0.25">
      <c r="A974" s="35">
        <v>46008.907307789355</v>
      </c>
      <c r="B974" s="22" t="s">
        <v>1466</v>
      </c>
      <c r="C974" s="22" t="s">
        <v>489</v>
      </c>
      <c r="D974" s="22" t="s">
        <v>468</v>
      </c>
      <c r="E974" s="22" t="s">
        <v>490</v>
      </c>
    </row>
    <row r="975" spans="1:5" x14ac:dyDescent="0.25">
      <c r="A975" s="35">
        <v>46008.907310798611</v>
      </c>
      <c r="B975" s="22" t="s">
        <v>1467</v>
      </c>
      <c r="C975" s="22" t="s">
        <v>482</v>
      </c>
      <c r="D975" s="22" t="s">
        <v>516</v>
      </c>
      <c r="E975" s="22" t="s">
        <v>490</v>
      </c>
    </row>
    <row r="976" spans="1:5" x14ac:dyDescent="0.25">
      <c r="A976" s="35">
        <v>46008.907313645832</v>
      </c>
      <c r="B976" s="22" t="s">
        <v>1468</v>
      </c>
      <c r="C976" s="22" t="s">
        <v>489</v>
      </c>
      <c r="D976" s="22" t="s">
        <v>500</v>
      </c>
      <c r="E976" s="22" t="s">
        <v>490</v>
      </c>
    </row>
    <row r="977" spans="1:5" x14ac:dyDescent="0.25">
      <c r="A977" s="35">
        <v>46008.907316597222</v>
      </c>
      <c r="B977" s="22" t="s">
        <v>1469</v>
      </c>
      <c r="C977" s="22" t="s">
        <v>489</v>
      </c>
      <c r="D977" s="22" t="s">
        <v>582</v>
      </c>
      <c r="E977" s="22" t="s">
        <v>490</v>
      </c>
    </row>
    <row r="978" spans="1:5" x14ac:dyDescent="0.25">
      <c r="A978" s="35">
        <v>46008.907319664351</v>
      </c>
      <c r="B978" s="22" t="s">
        <v>1470</v>
      </c>
      <c r="C978" s="22" t="s">
        <v>489</v>
      </c>
      <c r="D978" s="22" t="s">
        <v>500</v>
      </c>
      <c r="E978" s="22" t="s">
        <v>490</v>
      </c>
    </row>
    <row r="979" spans="1:5" x14ac:dyDescent="0.25">
      <c r="A979" s="35">
        <v>46008.907322511572</v>
      </c>
      <c r="B979" s="22" t="s">
        <v>1471</v>
      </c>
      <c r="C979" s="22" t="s">
        <v>489</v>
      </c>
      <c r="D979" s="22" t="s">
        <v>492</v>
      </c>
      <c r="E979" s="22" t="s">
        <v>490</v>
      </c>
    </row>
    <row r="980" spans="1:5" x14ac:dyDescent="0.25">
      <c r="A980" s="35">
        <v>46008.907325324079</v>
      </c>
      <c r="B980" s="22" t="s">
        <v>1472</v>
      </c>
      <c r="C980" s="22" t="s">
        <v>482</v>
      </c>
      <c r="D980" s="22" t="s">
        <v>449</v>
      </c>
      <c r="E980" s="22" t="s">
        <v>490</v>
      </c>
    </row>
    <row r="981" spans="1:5" x14ac:dyDescent="0.25">
      <c r="A981" s="35">
        <v>46008.907328425921</v>
      </c>
      <c r="B981" s="22" t="s">
        <v>1473</v>
      </c>
      <c r="C981" s="22" t="s">
        <v>489</v>
      </c>
      <c r="D981" s="22" t="s">
        <v>468</v>
      </c>
      <c r="E981" s="22" t="s">
        <v>490</v>
      </c>
    </row>
    <row r="982" spans="1:5" x14ac:dyDescent="0.25">
      <c r="A982" s="35">
        <v>46008.907331319446</v>
      </c>
      <c r="B982" s="22" t="s">
        <v>1474</v>
      </c>
      <c r="C982" s="22" t="s">
        <v>489</v>
      </c>
      <c r="D982" s="22" t="s">
        <v>492</v>
      </c>
      <c r="E982" s="22" t="s">
        <v>490</v>
      </c>
    </row>
    <row r="983" spans="1:5" x14ac:dyDescent="0.25">
      <c r="A983" s="35">
        <v>46008.907334328702</v>
      </c>
      <c r="B983" s="22" t="s">
        <v>1475</v>
      </c>
      <c r="C983" s="22" t="s">
        <v>489</v>
      </c>
      <c r="D983" s="22" t="s">
        <v>468</v>
      </c>
      <c r="E983" s="22" t="s">
        <v>490</v>
      </c>
    </row>
    <row r="984" spans="1:5" x14ac:dyDescent="0.25">
      <c r="A984" s="35">
        <v>46008.907337303244</v>
      </c>
      <c r="B984" s="22" t="s">
        <v>1476</v>
      </c>
      <c r="C984" s="22" t="s">
        <v>489</v>
      </c>
      <c r="D984" s="22" t="s">
        <v>468</v>
      </c>
      <c r="E984" s="22" t="s">
        <v>490</v>
      </c>
    </row>
    <row r="985" spans="1:5" x14ac:dyDescent="0.25">
      <c r="A985" s="35">
        <v>46008.907340219906</v>
      </c>
      <c r="B985" s="22" t="s">
        <v>1477</v>
      </c>
      <c r="C985" s="22" t="s">
        <v>489</v>
      </c>
      <c r="D985" s="22" t="s">
        <v>500</v>
      </c>
      <c r="E985" s="22" t="s">
        <v>490</v>
      </c>
    </row>
    <row r="986" spans="1:5" x14ac:dyDescent="0.25">
      <c r="A986" s="35">
        <v>46008.907343148152</v>
      </c>
      <c r="B986" s="22" t="s">
        <v>1478</v>
      </c>
      <c r="C986" s="22" t="s">
        <v>489</v>
      </c>
      <c r="D986" s="22" t="s">
        <v>468</v>
      </c>
      <c r="E986" s="22" t="s">
        <v>490</v>
      </c>
    </row>
    <row r="987" spans="1:5" x14ac:dyDescent="0.25">
      <c r="A987" s="35">
        <v>46008.907350312496</v>
      </c>
      <c r="B987" s="22" t="s">
        <v>1479</v>
      </c>
      <c r="C987" s="22" t="s">
        <v>482</v>
      </c>
      <c r="D987" s="22" t="s">
        <v>449</v>
      </c>
      <c r="E987" s="22" t="s">
        <v>490</v>
      </c>
    </row>
    <row r="988" spans="1:5" x14ac:dyDescent="0.25">
      <c r="A988" s="35">
        <v>46008.907355243056</v>
      </c>
      <c r="B988" s="22" t="s">
        <v>1480</v>
      </c>
      <c r="C988" s="22" t="s">
        <v>482</v>
      </c>
      <c r="D988" s="22" t="s">
        <v>449</v>
      </c>
      <c r="E988" s="22" t="s">
        <v>490</v>
      </c>
    </row>
    <row r="989" spans="1:5" x14ac:dyDescent="0.25">
      <c r="A989" s="35">
        <v>46008.907358020835</v>
      </c>
      <c r="B989" s="22" t="s">
        <v>1481</v>
      </c>
      <c r="C989" s="22" t="s">
        <v>489</v>
      </c>
      <c r="D989" s="22" t="s">
        <v>468</v>
      </c>
      <c r="E989" s="22" t="s">
        <v>490</v>
      </c>
    </row>
    <row r="990" spans="1:5" x14ac:dyDescent="0.25">
      <c r="A990" s="35">
        <v>46008.907361192134</v>
      </c>
      <c r="B990" s="22" t="s">
        <v>1482</v>
      </c>
      <c r="C990" s="22" t="s">
        <v>489</v>
      </c>
      <c r="D990" s="22" t="s">
        <v>500</v>
      </c>
      <c r="E990" s="22" t="s">
        <v>490</v>
      </c>
    </row>
    <row r="991" spans="1:5" x14ac:dyDescent="0.25">
      <c r="A991" s="35">
        <v>46008.907364189814</v>
      </c>
      <c r="B991" s="22" t="s">
        <v>1483</v>
      </c>
      <c r="C991" s="22" t="s">
        <v>489</v>
      </c>
      <c r="D991" s="22" t="s">
        <v>500</v>
      </c>
      <c r="E991" s="22" t="s">
        <v>490</v>
      </c>
    </row>
    <row r="992" spans="1:5" x14ac:dyDescent="0.25">
      <c r="A992" s="35">
        <v>46008.907367002314</v>
      </c>
      <c r="B992" s="22" t="s">
        <v>1484</v>
      </c>
      <c r="C992" s="22" t="s">
        <v>489</v>
      </c>
      <c r="D992" s="22" t="s">
        <v>468</v>
      </c>
      <c r="E992" s="22" t="s">
        <v>490</v>
      </c>
    </row>
    <row r="993" spans="1:5" x14ac:dyDescent="0.25">
      <c r="A993" s="35">
        <v>46008.907369745371</v>
      </c>
      <c r="B993" s="22" t="s">
        <v>1485</v>
      </c>
      <c r="C993" s="22" t="s">
        <v>482</v>
      </c>
      <c r="D993" s="22" t="s">
        <v>449</v>
      </c>
      <c r="E993" s="22" t="s">
        <v>490</v>
      </c>
    </row>
    <row r="994" spans="1:5" x14ac:dyDescent="0.25">
      <c r="A994" s="35">
        <v>46008.907373958333</v>
      </c>
      <c r="B994" s="22" t="s">
        <v>1486</v>
      </c>
      <c r="C994" s="22" t="s">
        <v>482</v>
      </c>
      <c r="D994" s="22" t="s">
        <v>449</v>
      </c>
      <c r="E994" s="22" t="s">
        <v>490</v>
      </c>
    </row>
    <row r="995" spans="1:5" x14ac:dyDescent="0.25">
      <c r="A995" s="35">
        <v>46008.907377430558</v>
      </c>
      <c r="B995" s="22" t="s">
        <v>1487</v>
      </c>
      <c r="C995" s="22" t="s">
        <v>489</v>
      </c>
      <c r="D995" s="22" t="s">
        <v>500</v>
      </c>
      <c r="E995" s="22" t="s">
        <v>490</v>
      </c>
    </row>
    <row r="996" spans="1:5" x14ac:dyDescent="0.25">
      <c r="A996" s="35">
        <v>46008.907380335644</v>
      </c>
      <c r="B996" s="22" t="s">
        <v>1488</v>
      </c>
      <c r="C996" s="22" t="s">
        <v>489</v>
      </c>
      <c r="D996" s="22" t="s">
        <v>468</v>
      </c>
      <c r="E996" s="22" t="s">
        <v>490</v>
      </c>
    </row>
    <row r="997" spans="1:5" x14ac:dyDescent="0.25">
      <c r="A997" s="35">
        <v>46008.907383194441</v>
      </c>
      <c r="B997" s="22" t="s">
        <v>1489</v>
      </c>
      <c r="C997" s="22" t="s">
        <v>482</v>
      </c>
      <c r="D997" s="22" t="s">
        <v>449</v>
      </c>
      <c r="E997" s="22" t="s">
        <v>490</v>
      </c>
    </row>
    <row r="998" spans="1:5" x14ac:dyDescent="0.25">
      <c r="A998" s="35">
        <v>46008.90739015046</v>
      </c>
      <c r="B998" s="22" t="s">
        <v>1490</v>
      </c>
      <c r="C998" s="22" t="s">
        <v>489</v>
      </c>
      <c r="D998" s="22" t="s">
        <v>468</v>
      </c>
      <c r="E998" s="22" t="s">
        <v>490</v>
      </c>
    </row>
    <row r="999" spans="1:5" x14ac:dyDescent="0.25">
      <c r="A999" s="35">
        <v>46008.907410439817</v>
      </c>
      <c r="B999" s="22" t="s">
        <v>1491</v>
      </c>
      <c r="C999" s="22" t="s">
        <v>489</v>
      </c>
      <c r="D999" s="22" t="s">
        <v>468</v>
      </c>
      <c r="E999" s="22" t="s">
        <v>490</v>
      </c>
    </row>
    <row r="1000" spans="1:5" x14ac:dyDescent="0.25">
      <c r="A1000" s="35">
        <v>46008.907415092588</v>
      </c>
      <c r="B1000" s="22" t="s">
        <v>1492</v>
      </c>
      <c r="C1000" s="22" t="s">
        <v>489</v>
      </c>
      <c r="D1000" s="22" t="s">
        <v>492</v>
      </c>
      <c r="E1000" s="22" t="s">
        <v>490</v>
      </c>
    </row>
    <row r="1001" spans="1:5" x14ac:dyDescent="0.25">
      <c r="A1001" s="35">
        <v>46008.90742069445</v>
      </c>
      <c r="B1001" s="22" t="s">
        <v>1493</v>
      </c>
      <c r="C1001" s="22" t="s">
        <v>489</v>
      </c>
      <c r="D1001" s="22" t="s">
        <v>468</v>
      </c>
      <c r="E1001" s="22" t="s">
        <v>490</v>
      </c>
    </row>
    <row r="1002" spans="1:5" x14ac:dyDescent="0.25">
      <c r="A1002" s="35">
        <v>46008.907423784724</v>
      </c>
      <c r="B1002" s="22" t="s">
        <v>1494</v>
      </c>
      <c r="C1002" s="22" t="s">
        <v>489</v>
      </c>
      <c r="D1002" s="22" t="s">
        <v>500</v>
      </c>
      <c r="E1002" s="22" t="s">
        <v>490</v>
      </c>
    </row>
    <row r="1003" spans="1:5" x14ac:dyDescent="0.25">
      <c r="A1003" s="35">
        <v>46008.90742768519</v>
      </c>
      <c r="B1003" s="22" t="s">
        <v>1495</v>
      </c>
      <c r="C1003" s="22" t="s">
        <v>489</v>
      </c>
      <c r="D1003" s="22" t="s">
        <v>468</v>
      </c>
      <c r="E1003" s="22" t="s">
        <v>490</v>
      </c>
    </row>
    <row r="1004" spans="1:5" x14ac:dyDescent="0.25">
      <c r="A1004" s="35">
        <v>46008.907430567131</v>
      </c>
      <c r="B1004" s="22" t="s">
        <v>1496</v>
      </c>
      <c r="C1004" s="22" t="s">
        <v>489</v>
      </c>
      <c r="D1004" s="22" t="s">
        <v>468</v>
      </c>
      <c r="E1004" s="22" t="s">
        <v>490</v>
      </c>
    </row>
    <row r="1005" spans="1:5" x14ac:dyDescent="0.25">
      <c r="A1005" s="35">
        <v>46008.907433483793</v>
      </c>
      <c r="B1005" s="22" t="s">
        <v>1497</v>
      </c>
      <c r="C1005" s="22" t="s">
        <v>489</v>
      </c>
      <c r="D1005" s="22" t="s">
        <v>500</v>
      </c>
      <c r="E1005" s="22" t="s">
        <v>490</v>
      </c>
    </row>
    <row r="1006" spans="1:5" x14ac:dyDescent="0.25">
      <c r="A1006" s="35">
        <v>46008.907436516209</v>
      </c>
      <c r="B1006" s="22" t="s">
        <v>1498</v>
      </c>
      <c r="C1006" s="22" t="s">
        <v>489</v>
      </c>
      <c r="D1006" s="22" t="s">
        <v>500</v>
      </c>
      <c r="E1006" s="22" t="s">
        <v>490</v>
      </c>
    </row>
    <row r="1007" spans="1:5" x14ac:dyDescent="0.25">
      <c r="A1007" s="35">
        <v>46008.907439467592</v>
      </c>
      <c r="B1007" s="22" t="s">
        <v>1499</v>
      </c>
      <c r="C1007" s="22" t="s">
        <v>489</v>
      </c>
      <c r="D1007" s="22" t="s">
        <v>500</v>
      </c>
      <c r="E1007" s="22" t="s">
        <v>490</v>
      </c>
    </row>
    <row r="1008" spans="1:5" x14ac:dyDescent="0.25">
      <c r="A1008" s="35">
        <v>46008.907444606477</v>
      </c>
      <c r="B1008" s="22" t="s">
        <v>1500</v>
      </c>
      <c r="C1008" s="22" t="s">
        <v>482</v>
      </c>
      <c r="D1008" s="22" t="s">
        <v>449</v>
      </c>
      <c r="E1008" s="22" t="s">
        <v>490</v>
      </c>
    </row>
    <row r="1009" spans="1:5" x14ac:dyDescent="0.25">
      <c r="A1009" s="35">
        <v>46008.907447418984</v>
      </c>
      <c r="B1009" s="22" t="s">
        <v>1501</v>
      </c>
      <c r="C1009" s="22" t="s">
        <v>482</v>
      </c>
      <c r="D1009" s="22" t="s">
        <v>516</v>
      </c>
      <c r="E1009" s="22" t="s">
        <v>490</v>
      </c>
    </row>
    <row r="1010" spans="1:5" x14ac:dyDescent="0.25">
      <c r="A1010" s="35">
        <v>46008.907450115745</v>
      </c>
      <c r="B1010" s="22" t="s">
        <v>1502</v>
      </c>
      <c r="C1010" s="22" t="s">
        <v>489</v>
      </c>
      <c r="D1010" s="22" t="s">
        <v>500</v>
      </c>
      <c r="E1010" s="22" t="s">
        <v>490</v>
      </c>
    </row>
    <row r="1011" spans="1:5" x14ac:dyDescent="0.25">
      <c r="A1011" s="35">
        <v>46008.907453043983</v>
      </c>
      <c r="B1011" s="22" t="s">
        <v>1503</v>
      </c>
      <c r="C1011" s="22" t="s">
        <v>489</v>
      </c>
      <c r="D1011" s="22" t="s">
        <v>468</v>
      </c>
      <c r="E1011" s="22" t="s">
        <v>490</v>
      </c>
    </row>
    <row r="1012" spans="1:5" x14ac:dyDescent="0.25">
      <c r="A1012" s="35">
        <v>46008.907455902779</v>
      </c>
      <c r="B1012" s="22" t="s">
        <v>1504</v>
      </c>
      <c r="C1012" s="22" t="s">
        <v>489</v>
      </c>
      <c r="D1012" s="22" t="s">
        <v>500</v>
      </c>
      <c r="E1012" s="22" t="s">
        <v>490</v>
      </c>
    </row>
    <row r="1013" spans="1:5" x14ac:dyDescent="0.25">
      <c r="A1013" s="35">
        <v>46008.907458888891</v>
      </c>
      <c r="B1013" s="22" t="s">
        <v>1505</v>
      </c>
      <c r="C1013" s="22" t="s">
        <v>489</v>
      </c>
      <c r="D1013" s="22" t="s">
        <v>468</v>
      </c>
      <c r="E1013" s="22" t="s">
        <v>490</v>
      </c>
    </row>
    <row r="1014" spans="1:5" x14ac:dyDescent="0.25">
      <c r="A1014" s="35">
        <v>46008.907462071758</v>
      </c>
      <c r="B1014" s="22" t="s">
        <v>1506</v>
      </c>
      <c r="C1014" s="22" t="s">
        <v>489</v>
      </c>
      <c r="D1014" s="22" t="s">
        <v>468</v>
      </c>
      <c r="E1014" s="22" t="s">
        <v>490</v>
      </c>
    </row>
    <row r="1015" spans="1:5" x14ac:dyDescent="0.25">
      <c r="A1015" s="35">
        <v>46008.907465185184</v>
      </c>
      <c r="B1015" s="22" t="s">
        <v>1507</v>
      </c>
      <c r="C1015" s="22" t="s">
        <v>482</v>
      </c>
      <c r="D1015" s="22" t="s">
        <v>449</v>
      </c>
      <c r="E1015" s="22" t="s">
        <v>490</v>
      </c>
    </row>
    <row r="1016" spans="1:5" x14ac:dyDescent="0.25">
      <c r="A1016" s="35">
        <v>46008.907468124999</v>
      </c>
      <c r="B1016" s="22" t="s">
        <v>1508</v>
      </c>
      <c r="C1016" s="22" t="s">
        <v>489</v>
      </c>
      <c r="D1016" s="22" t="s">
        <v>500</v>
      </c>
      <c r="E1016" s="22" t="s">
        <v>490</v>
      </c>
    </row>
    <row r="1017" spans="1:5" x14ac:dyDescent="0.25">
      <c r="A1017" s="35">
        <v>46008.907482673611</v>
      </c>
      <c r="B1017" s="22" t="s">
        <v>1509</v>
      </c>
      <c r="C1017" s="22" t="s">
        <v>489</v>
      </c>
      <c r="D1017" s="22" t="s">
        <v>468</v>
      </c>
      <c r="E1017" s="22" t="s">
        <v>490</v>
      </c>
    </row>
    <row r="1018" spans="1:5" x14ac:dyDescent="0.25">
      <c r="A1018" s="35">
        <v>46008.907485682867</v>
      </c>
      <c r="B1018" s="22" t="s">
        <v>1510</v>
      </c>
      <c r="C1018" s="22" t="s">
        <v>489</v>
      </c>
      <c r="D1018" s="22" t="s">
        <v>468</v>
      </c>
      <c r="E1018" s="22" t="s">
        <v>490</v>
      </c>
    </row>
    <row r="1019" spans="1:5" x14ac:dyDescent="0.25">
      <c r="A1019" s="35">
        <v>46008.907488587967</v>
      </c>
      <c r="B1019" s="22" t="s">
        <v>1511</v>
      </c>
      <c r="C1019" s="22" t="s">
        <v>489</v>
      </c>
      <c r="D1019" s="22" t="s">
        <v>468</v>
      </c>
      <c r="E1019" s="22" t="s">
        <v>490</v>
      </c>
    </row>
    <row r="1020" spans="1:5" x14ac:dyDescent="0.25">
      <c r="A1020" s="35">
        <v>46008.907491759259</v>
      </c>
      <c r="B1020" s="22" t="s">
        <v>1512</v>
      </c>
      <c r="C1020" s="22" t="s">
        <v>489</v>
      </c>
      <c r="D1020" s="22" t="s">
        <v>492</v>
      </c>
      <c r="E1020" s="22" t="s">
        <v>490</v>
      </c>
    </row>
    <row r="1021" spans="1:5" x14ac:dyDescent="0.25">
      <c r="A1021" s="35">
        <v>46008.907494756946</v>
      </c>
      <c r="B1021" s="22" t="s">
        <v>1513</v>
      </c>
      <c r="C1021" s="22" t="s">
        <v>489</v>
      </c>
      <c r="D1021" s="22" t="s">
        <v>468</v>
      </c>
      <c r="E1021" s="22" t="s">
        <v>490</v>
      </c>
    </row>
    <row r="1022" spans="1:5" x14ac:dyDescent="0.25">
      <c r="A1022" s="35">
        <v>46008.907497974535</v>
      </c>
      <c r="B1022" s="22" t="s">
        <v>1514</v>
      </c>
      <c r="C1022" s="22" t="s">
        <v>489</v>
      </c>
      <c r="D1022" s="22" t="s">
        <v>468</v>
      </c>
      <c r="E1022" s="22" t="s">
        <v>490</v>
      </c>
    </row>
    <row r="1023" spans="1:5" x14ac:dyDescent="0.25">
      <c r="A1023" s="35">
        <v>46008.907500914356</v>
      </c>
      <c r="B1023" s="22" t="s">
        <v>1515</v>
      </c>
      <c r="C1023" s="22" t="s">
        <v>482</v>
      </c>
      <c r="D1023" s="22" t="s">
        <v>449</v>
      </c>
      <c r="E1023" s="22" t="s">
        <v>490</v>
      </c>
    </row>
    <row r="1024" spans="1:5" x14ac:dyDescent="0.25">
      <c r="A1024" s="35">
        <v>46008.907503888884</v>
      </c>
      <c r="B1024" s="22" t="s">
        <v>1516</v>
      </c>
      <c r="C1024" s="22" t="s">
        <v>489</v>
      </c>
      <c r="D1024" s="22" t="s">
        <v>500</v>
      </c>
      <c r="E1024" s="22" t="s">
        <v>490</v>
      </c>
    </row>
    <row r="1025" spans="1:5" x14ac:dyDescent="0.25">
      <c r="A1025" s="35">
        <v>46008.907506701391</v>
      </c>
      <c r="B1025" s="22" t="s">
        <v>1517</v>
      </c>
      <c r="C1025" s="22" t="s">
        <v>489</v>
      </c>
      <c r="D1025" s="22" t="s">
        <v>500</v>
      </c>
      <c r="E1025" s="22" t="s">
        <v>490</v>
      </c>
    </row>
    <row r="1026" spans="1:5" x14ac:dyDescent="0.25">
      <c r="A1026" s="35">
        <v>46008.907509560187</v>
      </c>
      <c r="B1026" s="22" t="s">
        <v>1518</v>
      </c>
      <c r="C1026" s="22" t="s">
        <v>489</v>
      </c>
      <c r="D1026" s="22" t="s">
        <v>492</v>
      </c>
      <c r="E1026" s="22" t="s">
        <v>490</v>
      </c>
    </row>
    <row r="1027" spans="1:5" x14ac:dyDescent="0.25">
      <c r="A1027" s="35">
        <v>46008.907514027778</v>
      </c>
      <c r="B1027" s="22" t="s">
        <v>1519</v>
      </c>
      <c r="C1027" s="22" t="s">
        <v>489</v>
      </c>
      <c r="D1027" s="22" t="s">
        <v>468</v>
      </c>
      <c r="E1027" s="22" t="s">
        <v>490</v>
      </c>
    </row>
    <row r="1028" spans="1:5" x14ac:dyDescent="0.25">
      <c r="A1028" s="35">
        <v>46008.90751690972</v>
      </c>
      <c r="B1028" s="22" t="s">
        <v>1520</v>
      </c>
      <c r="C1028" s="22" t="s">
        <v>489</v>
      </c>
      <c r="D1028" s="22" t="s">
        <v>468</v>
      </c>
      <c r="E1028" s="22" t="s">
        <v>490</v>
      </c>
    </row>
    <row r="1029" spans="1:5" x14ac:dyDescent="0.25">
      <c r="A1029" s="35">
        <v>46008.907519930552</v>
      </c>
      <c r="B1029" s="22" t="s">
        <v>1521</v>
      </c>
      <c r="C1029" s="22" t="s">
        <v>489</v>
      </c>
      <c r="D1029" s="22" t="s">
        <v>500</v>
      </c>
      <c r="E1029" s="22" t="s">
        <v>490</v>
      </c>
    </row>
    <row r="1030" spans="1:5" x14ac:dyDescent="0.25">
      <c r="A1030" s="35">
        <v>46008.907522893518</v>
      </c>
      <c r="B1030" s="22" t="s">
        <v>1522</v>
      </c>
      <c r="C1030" s="22" t="s">
        <v>489</v>
      </c>
      <c r="D1030" s="22" t="s">
        <v>500</v>
      </c>
      <c r="E1030" s="22" t="s">
        <v>490</v>
      </c>
    </row>
    <row r="1031" spans="1:5" x14ac:dyDescent="0.25">
      <c r="A1031" s="35">
        <v>46008.907525844908</v>
      </c>
      <c r="B1031" s="22" t="s">
        <v>1523</v>
      </c>
      <c r="C1031" s="22" t="s">
        <v>489</v>
      </c>
      <c r="D1031" s="22" t="s">
        <v>492</v>
      </c>
      <c r="E1031" s="22" t="s">
        <v>490</v>
      </c>
    </row>
    <row r="1032" spans="1:5" x14ac:dyDescent="0.25">
      <c r="A1032" s="35">
        <v>46008.90752872685</v>
      </c>
      <c r="B1032" s="22" t="s">
        <v>1524</v>
      </c>
      <c r="C1032" s="22" t="s">
        <v>489</v>
      </c>
      <c r="D1032" s="22" t="s">
        <v>468</v>
      </c>
      <c r="E1032" s="22" t="s">
        <v>490</v>
      </c>
    </row>
    <row r="1033" spans="1:5" x14ac:dyDescent="0.25">
      <c r="A1033" s="35">
        <v>46008.907531840276</v>
      </c>
      <c r="B1033" s="22" t="s">
        <v>1525</v>
      </c>
      <c r="C1033" s="22" t="s">
        <v>489</v>
      </c>
      <c r="D1033" s="22" t="s">
        <v>468</v>
      </c>
      <c r="E1033" s="22" t="s">
        <v>490</v>
      </c>
    </row>
    <row r="1034" spans="1:5" x14ac:dyDescent="0.25">
      <c r="A1034" s="35">
        <v>46008.907547499999</v>
      </c>
      <c r="B1034" s="22" t="s">
        <v>1526</v>
      </c>
      <c r="C1034" s="22" t="s">
        <v>489</v>
      </c>
      <c r="D1034" s="22" t="s">
        <v>500</v>
      </c>
      <c r="E1034" s="22" t="s">
        <v>490</v>
      </c>
    </row>
    <row r="1035" spans="1:5" x14ac:dyDescent="0.25">
      <c r="A1035" s="35">
        <v>46008.907550543983</v>
      </c>
      <c r="B1035" s="22" t="s">
        <v>1527</v>
      </c>
      <c r="C1035" s="22" t="s">
        <v>489</v>
      </c>
      <c r="D1035" s="22" t="s">
        <v>500</v>
      </c>
      <c r="E1035" s="22" t="s">
        <v>490</v>
      </c>
    </row>
    <row r="1036" spans="1:5" x14ac:dyDescent="0.25">
      <c r="A1036" s="35">
        <v>46008.907553414349</v>
      </c>
      <c r="B1036" s="22" t="s">
        <v>1528</v>
      </c>
      <c r="C1036" s="22" t="s">
        <v>482</v>
      </c>
      <c r="D1036" s="22" t="s">
        <v>516</v>
      </c>
      <c r="E1036" s="22" t="s">
        <v>490</v>
      </c>
    </row>
    <row r="1037" spans="1:5" x14ac:dyDescent="0.25">
      <c r="A1037" s="35">
        <v>46008.90755653935</v>
      </c>
      <c r="B1037" s="22" t="s">
        <v>1529</v>
      </c>
      <c r="C1037" s="22" t="s">
        <v>489</v>
      </c>
      <c r="D1037" s="22" t="s">
        <v>468</v>
      </c>
      <c r="E1037" s="22" t="s">
        <v>490</v>
      </c>
    </row>
    <row r="1038" spans="1:5" x14ac:dyDescent="0.25">
      <c r="A1038" s="35">
        <v>46008.907559699073</v>
      </c>
      <c r="B1038" s="22" t="s">
        <v>1530</v>
      </c>
      <c r="C1038" s="22" t="s">
        <v>489</v>
      </c>
      <c r="D1038" s="22" t="s">
        <v>468</v>
      </c>
      <c r="E1038" s="22" t="s">
        <v>490</v>
      </c>
    </row>
    <row r="1039" spans="1:5" x14ac:dyDescent="0.25">
      <c r="A1039" s="35">
        <v>46008.907562754626</v>
      </c>
      <c r="B1039" s="22" t="s">
        <v>1531</v>
      </c>
      <c r="C1039" s="22" t="s">
        <v>489</v>
      </c>
      <c r="D1039" s="22" t="s">
        <v>468</v>
      </c>
      <c r="E1039" s="22" t="s">
        <v>490</v>
      </c>
    </row>
    <row r="1040" spans="1:5" x14ac:dyDescent="0.25">
      <c r="A1040" s="35">
        <v>46008.907565694448</v>
      </c>
      <c r="B1040" s="22" t="s">
        <v>1532</v>
      </c>
      <c r="C1040" s="22" t="s">
        <v>489</v>
      </c>
      <c r="D1040" s="22" t="s">
        <v>468</v>
      </c>
      <c r="E1040" s="22" t="s">
        <v>490</v>
      </c>
    </row>
    <row r="1041" spans="1:5" x14ac:dyDescent="0.25">
      <c r="A1041" s="35">
        <v>46008.90756876157</v>
      </c>
      <c r="B1041" s="22" t="s">
        <v>1533</v>
      </c>
      <c r="C1041" s="22" t="s">
        <v>489</v>
      </c>
      <c r="D1041" s="22" t="s">
        <v>468</v>
      </c>
      <c r="E1041" s="22" t="s">
        <v>490</v>
      </c>
    </row>
    <row r="1042" spans="1:5" x14ac:dyDescent="0.25">
      <c r="A1042" s="35">
        <v>46008.907572511569</v>
      </c>
      <c r="B1042" s="22" t="s">
        <v>1534</v>
      </c>
      <c r="C1042" s="22" t="s">
        <v>489</v>
      </c>
      <c r="D1042" s="22" t="s">
        <v>468</v>
      </c>
      <c r="E1042" s="22" t="s">
        <v>490</v>
      </c>
    </row>
    <row r="1043" spans="1:5" x14ac:dyDescent="0.25">
      <c r="A1043" s="35">
        <v>46008.907575578705</v>
      </c>
      <c r="B1043" s="22" t="s">
        <v>1535</v>
      </c>
      <c r="C1043" s="22" t="s">
        <v>489</v>
      </c>
      <c r="D1043" s="22" t="s">
        <v>468</v>
      </c>
      <c r="E1043" s="22" t="s">
        <v>490</v>
      </c>
    </row>
    <row r="1044" spans="1:5" x14ac:dyDescent="0.25">
      <c r="A1044" s="35">
        <v>46008.907579537037</v>
      </c>
      <c r="B1044" s="22" t="s">
        <v>1536</v>
      </c>
      <c r="C1044" s="22" t="s">
        <v>489</v>
      </c>
      <c r="D1044" s="22" t="s">
        <v>582</v>
      </c>
      <c r="E1044" s="22" t="s">
        <v>490</v>
      </c>
    </row>
    <row r="1045" spans="1:5" x14ac:dyDescent="0.25">
      <c r="A1045" s="35">
        <v>46008.907582430555</v>
      </c>
      <c r="B1045" s="22" t="s">
        <v>1537</v>
      </c>
      <c r="C1045" s="22" t="s">
        <v>489</v>
      </c>
      <c r="D1045" s="22" t="s">
        <v>500</v>
      </c>
      <c r="E1045" s="22" t="s">
        <v>490</v>
      </c>
    </row>
    <row r="1046" spans="1:5" x14ac:dyDescent="0.25">
      <c r="A1046" s="35">
        <v>46008.90758564815</v>
      </c>
      <c r="B1046" s="22" t="s">
        <v>1538</v>
      </c>
      <c r="C1046" s="22" t="s">
        <v>489</v>
      </c>
      <c r="D1046" s="22" t="s">
        <v>500</v>
      </c>
      <c r="E1046" s="22" t="s">
        <v>490</v>
      </c>
    </row>
    <row r="1047" spans="1:5" x14ac:dyDescent="0.25">
      <c r="A1047" s="35">
        <v>46008.907588518516</v>
      </c>
      <c r="B1047" s="22" t="s">
        <v>1539</v>
      </c>
      <c r="C1047" s="22" t="s">
        <v>489</v>
      </c>
      <c r="D1047" s="22" t="s">
        <v>492</v>
      </c>
      <c r="E1047" s="22" t="s">
        <v>490</v>
      </c>
    </row>
    <row r="1048" spans="1:5" x14ac:dyDescent="0.25">
      <c r="A1048" s="35">
        <v>46008.907591319439</v>
      </c>
      <c r="B1048" s="22" t="s">
        <v>1540</v>
      </c>
      <c r="C1048" s="22" t="s">
        <v>489</v>
      </c>
      <c r="D1048" s="22" t="s">
        <v>468</v>
      </c>
      <c r="E1048" s="22" t="s">
        <v>490</v>
      </c>
    </row>
    <row r="1049" spans="1:5" x14ac:dyDescent="0.25">
      <c r="A1049" s="35">
        <v>46008.907594351855</v>
      </c>
      <c r="B1049" s="22" t="s">
        <v>1541</v>
      </c>
      <c r="C1049" s="22" t="s">
        <v>489</v>
      </c>
      <c r="D1049" s="22" t="s">
        <v>468</v>
      </c>
      <c r="E1049" s="22" t="s">
        <v>490</v>
      </c>
    </row>
    <row r="1050" spans="1:5" x14ac:dyDescent="0.25">
      <c r="A1050" s="35">
        <v>46008.907602499996</v>
      </c>
      <c r="B1050" s="22" t="s">
        <v>1542</v>
      </c>
      <c r="C1050" s="22" t="s">
        <v>489</v>
      </c>
      <c r="D1050" s="22" t="s">
        <v>500</v>
      </c>
      <c r="E1050" s="22" t="s">
        <v>490</v>
      </c>
    </row>
    <row r="1051" spans="1:5" x14ac:dyDescent="0.25">
      <c r="A1051" s="35">
        <v>46008.907605717592</v>
      </c>
      <c r="B1051" s="22" t="s">
        <v>1543</v>
      </c>
      <c r="C1051" s="22" t="s">
        <v>489</v>
      </c>
      <c r="D1051" s="22" t="s">
        <v>500</v>
      </c>
      <c r="E1051" s="22" t="s">
        <v>490</v>
      </c>
    </row>
    <row r="1052" spans="1:5" x14ac:dyDescent="0.25">
      <c r="A1052" s="35">
        <v>46008.907608773152</v>
      </c>
      <c r="B1052" s="22" t="s">
        <v>1544</v>
      </c>
      <c r="C1052" s="22" t="s">
        <v>489</v>
      </c>
      <c r="D1052" s="22" t="s">
        <v>582</v>
      </c>
      <c r="E1052" s="22" t="s">
        <v>490</v>
      </c>
    </row>
    <row r="1053" spans="1:5" x14ac:dyDescent="0.25">
      <c r="A1053" s="35">
        <v>46008.907611921299</v>
      </c>
      <c r="B1053" s="22" t="s">
        <v>1545</v>
      </c>
      <c r="C1053" s="22" t="s">
        <v>489</v>
      </c>
      <c r="D1053" s="22" t="s">
        <v>468</v>
      </c>
      <c r="E1053" s="22" t="s">
        <v>490</v>
      </c>
    </row>
    <row r="1054" spans="1:5" x14ac:dyDescent="0.25">
      <c r="A1054" s="35">
        <v>46008.907614895834</v>
      </c>
      <c r="B1054" s="22" t="s">
        <v>1546</v>
      </c>
      <c r="C1054" s="22" t="s">
        <v>489</v>
      </c>
      <c r="D1054" s="22" t="s">
        <v>468</v>
      </c>
      <c r="E1054" s="22" t="s">
        <v>490</v>
      </c>
    </row>
    <row r="1055" spans="1:5" x14ac:dyDescent="0.25">
      <c r="A1055" s="35">
        <v>46008.907617881945</v>
      </c>
      <c r="B1055" s="22" t="s">
        <v>1547</v>
      </c>
      <c r="C1055" s="22" t="s">
        <v>489</v>
      </c>
      <c r="D1055" s="22" t="s">
        <v>468</v>
      </c>
      <c r="E1055" s="22" t="s">
        <v>490</v>
      </c>
    </row>
    <row r="1056" spans="1:5" x14ac:dyDescent="0.25">
      <c r="A1056" s="35">
        <v>46008.907620868056</v>
      </c>
      <c r="B1056" s="22" t="s">
        <v>1548</v>
      </c>
      <c r="C1056" s="22" t="s">
        <v>489</v>
      </c>
      <c r="D1056" s="22" t="s">
        <v>500</v>
      </c>
      <c r="E1056" s="22" t="s">
        <v>490</v>
      </c>
    </row>
    <row r="1057" spans="1:5" x14ac:dyDescent="0.25">
      <c r="A1057" s="35">
        <v>46008.907623761574</v>
      </c>
      <c r="B1057" s="22" t="s">
        <v>1549</v>
      </c>
      <c r="C1057" s="22" t="s">
        <v>489</v>
      </c>
      <c r="D1057" s="22" t="s">
        <v>500</v>
      </c>
      <c r="E1057" s="22" t="s">
        <v>490</v>
      </c>
    </row>
    <row r="1058" spans="1:5" x14ac:dyDescent="0.25">
      <c r="A1058" s="35">
        <v>46008.90762662037</v>
      </c>
      <c r="B1058" s="22" t="s">
        <v>1550</v>
      </c>
      <c r="C1058" s="22" t="s">
        <v>489</v>
      </c>
      <c r="D1058" s="22" t="s">
        <v>500</v>
      </c>
      <c r="E1058" s="22" t="s">
        <v>490</v>
      </c>
    </row>
    <row r="1059" spans="1:5" x14ac:dyDescent="0.25">
      <c r="A1059" s="35">
        <v>46008.907631018519</v>
      </c>
      <c r="B1059" s="22" t="s">
        <v>1551</v>
      </c>
      <c r="C1059" s="22" t="s">
        <v>489</v>
      </c>
      <c r="D1059" s="22" t="s">
        <v>582</v>
      </c>
      <c r="E1059" s="22" t="s">
        <v>490</v>
      </c>
    </row>
    <row r="1060" spans="1:5" x14ac:dyDescent="0.25">
      <c r="A1060" s="35">
        <v>46008.907634016199</v>
      </c>
      <c r="B1060" s="22" t="s">
        <v>1552</v>
      </c>
      <c r="C1060" s="22" t="s">
        <v>482</v>
      </c>
      <c r="D1060" s="22" t="s">
        <v>449</v>
      </c>
      <c r="E1060" s="22" t="s">
        <v>490</v>
      </c>
    </row>
    <row r="1061" spans="1:5" x14ac:dyDescent="0.25">
      <c r="A1061" s="35">
        <v>46008.907637326389</v>
      </c>
      <c r="B1061" s="22" t="s">
        <v>1553</v>
      </c>
      <c r="C1061" s="22" t="s">
        <v>489</v>
      </c>
      <c r="D1061" s="22" t="s">
        <v>469</v>
      </c>
      <c r="E1061" s="22" t="s">
        <v>490</v>
      </c>
    </row>
    <row r="1062" spans="1:5" x14ac:dyDescent="0.25">
      <c r="A1062" s="35">
        <v>46008.907640370366</v>
      </c>
      <c r="B1062" s="22" t="s">
        <v>1554</v>
      </c>
      <c r="C1062" s="22" t="s">
        <v>489</v>
      </c>
      <c r="D1062" s="22" t="s">
        <v>468</v>
      </c>
      <c r="E1062" s="22" t="s">
        <v>490</v>
      </c>
    </row>
    <row r="1063" spans="1:5" x14ac:dyDescent="0.25">
      <c r="A1063" s="35">
        <v>46008.907643321756</v>
      </c>
      <c r="B1063" s="22" t="s">
        <v>1555</v>
      </c>
      <c r="C1063" s="22" t="s">
        <v>489</v>
      </c>
      <c r="D1063" s="22" t="s">
        <v>468</v>
      </c>
      <c r="E1063" s="22" t="s">
        <v>490</v>
      </c>
    </row>
    <row r="1064" spans="1:5" x14ac:dyDescent="0.25">
      <c r="A1064" s="35">
        <v>46008.907646261578</v>
      </c>
      <c r="B1064" s="22" t="s">
        <v>1556</v>
      </c>
      <c r="C1064" s="22" t="s">
        <v>489</v>
      </c>
      <c r="D1064" s="22" t="s">
        <v>468</v>
      </c>
      <c r="E1064" s="22" t="s">
        <v>490</v>
      </c>
    </row>
    <row r="1065" spans="1:5" x14ac:dyDescent="0.25">
      <c r="A1065" s="35">
        <v>46008.907649259258</v>
      </c>
      <c r="B1065" s="22" t="s">
        <v>1557</v>
      </c>
      <c r="C1065" s="22" t="s">
        <v>482</v>
      </c>
      <c r="D1065" s="22" t="s">
        <v>516</v>
      </c>
      <c r="E1065" s="22" t="s">
        <v>490</v>
      </c>
    </row>
    <row r="1066" spans="1:5" x14ac:dyDescent="0.25">
      <c r="A1066" s="35">
        <v>46008.907652361115</v>
      </c>
      <c r="B1066" s="22" t="s">
        <v>1558</v>
      </c>
      <c r="C1066" s="22" t="s">
        <v>489</v>
      </c>
      <c r="D1066" s="22" t="s">
        <v>468</v>
      </c>
      <c r="E1066" s="22" t="s">
        <v>490</v>
      </c>
    </row>
    <row r="1067" spans="1:5" x14ac:dyDescent="0.25">
      <c r="A1067" s="35">
        <v>46008.907655532406</v>
      </c>
      <c r="B1067" s="22" t="s">
        <v>1559</v>
      </c>
      <c r="C1067" s="22" t="s">
        <v>482</v>
      </c>
      <c r="D1067" s="22" t="s">
        <v>449</v>
      </c>
      <c r="E1067" s="22" t="s">
        <v>490</v>
      </c>
    </row>
    <row r="1068" spans="1:5" x14ac:dyDescent="0.25">
      <c r="A1068" s="35">
        <v>46008.907658495373</v>
      </c>
      <c r="B1068" s="22" t="s">
        <v>1560</v>
      </c>
      <c r="C1068" s="22" t="s">
        <v>489</v>
      </c>
      <c r="D1068" s="22" t="s">
        <v>500</v>
      </c>
      <c r="E1068" s="22" t="s">
        <v>490</v>
      </c>
    </row>
    <row r="1069" spans="1:5" x14ac:dyDescent="0.25">
      <c r="A1069" s="35">
        <v>46008.90766138889</v>
      </c>
      <c r="B1069" s="22" t="s">
        <v>1561</v>
      </c>
      <c r="C1069" s="22" t="s">
        <v>489</v>
      </c>
      <c r="D1069" s="22" t="s">
        <v>500</v>
      </c>
      <c r="E1069" s="22" t="s">
        <v>490</v>
      </c>
    </row>
    <row r="1070" spans="1:5" x14ac:dyDescent="0.25">
      <c r="A1070" s="35">
        <v>46008.907664560189</v>
      </c>
      <c r="B1070" s="22" t="s">
        <v>1562</v>
      </c>
      <c r="C1070" s="22" t="s">
        <v>489</v>
      </c>
      <c r="D1070" s="22" t="s">
        <v>500</v>
      </c>
      <c r="E1070" s="22" t="s">
        <v>490</v>
      </c>
    </row>
    <row r="1071" spans="1:5" x14ac:dyDescent="0.25">
      <c r="A1071" s="35">
        <v>46008.90766730324</v>
      </c>
      <c r="B1071" s="22" t="s">
        <v>1563</v>
      </c>
      <c r="C1071" s="22" t="s">
        <v>482</v>
      </c>
      <c r="D1071" s="22" t="s">
        <v>449</v>
      </c>
      <c r="E1071" s="22" t="s">
        <v>490</v>
      </c>
    </row>
    <row r="1072" spans="1:5" x14ac:dyDescent="0.25">
      <c r="A1072" s="35">
        <v>46008.907670162036</v>
      </c>
      <c r="B1072" s="22" t="s">
        <v>1564</v>
      </c>
      <c r="C1072" s="22" t="s">
        <v>482</v>
      </c>
      <c r="D1072" s="22" t="s">
        <v>449</v>
      </c>
      <c r="E1072" s="22" t="s">
        <v>490</v>
      </c>
    </row>
    <row r="1073" spans="1:5" x14ac:dyDescent="0.25">
      <c r="A1073" s="35">
        <v>46008.907673217589</v>
      </c>
      <c r="B1073" s="22" t="s">
        <v>1565</v>
      </c>
      <c r="C1073" s="22" t="s">
        <v>482</v>
      </c>
      <c r="D1073" s="22" t="s">
        <v>516</v>
      </c>
      <c r="E1073" s="22" t="s">
        <v>490</v>
      </c>
    </row>
    <row r="1074" spans="1:5" x14ac:dyDescent="0.25">
      <c r="A1074" s="35">
        <v>46008.907686331018</v>
      </c>
      <c r="B1074" s="22" t="s">
        <v>1566</v>
      </c>
      <c r="C1074" s="22" t="s">
        <v>489</v>
      </c>
      <c r="D1074" s="22" t="s">
        <v>500</v>
      </c>
      <c r="E1074" s="22" t="s">
        <v>490</v>
      </c>
    </row>
    <row r="1075" spans="1:5" x14ac:dyDescent="0.25">
      <c r="A1075" s="35">
        <v>46008.907689247688</v>
      </c>
      <c r="B1075" s="22" t="s">
        <v>1567</v>
      </c>
      <c r="C1075" s="22" t="s">
        <v>489</v>
      </c>
      <c r="D1075" s="22" t="s">
        <v>492</v>
      </c>
      <c r="E1075" s="22" t="s">
        <v>490</v>
      </c>
    </row>
    <row r="1076" spans="1:5" x14ac:dyDescent="0.25">
      <c r="A1076" s="35">
        <v>46008.907705011574</v>
      </c>
      <c r="B1076" s="22" t="s">
        <v>1568</v>
      </c>
      <c r="C1076" s="22" t="s">
        <v>489</v>
      </c>
      <c r="D1076" s="22" t="s">
        <v>500</v>
      </c>
      <c r="E1076" s="22" t="s">
        <v>490</v>
      </c>
    </row>
    <row r="1077" spans="1:5" x14ac:dyDescent="0.25">
      <c r="A1077" s="35">
        <v>46008.907711516207</v>
      </c>
      <c r="B1077" s="22" t="s">
        <v>1569</v>
      </c>
      <c r="C1077" s="22" t="s">
        <v>489</v>
      </c>
      <c r="D1077" s="22" t="s">
        <v>492</v>
      </c>
      <c r="E1077" s="22" t="s">
        <v>490</v>
      </c>
    </row>
    <row r="1078" spans="1:5" x14ac:dyDescent="0.25">
      <c r="A1078" s="35">
        <v>46008.907714351852</v>
      </c>
      <c r="B1078" s="22" t="s">
        <v>1570</v>
      </c>
      <c r="C1078" s="22" t="s">
        <v>489</v>
      </c>
      <c r="D1078" s="22" t="s">
        <v>492</v>
      </c>
      <c r="E1078" s="22" t="s">
        <v>490</v>
      </c>
    </row>
    <row r="1079" spans="1:5" x14ac:dyDescent="0.25">
      <c r="A1079" s="35">
        <v>46008.907717314811</v>
      </c>
      <c r="B1079" s="22" t="s">
        <v>1571</v>
      </c>
      <c r="C1079" s="22" t="s">
        <v>489</v>
      </c>
      <c r="D1079" s="22" t="s">
        <v>468</v>
      </c>
      <c r="E1079" s="22" t="s">
        <v>490</v>
      </c>
    </row>
    <row r="1080" spans="1:5" x14ac:dyDescent="0.25">
      <c r="A1080" s="35">
        <v>46008.907720347226</v>
      </c>
      <c r="B1080" s="22" t="s">
        <v>1572</v>
      </c>
      <c r="C1080" s="22" t="s">
        <v>489</v>
      </c>
      <c r="D1080" s="22" t="s">
        <v>468</v>
      </c>
      <c r="E1080" s="22" t="s">
        <v>490</v>
      </c>
    </row>
    <row r="1081" spans="1:5" x14ac:dyDescent="0.25">
      <c r="A1081" s="35">
        <v>46008.907723229167</v>
      </c>
      <c r="B1081" s="22" t="s">
        <v>1573</v>
      </c>
      <c r="C1081" s="22" t="s">
        <v>482</v>
      </c>
      <c r="D1081" s="22" t="s">
        <v>449</v>
      </c>
      <c r="E1081" s="22" t="s">
        <v>490</v>
      </c>
    </row>
    <row r="1082" spans="1:5" x14ac:dyDescent="0.25">
      <c r="A1082" s="35">
        <v>46008.907726956022</v>
      </c>
      <c r="B1082" s="22" t="s">
        <v>1574</v>
      </c>
      <c r="C1082" s="22" t="s">
        <v>489</v>
      </c>
      <c r="D1082" s="22" t="s">
        <v>492</v>
      </c>
      <c r="E1082" s="22" t="s">
        <v>490</v>
      </c>
    </row>
    <row r="1083" spans="1:5" x14ac:dyDescent="0.25">
      <c r="A1083" s="35">
        <v>46008.907730023144</v>
      </c>
      <c r="B1083" s="22" t="s">
        <v>1575</v>
      </c>
      <c r="C1083" s="22" t="s">
        <v>489</v>
      </c>
      <c r="D1083" s="22" t="s">
        <v>500</v>
      </c>
      <c r="E1083" s="22" t="s">
        <v>490</v>
      </c>
    </row>
    <row r="1084" spans="1:5" x14ac:dyDescent="0.25">
      <c r="A1084" s="35">
        <v>46008.907733032407</v>
      </c>
      <c r="B1084" s="22" t="s">
        <v>1576</v>
      </c>
      <c r="C1084" s="22" t="s">
        <v>489</v>
      </c>
      <c r="D1084" s="22" t="s">
        <v>500</v>
      </c>
      <c r="E1084" s="22" t="s">
        <v>490</v>
      </c>
    </row>
    <row r="1085" spans="1:5" x14ac:dyDescent="0.25">
      <c r="A1085" s="35">
        <v>46008.907735821762</v>
      </c>
      <c r="B1085" s="22" t="s">
        <v>1577</v>
      </c>
      <c r="C1085" s="22" t="s">
        <v>489</v>
      </c>
      <c r="D1085" s="22" t="s">
        <v>500</v>
      </c>
      <c r="E1085" s="22" t="s">
        <v>490</v>
      </c>
    </row>
    <row r="1086" spans="1:5" x14ac:dyDescent="0.25">
      <c r="A1086" s="35">
        <v>46008.907739768518</v>
      </c>
      <c r="B1086" s="22" t="s">
        <v>1578</v>
      </c>
      <c r="C1086" s="22" t="s">
        <v>489</v>
      </c>
      <c r="D1086" s="22" t="s">
        <v>468</v>
      </c>
      <c r="E1086" s="22" t="s">
        <v>490</v>
      </c>
    </row>
    <row r="1087" spans="1:5" x14ac:dyDescent="0.25">
      <c r="A1087" s="35">
        <v>46008.907752673607</v>
      </c>
      <c r="B1087" s="22" t="s">
        <v>1579</v>
      </c>
      <c r="C1087" s="22" t="s">
        <v>489</v>
      </c>
      <c r="D1087" s="22" t="s">
        <v>492</v>
      </c>
      <c r="E1087" s="22" t="s">
        <v>490</v>
      </c>
    </row>
    <row r="1088" spans="1:5" x14ac:dyDescent="0.25">
      <c r="A1088" s="35">
        <v>46008.907756782406</v>
      </c>
      <c r="B1088" s="22" t="s">
        <v>1580</v>
      </c>
      <c r="C1088" s="22" t="s">
        <v>489</v>
      </c>
      <c r="D1088" s="22" t="s">
        <v>468</v>
      </c>
      <c r="E1088" s="22" t="s">
        <v>490</v>
      </c>
    </row>
    <row r="1089" spans="1:5" x14ac:dyDescent="0.25">
      <c r="A1089" s="35">
        <v>46008.907759560185</v>
      </c>
      <c r="B1089" s="22" t="s">
        <v>1581</v>
      </c>
      <c r="C1089" s="22" t="s">
        <v>489</v>
      </c>
      <c r="D1089" s="22" t="s">
        <v>469</v>
      </c>
      <c r="E1089" s="22" t="s">
        <v>490</v>
      </c>
    </row>
    <row r="1090" spans="1:5" x14ac:dyDescent="0.25">
      <c r="A1090" s="35">
        <v>46008.90776263889</v>
      </c>
      <c r="B1090" s="22" t="s">
        <v>1582</v>
      </c>
      <c r="C1090" s="22" t="s">
        <v>489</v>
      </c>
      <c r="D1090" s="22" t="s">
        <v>469</v>
      </c>
      <c r="E1090" s="22" t="s">
        <v>490</v>
      </c>
    </row>
    <row r="1091" spans="1:5" x14ac:dyDescent="0.25">
      <c r="A1091" s="35">
        <v>46008.907771076389</v>
      </c>
      <c r="B1091" s="22" t="s">
        <v>1583</v>
      </c>
      <c r="C1091" s="22" t="s">
        <v>489</v>
      </c>
      <c r="D1091" s="22" t="s">
        <v>492</v>
      </c>
      <c r="E1091" s="22" t="s">
        <v>490</v>
      </c>
    </row>
    <row r="1092" spans="1:5" x14ac:dyDescent="0.25">
      <c r="A1092" s="35">
        <v>46008.907774120366</v>
      </c>
      <c r="B1092" s="22" t="s">
        <v>1584</v>
      </c>
      <c r="C1092" s="22" t="s">
        <v>489</v>
      </c>
      <c r="D1092" s="22" t="s">
        <v>468</v>
      </c>
      <c r="E1092" s="22" t="s">
        <v>490</v>
      </c>
    </row>
    <row r="1093" spans="1:5" x14ac:dyDescent="0.25">
      <c r="A1093" s="35">
        <v>46008.907777256944</v>
      </c>
      <c r="B1093" s="22" t="s">
        <v>1585</v>
      </c>
      <c r="C1093" s="22" t="s">
        <v>489</v>
      </c>
      <c r="D1093" s="22" t="s">
        <v>468</v>
      </c>
      <c r="E1093" s="22" t="s">
        <v>490</v>
      </c>
    </row>
    <row r="1094" spans="1:5" x14ac:dyDescent="0.25">
      <c r="A1094" s="35">
        <v>46008.907780173613</v>
      </c>
      <c r="B1094" s="22" t="s">
        <v>1586</v>
      </c>
      <c r="C1094" s="22" t="s">
        <v>489</v>
      </c>
      <c r="D1094" s="22" t="s">
        <v>492</v>
      </c>
      <c r="E1094" s="22" t="s">
        <v>490</v>
      </c>
    </row>
    <row r="1095" spans="1:5" x14ac:dyDescent="0.25">
      <c r="A1095" s="35">
        <v>46008.907783379633</v>
      </c>
      <c r="B1095" s="22" t="s">
        <v>1587</v>
      </c>
      <c r="C1095" s="22" t="s">
        <v>489</v>
      </c>
      <c r="D1095" s="22" t="s">
        <v>468</v>
      </c>
      <c r="E1095" s="22" t="s">
        <v>490</v>
      </c>
    </row>
    <row r="1096" spans="1:5" x14ac:dyDescent="0.25">
      <c r="A1096" s="35">
        <v>46008.90778652778</v>
      </c>
      <c r="B1096" s="22" t="s">
        <v>1588</v>
      </c>
      <c r="C1096" s="22" t="s">
        <v>489</v>
      </c>
      <c r="D1096" s="22" t="s">
        <v>492</v>
      </c>
      <c r="E1096" s="22" t="s">
        <v>490</v>
      </c>
    </row>
    <row r="1097" spans="1:5" x14ac:dyDescent="0.25">
      <c r="A1097" s="35">
        <v>46008.907789641205</v>
      </c>
      <c r="B1097" s="22" t="s">
        <v>1589</v>
      </c>
      <c r="C1097" s="22" t="s">
        <v>489</v>
      </c>
      <c r="D1097" s="22" t="s">
        <v>500</v>
      </c>
      <c r="E1097" s="22" t="s">
        <v>490</v>
      </c>
    </row>
    <row r="1098" spans="1:5" x14ac:dyDescent="0.25">
      <c r="A1098" s="35">
        <v>46008.907792743055</v>
      </c>
      <c r="B1098" s="22" t="s">
        <v>1590</v>
      </c>
      <c r="C1098" s="22" t="s">
        <v>489</v>
      </c>
      <c r="D1098" s="22" t="s">
        <v>500</v>
      </c>
      <c r="E1098" s="22" t="s">
        <v>490</v>
      </c>
    </row>
    <row r="1099" spans="1:5" x14ac:dyDescent="0.25">
      <c r="A1099" s="35">
        <v>46008.907795740743</v>
      </c>
      <c r="B1099" s="22" t="s">
        <v>1591</v>
      </c>
      <c r="C1099" s="22" t="s">
        <v>489</v>
      </c>
      <c r="D1099" s="22" t="s">
        <v>500</v>
      </c>
      <c r="E1099" s="22" t="s">
        <v>490</v>
      </c>
    </row>
    <row r="1100" spans="1:5" x14ac:dyDescent="0.25">
      <c r="A1100" s="35">
        <v>46008.907798981483</v>
      </c>
      <c r="B1100" s="22" t="s">
        <v>1592</v>
      </c>
      <c r="C1100" s="22" t="s">
        <v>489</v>
      </c>
      <c r="D1100" s="22" t="s">
        <v>500</v>
      </c>
      <c r="E1100" s="22" t="s">
        <v>490</v>
      </c>
    </row>
    <row r="1101" spans="1:5" x14ac:dyDescent="0.25">
      <c r="A1101" s="35">
        <v>46008.907805775467</v>
      </c>
      <c r="B1101" s="22" t="s">
        <v>1593</v>
      </c>
      <c r="C1101" s="22" t="s">
        <v>489</v>
      </c>
      <c r="D1101" s="22" t="s">
        <v>500</v>
      </c>
      <c r="E1101" s="22" t="s">
        <v>490</v>
      </c>
    </row>
    <row r="1102" spans="1:5" x14ac:dyDescent="0.25">
      <c r="A1102" s="35">
        <v>46008.907808726857</v>
      </c>
      <c r="B1102" s="22" t="s">
        <v>1594</v>
      </c>
      <c r="C1102" s="22" t="s">
        <v>489</v>
      </c>
      <c r="D1102" s="22" t="s">
        <v>500</v>
      </c>
      <c r="E1102" s="22" t="s">
        <v>490</v>
      </c>
    </row>
    <row r="1103" spans="1:5" x14ac:dyDescent="0.25">
      <c r="A1103" s="35">
        <v>46008.907811620375</v>
      </c>
      <c r="B1103" s="22" t="s">
        <v>1595</v>
      </c>
      <c r="C1103" s="22" t="s">
        <v>489</v>
      </c>
      <c r="D1103" s="22" t="s">
        <v>468</v>
      </c>
      <c r="E1103" s="22" t="s">
        <v>490</v>
      </c>
    </row>
    <row r="1104" spans="1:5" x14ac:dyDescent="0.25">
      <c r="A1104" s="35">
        <v>46008.907814629631</v>
      </c>
      <c r="B1104" s="22" t="s">
        <v>1596</v>
      </c>
      <c r="C1104" s="22" t="s">
        <v>489</v>
      </c>
      <c r="D1104" s="22" t="s">
        <v>468</v>
      </c>
      <c r="E1104" s="22" t="s">
        <v>490</v>
      </c>
    </row>
    <row r="1105" spans="1:5" x14ac:dyDescent="0.25">
      <c r="A1105" s="35">
        <v>46008.907819930551</v>
      </c>
      <c r="B1105" s="22" t="s">
        <v>1597</v>
      </c>
      <c r="C1105" s="22" t="s">
        <v>489</v>
      </c>
      <c r="D1105" s="22" t="s">
        <v>468</v>
      </c>
      <c r="E1105" s="22" t="s">
        <v>490</v>
      </c>
    </row>
    <row r="1106" spans="1:5" x14ac:dyDescent="0.25">
      <c r="A1106" s="35">
        <v>46008.907832384255</v>
      </c>
      <c r="B1106" s="22" t="s">
        <v>1598</v>
      </c>
      <c r="C1106" s="22" t="s">
        <v>489</v>
      </c>
      <c r="D1106" s="22" t="s">
        <v>468</v>
      </c>
      <c r="E1106" s="22" t="s">
        <v>490</v>
      </c>
    </row>
    <row r="1107" spans="1:5" x14ac:dyDescent="0.25">
      <c r="A1107" s="35">
        <v>46008.907835185186</v>
      </c>
      <c r="B1107" s="22" t="s">
        <v>1599</v>
      </c>
      <c r="C1107" s="22" t="s">
        <v>489</v>
      </c>
      <c r="D1107" s="22" t="s">
        <v>468</v>
      </c>
      <c r="E1107" s="22" t="s">
        <v>490</v>
      </c>
    </row>
    <row r="1108" spans="1:5" x14ac:dyDescent="0.25">
      <c r="A1108" s="35">
        <v>46008.907838171297</v>
      </c>
      <c r="B1108" s="22" t="s">
        <v>1600</v>
      </c>
      <c r="C1108" s="22" t="s">
        <v>482</v>
      </c>
      <c r="D1108" s="22" t="s">
        <v>516</v>
      </c>
      <c r="E1108" s="22" t="s">
        <v>490</v>
      </c>
    </row>
    <row r="1109" spans="1:5" x14ac:dyDescent="0.25">
      <c r="A1109" s="35">
        <v>46008.907841249995</v>
      </c>
      <c r="B1109" s="22" t="s">
        <v>1601</v>
      </c>
      <c r="C1109" s="22" t="s">
        <v>482</v>
      </c>
      <c r="D1109" s="22" t="s">
        <v>449</v>
      </c>
      <c r="E1109" s="22" t="s">
        <v>490</v>
      </c>
    </row>
    <row r="1110" spans="1:5" x14ac:dyDescent="0.25">
      <c r="A1110" s="35">
        <v>46008.907844270834</v>
      </c>
      <c r="B1110" s="22" t="s">
        <v>1602</v>
      </c>
      <c r="C1110" s="22" t="s">
        <v>489</v>
      </c>
      <c r="D1110" s="22" t="s">
        <v>468</v>
      </c>
      <c r="E1110" s="22" t="s">
        <v>490</v>
      </c>
    </row>
    <row r="1111" spans="1:5" x14ac:dyDescent="0.25">
      <c r="A1111" s="35">
        <v>46008.907847407405</v>
      </c>
      <c r="B1111" s="22" t="s">
        <v>1603</v>
      </c>
      <c r="C1111" s="22" t="s">
        <v>489</v>
      </c>
      <c r="D1111" s="22" t="s">
        <v>500</v>
      </c>
      <c r="E1111" s="22" t="s">
        <v>490</v>
      </c>
    </row>
    <row r="1112" spans="1:5" x14ac:dyDescent="0.25">
      <c r="A1112" s="35">
        <v>46008.907850312498</v>
      </c>
      <c r="B1112" s="22" t="s">
        <v>1604</v>
      </c>
      <c r="C1112" s="22" t="s">
        <v>489</v>
      </c>
      <c r="D1112" s="22" t="s">
        <v>500</v>
      </c>
      <c r="E1112" s="22" t="s">
        <v>490</v>
      </c>
    </row>
    <row r="1113" spans="1:5" x14ac:dyDescent="0.25">
      <c r="A1113" s="35">
        <v>46008.907853321754</v>
      </c>
      <c r="B1113" s="22" t="s">
        <v>1605</v>
      </c>
      <c r="C1113" s="22" t="s">
        <v>489</v>
      </c>
      <c r="D1113" s="22" t="s">
        <v>582</v>
      </c>
      <c r="E1113" s="22" t="s">
        <v>490</v>
      </c>
    </row>
    <row r="1114" spans="1:5" x14ac:dyDescent="0.25">
      <c r="A1114" s="35">
        <v>46008.907860312502</v>
      </c>
      <c r="B1114" s="22" t="s">
        <v>1606</v>
      </c>
      <c r="C1114" s="22" t="s">
        <v>489</v>
      </c>
      <c r="D1114" s="22" t="s">
        <v>468</v>
      </c>
      <c r="E1114" s="22" t="s">
        <v>490</v>
      </c>
    </row>
    <row r="1115" spans="1:5" x14ac:dyDescent="0.25">
      <c r="A1115" s="35">
        <v>46008.907863356479</v>
      </c>
      <c r="B1115" s="22" t="s">
        <v>1607</v>
      </c>
      <c r="C1115" s="22" t="s">
        <v>489</v>
      </c>
      <c r="D1115" s="22" t="s">
        <v>468</v>
      </c>
      <c r="E1115" s="22" t="s">
        <v>490</v>
      </c>
    </row>
    <row r="1116" spans="1:5" x14ac:dyDescent="0.25">
      <c r="A1116" s="35">
        <v>46008.907866284717</v>
      </c>
      <c r="B1116" s="22" t="s">
        <v>1608</v>
      </c>
      <c r="C1116" s="22" t="s">
        <v>482</v>
      </c>
      <c r="D1116" s="22" t="s">
        <v>516</v>
      </c>
      <c r="E1116" s="22" t="s">
        <v>490</v>
      </c>
    </row>
    <row r="1117" spans="1:5" x14ac:dyDescent="0.25">
      <c r="A1117" s="35">
        <v>46008.907869351853</v>
      </c>
      <c r="B1117" s="22" t="s">
        <v>1609</v>
      </c>
      <c r="C1117" s="22" t="s">
        <v>482</v>
      </c>
      <c r="D1117" s="22" t="s">
        <v>449</v>
      </c>
      <c r="E1117" s="22" t="s">
        <v>490</v>
      </c>
    </row>
    <row r="1118" spans="1:5" x14ac:dyDescent="0.25">
      <c r="A1118" s="35">
        <v>46008.907872245371</v>
      </c>
      <c r="B1118" s="22" t="s">
        <v>1610</v>
      </c>
      <c r="C1118" s="22" t="s">
        <v>489</v>
      </c>
      <c r="D1118" s="22" t="s">
        <v>500</v>
      </c>
      <c r="E1118" s="22" t="s">
        <v>490</v>
      </c>
    </row>
    <row r="1119" spans="1:5" x14ac:dyDescent="0.25">
      <c r="A1119" s="35">
        <v>46008.907875219906</v>
      </c>
      <c r="B1119" s="22" t="s">
        <v>1611</v>
      </c>
      <c r="C1119" s="22" t="s">
        <v>489</v>
      </c>
      <c r="D1119" s="22" t="s">
        <v>500</v>
      </c>
      <c r="E1119" s="22" t="s">
        <v>490</v>
      </c>
    </row>
    <row r="1120" spans="1:5" x14ac:dyDescent="0.25">
      <c r="A1120" s="35">
        <v>46008.907878310187</v>
      </c>
      <c r="B1120" s="22" t="s">
        <v>1612</v>
      </c>
      <c r="C1120" s="22" t="s">
        <v>489</v>
      </c>
      <c r="D1120" s="22" t="s">
        <v>468</v>
      </c>
      <c r="E1120" s="22" t="s">
        <v>490</v>
      </c>
    </row>
    <row r="1121" spans="1:5" x14ac:dyDescent="0.25">
      <c r="A1121" s="35">
        <v>46008.907881666666</v>
      </c>
      <c r="B1121" s="22" t="s">
        <v>1613</v>
      </c>
      <c r="C1121" s="22" t="s">
        <v>489</v>
      </c>
      <c r="D1121" s="22" t="s">
        <v>468</v>
      </c>
      <c r="E1121" s="22" t="s">
        <v>490</v>
      </c>
    </row>
    <row r="1122" spans="1:5" x14ac:dyDescent="0.25">
      <c r="A1122" s="35">
        <v>46008.907884837958</v>
      </c>
      <c r="B1122" s="22" t="s">
        <v>1614</v>
      </c>
      <c r="C1122" s="22" t="s">
        <v>489</v>
      </c>
      <c r="D1122" s="22" t="s">
        <v>468</v>
      </c>
      <c r="E1122" s="22" t="s">
        <v>490</v>
      </c>
    </row>
    <row r="1123" spans="1:5" x14ac:dyDescent="0.25">
      <c r="A1123" s="35">
        <v>46008.907887847221</v>
      </c>
      <c r="B1123" s="22" t="s">
        <v>1615</v>
      </c>
      <c r="C1123" s="22" t="s">
        <v>489</v>
      </c>
      <c r="D1123" s="22" t="s">
        <v>492</v>
      </c>
      <c r="E1123" s="22" t="s">
        <v>490</v>
      </c>
    </row>
    <row r="1124" spans="1:5" x14ac:dyDescent="0.25">
      <c r="A1124" s="35">
        <v>46008.907890868053</v>
      </c>
      <c r="B1124" s="22" t="s">
        <v>1616</v>
      </c>
      <c r="C1124" s="22" t="s">
        <v>489</v>
      </c>
      <c r="D1124" s="22" t="s">
        <v>468</v>
      </c>
      <c r="E1124" s="22" t="s">
        <v>490</v>
      </c>
    </row>
    <row r="1125" spans="1:5" x14ac:dyDescent="0.25">
      <c r="A1125" s="35">
        <v>46008.907893645832</v>
      </c>
      <c r="B1125" s="22" t="s">
        <v>1617</v>
      </c>
      <c r="C1125" s="22" t="s">
        <v>489</v>
      </c>
      <c r="D1125" s="22" t="s">
        <v>468</v>
      </c>
      <c r="E1125" s="22" t="s">
        <v>490</v>
      </c>
    </row>
    <row r="1126" spans="1:5" x14ac:dyDescent="0.25">
      <c r="A1126" s="35">
        <v>46008.907896701392</v>
      </c>
      <c r="B1126" s="22" t="s">
        <v>1618</v>
      </c>
      <c r="C1126" s="22" t="s">
        <v>482</v>
      </c>
      <c r="D1126" s="22" t="s">
        <v>449</v>
      </c>
      <c r="E1126" s="22" t="s">
        <v>490</v>
      </c>
    </row>
    <row r="1127" spans="1:5" x14ac:dyDescent="0.25">
      <c r="A1127" s="35">
        <v>46008.907899768514</v>
      </c>
      <c r="B1127" s="22" t="s">
        <v>1619</v>
      </c>
      <c r="C1127" s="22" t="s">
        <v>489</v>
      </c>
      <c r="D1127" s="22" t="s">
        <v>468</v>
      </c>
      <c r="E1127" s="22" t="s">
        <v>490</v>
      </c>
    </row>
    <row r="1128" spans="1:5" x14ac:dyDescent="0.25">
      <c r="A1128" s="35">
        <v>46008.907903240739</v>
      </c>
      <c r="B1128" s="22" t="s">
        <v>1620</v>
      </c>
      <c r="C1128" s="22" t="s">
        <v>482</v>
      </c>
      <c r="D1128" s="22" t="s">
        <v>449</v>
      </c>
      <c r="E1128" s="22" t="s">
        <v>490</v>
      </c>
    </row>
    <row r="1129" spans="1:5" x14ac:dyDescent="0.25">
      <c r="A1129" s="35">
        <v>46008.907906203705</v>
      </c>
      <c r="B1129" s="22" t="s">
        <v>1621</v>
      </c>
      <c r="C1129" s="22" t="s">
        <v>489</v>
      </c>
      <c r="D1129" s="22" t="s">
        <v>492</v>
      </c>
      <c r="E1129" s="22" t="s">
        <v>490</v>
      </c>
    </row>
    <row r="1130" spans="1:5" x14ac:dyDescent="0.25">
      <c r="A1130" s="35">
        <v>46008.907910428243</v>
      </c>
      <c r="B1130" s="22" t="s">
        <v>1622</v>
      </c>
      <c r="C1130" s="22" t="s">
        <v>489</v>
      </c>
      <c r="D1130" s="22" t="s">
        <v>468</v>
      </c>
      <c r="E1130" s="22" t="s">
        <v>490</v>
      </c>
    </row>
    <row r="1131" spans="1:5" x14ac:dyDescent="0.25">
      <c r="A1131" s="35">
        <v>46008.90791436343</v>
      </c>
      <c r="B1131" s="22" t="s">
        <v>1623</v>
      </c>
      <c r="C1131" s="22" t="s">
        <v>489</v>
      </c>
      <c r="D1131" s="22" t="s">
        <v>468</v>
      </c>
      <c r="E1131" s="22" t="s">
        <v>490</v>
      </c>
    </row>
    <row r="1132" spans="1:5" x14ac:dyDescent="0.25">
      <c r="A1132" s="35">
        <v>46008.907929340276</v>
      </c>
      <c r="B1132" s="22" t="s">
        <v>1624</v>
      </c>
      <c r="C1132" s="22" t="s">
        <v>489</v>
      </c>
      <c r="D1132" s="22" t="s">
        <v>500</v>
      </c>
      <c r="E1132" s="22" t="s">
        <v>490</v>
      </c>
    </row>
    <row r="1133" spans="1:5" x14ac:dyDescent="0.25">
      <c r="A1133" s="35">
        <v>46008.907932175927</v>
      </c>
      <c r="B1133" s="22" t="s">
        <v>1625</v>
      </c>
      <c r="C1133" s="22" t="s">
        <v>489</v>
      </c>
      <c r="D1133" s="22" t="s">
        <v>468</v>
      </c>
      <c r="E1133" s="22" t="s">
        <v>490</v>
      </c>
    </row>
    <row r="1134" spans="1:5" x14ac:dyDescent="0.25">
      <c r="A1134" s="35">
        <v>46008.907935196759</v>
      </c>
      <c r="B1134" s="22" t="s">
        <v>1626</v>
      </c>
      <c r="C1134" s="22" t="s">
        <v>489</v>
      </c>
      <c r="D1134" s="22" t="s">
        <v>468</v>
      </c>
      <c r="E1134" s="22" t="s">
        <v>490</v>
      </c>
    </row>
    <row r="1135" spans="1:5" x14ac:dyDescent="0.25">
      <c r="A1135" s="35">
        <v>46008.907938159726</v>
      </c>
      <c r="B1135" s="22" t="s">
        <v>1627</v>
      </c>
      <c r="C1135" s="22" t="s">
        <v>489</v>
      </c>
      <c r="D1135" s="22" t="s">
        <v>469</v>
      </c>
      <c r="E1135" s="22" t="s">
        <v>490</v>
      </c>
    </row>
    <row r="1136" spans="1:5" x14ac:dyDescent="0.25">
      <c r="A1136" s="35">
        <v>46008.907941192127</v>
      </c>
      <c r="B1136" s="22" t="s">
        <v>1628</v>
      </c>
      <c r="C1136" s="22" t="s">
        <v>489</v>
      </c>
      <c r="D1136" s="22" t="s">
        <v>500</v>
      </c>
      <c r="E1136" s="22" t="s">
        <v>490</v>
      </c>
    </row>
    <row r="1137" spans="1:5" x14ac:dyDescent="0.25">
      <c r="A1137" s="35">
        <v>46008.907944062499</v>
      </c>
      <c r="B1137" s="22" t="s">
        <v>1629</v>
      </c>
      <c r="C1137" s="22" t="s">
        <v>489</v>
      </c>
      <c r="D1137" s="22" t="s">
        <v>500</v>
      </c>
      <c r="E1137" s="22" t="s">
        <v>490</v>
      </c>
    </row>
    <row r="1138" spans="1:5" x14ac:dyDescent="0.25">
      <c r="A1138" s="35">
        <v>46008.907946921296</v>
      </c>
      <c r="B1138" s="22" t="s">
        <v>1630</v>
      </c>
      <c r="C1138" s="22" t="s">
        <v>489</v>
      </c>
      <c r="D1138" s="22" t="s">
        <v>492</v>
      </c>
      <c r="E1138" s="22" t="s">
        <v>490</v>
      </c>
    </row>
    <row r="1139" spans="1:5" x14ac:dyDescent="0.25">
      <c r="A1139" s="35">
        <v>46008.907950856483</v>
      </c>
      <c r="B1139" s="22" t="s">
        <v>1631</v>
      </c>
      <c r="C1139" s="22" t="s">
        <v>482</v>
      </c>
      <c r="D1139" s="22" t="s">
        <v>449</v>
      </c>
      <c r="E1139" s="22" t="s">
        <v>490</v>
      </c>
    </row>
    <row r="1140" spans="1:5" x14ac:dyDescent="0.25">
      <c r="A1140" s="35">
        <v>46008.907953958333</v>
      </c>
      <c r="B1140" s="22" t="s">
        <v>1632</v>
      </c>
      <c r="C1140" s="22" t="s">
        <v>489</v>
      </c>
      <c r="D1140" s="22" t="s">
        <v>469</v>
      </c>
      <c r="E1140" s="22" t="s">
        <v>490</v>
      </c>
    </row>
    <row r="1141" spans="1:5" x14ac:dyDescent="0.25">
      <c r="A1141" s="35">
        <v>46008.907956967596</v>
      </c>
      <c r="B1141" s="22" t="s">
        <v>1633</v>
      </c>
      <c r="C1141" s="22" t="s">
        <v>489</v>
      </c>
      <c r="D1141" s="22" t="s">
        <v>500</v>
      </c>
      <c r="E1141" s="22" t="s">
        <v>490</v>
      </c>
    </row>
    <row r="1142" spans="1:5" x14ac:dyDescent="0.25">
      <c r="A1142" s="35">
        <v>46008.907960208337</v>
      </c>
      <c r="B1142" s="22" t="s">
        <v>1634</v>
      </c>
      <c r="C1142" s="22" t="s">
        <v>489</v>
      </c>
      <c r="D1142" s="22" t="s">
        <v>468</v>
      </c>
      <c r="E1142" s="22" t="s">
        <v>490</v>
      </c>
    </row>
    <row r="1143" spans="1:5" x14ac:dyDescent="0.25">
      <c r="A1143" s="35">
        <v>46008.907963136575</v>
      </c>
      <c r="B1143" s="22" t="s">
        <v>1635</v>
      </c>
      <c r="C1143" s="22" t="s">
        <v>489</v>
      </c>
      <c r="D1143" s="22" t="s">
        <v>468</v>
      </c>
      <c r="E1143" s="22" t="s">
        <v>490</v>
      </c>
    </row>
    <row r="1144" spans="1:5" x14ac:dyDescent="0.25">
      <c r="A1144" s="35">
        <v>46008.907966886574</v>
      </c>
      <c r="B1144" s="22" t="s">
        <v>1636</v>
      </c>
      <c r="C1144" s="22" t="s">
        <v>489</v>
      </c>
      <c r="D1144" s="22" t="s">
        <v>500</v>
      </c>
      <c r="E1144" s="22" t="s">
        <v>490</v>
      </c>
    </row>
    <row r="1145" spans="1:5" x14ac:dyDescent="0.25">
      <c r="A1145" s="35">
        <v>46008.907969953703</v>
      </c>
      <c r="B1145" s="22" t="s">
        <v>1637</v>
      </c>
      <c r="C1145" s="22" t="s">
        <v>489</v>
      </c>
      <c r="D1145" s="22" t="s">
        <v>500</v>
      </c>
      <c r="E1145" s="22" t="s">
        <v>490</v>
      </c>
    </row>
    <row r="1146" spans="1:5" x14ac:dyDescent="0.25">
      <c r="A1146" s="35">
        <v>46008.907973009264</v>
      </c>
      <c r="B1146" s="22" t="s">
        <v>1638</v>
      </c>
      <c r="C1146" s="22" t="s">
        <v>489</v>
      </c>
      <c r="D1146" s="22" t="s">
        <v>500</v>
      </c>
      <c r="E1146" s="22" t="s">
        <v>490</v>
      </c>
    </row>
    <row r="1147" spans="1:5" x14ac:dyDescent="0.25">
      <c r="A1147" s="35">
        <v>46008.907975995375</v>
      </c>
      <c r="B1147" s="22" t="s">
        <v>1639</v>
      </c>
      <c r="C1147" s="22" t="s">
        <v>489</v>
      </c>
      <c r="D1147" s="22" t="s">
        <v>468</v>
      </c>
      <c r="E1147" s="22" t="s">
        <v>490</v>
      </c>
    </row>
    <row r="1148" spans="1:5" x14ac:dyDescent="0.25">
      <c r="A1148" s="35">
        <v>46008.907979201387</v>
      </c>
      <c r="B1148" s="22" t="s">
        <v>1640</v>
      </c>
      <c r="C1148" s="22" t="s">
        <v>482</v>
      </c>
      <c r="D1148" s="22" t="s">
        <v>449</v>
      </c>
      <c r="E1148" s="22" t="s">
        <v>490</v>
      </c>
    </row>
    <row r="1149" spans="1:5" x14ac:dyDescent="0.25">
      <c r="A1149" s="35">
        <v>46008.907982314813</v>
      </c>
      <c r="B1149" s="22" t="s">
        <v>1641</v>
      </c>
      <c r="C1149" s="22" t="s">
        <v>482</v>
      </c>
      <c r="D1149" s="22" t="s">
        <v>449</v>
      </c>
      <c r="E1149" s="22" t="s">
        <v>490</v>
      </c>
    </row>
    <row r="1150" spans="1:5" x14ac:dyDescent="0.25">
      <c r="A1150" s="35">
        <v>46008.907985231483</v>
      </c>
      <c r="B1150" s="22" t="s">
        <v>1642</v>
      </c>
      <c r="C1150" s="22" t="s">
        <v>489</v>
      </c>
      <c r="D1150" s="22" t="s">
        <v>500</v>
      </c>
      <c r="E1150" s="22" t="s">
        <v>490</v>
      </c>
    </row>
    <row r="1151" spans="1:5" x14ac:dyDescent="0.25">
      <c r="A1151" s="35">
        <v>46008.907988194449</v>
      </c>
      <c r="B1151" s="22" t="s">
        <v>1643</v>
      </c>
      <c r="C1151" s="22" t="s">
        <v>489</v>
      </c>
      <c r="D1151" s="22" t="s">
        <v>468</v>
      </c>
      <c r="E1151" s="22" t="s">
        <v>490</v>
      </c>
    </row>
    <row r="1152" spans="1:5" x14ac:dyDescent="0.25">
      <c r="A1152" s="35">
        <v>46008.90799146991</v>
      </c>
      <c r="B1152" s="22" t="s">
        <v>1644</v>
      </c>
      <c r="C1152" s="22" t="s">
        <v>482</v>
      </c>
      <c r="D1152" s="22" t="s">
        <v>449</v>
      </c>
      <c r="E1152" s="22" t="s">
        <v>490</v>
      </c>
    </row>
    <row r="1153" spans="1:5" x14ac:dyDescent="0.25">
      <c r="A1153" s="35">
        <v>46008.907994479167</v>
      </c>
      <c r="B1153" s="22" t="s">
        <v>1645</v>
      </c>
      <c r="C1153" s="22" t="s">
        <v>489</v>
      </c>
      <c r="D1153" s="22" t="s">
        <v>469</v>
      </c>
      <c r="E1153" s="22" t="s">
        <v>490</v>
      </c>
    </row>
    <row r="1154" spans="1:5" x14ac:dyDescent="0.25">
      <c r="A1154" s="35">
        <v>46008.907997291666</v>
      </c>
      <c r="B1154" s="22" t="s">
        <v>1646</v>
      </c>
      <c r="C1154" s="22" t="s">
        <v>489</v>
      </c>
      <c r="D1154" s="22" t="s">
        <v>500</v>
      </c>
      <c r="E1154" s="22" t="s">
        <v>490</v>
      </c>
    </row>
    <row r="1155" spans="1:5" x14ac:dyDescent="0.25">
      <c r="A1155" s="35">
        <v>46008.908000150463</v>
      </c>
      <c r="B1155" s="22" t="s">
        <v>1647</v>
      </c>
      <c r="C1155" s="22" t="s">
        <v>489</v>
      </c>
      <c r="D1155" s="22" t="s">
        <v>500</v>
      </c>
      <c r="E1155" s="22" t="s">
        <v>490</v>
      </c>
    </row>
    <row r="1156" spans="1:5" x14ac:dyDescent="0.25">
      <c r="A1156" s="35">
        <v>46008.908003449076</v>
      </c>
      <c r="B1156" s="22" t="s">
        <v>1648</v>
      </c>
      <c r="C1156" s="22" t="s">
        <v>489</v>
      </c>
      <c r="D1156" s="22" t="s">
        <v>468</v>
      </c>
      <c r="E1156" s="22" t="s">
        <v>490</v>
      </c>
    </row>
    <row r="1157" spans="1:5" x14ac:dyDescent="0.25">
      <c r="A1157" s="35">
        <v>46008.908007245365</v>
      </c>
      <c r="B1157" s="22" t="s">
        <v>1649</v>
      </c>
      <c r="C1157" s="22" t="s">
        <v>489</v>
      </c>
      <c r="D1157" s="22" t="s">
        <v>468</v>
      </c>
      <c r="E1157" s="22" t="s">
        <v>490</v>
      </c>
    </row>
    <row r="1158" spans="1:5" x14ac:dyDescent="0.25">
      <c r="A1158" s="35">
        <v>46008.908010289349</v>
      </c>
      <c r="B1158" s="22" t="s">
        <v>1650</v>
      </c>
      <c r="C1158" s="22" t="s">
        <v>489</v>
      </c>
      <c r="D1158" s="22" t="s">
        <v>468</v>
      </c>
      <c r="E1158" s="22" t="s">
        <v>490</v>
      </c>
    </row>
    <row r="1159" spans="1:5" x14ac:dyDescent="0.25">
      <c r="A1159" s="35">
        <v>46008.908013495369</v>
      </c>
      <c r="B1159" s="22" t="s">
        <v>1651</v>
      </c>
      <c r="C1159" s="22" t="s">
        <v>489</v>
      </c>
      <c r="D1159" s="22" t="s">
        <v>492</v>
      </c>
      <c r="E1159" s="22" t="s">
        <v>490</v>
      </c>
    </row>
    <row r="1160" spans="1:5" x14ac:dyDescent="0.25">
      <c r="A1160" s="35">
        <v>46008.908016539353</v>
      </c>
      <c r="B1160" s="22" t="s">
        <v>1652</v>
      </c>
      <c r="C1160" s="22" t="s">
        <v>489</v>
      </c>
      <c r="D1160" s="22" t="s">
        <v>468</v>
      </c>
      <c r="E1160" s="22" t="s">
        <v>490</v>
      </c>
    </row>
    <row r="1161" spans="1:5" x14ac:dyDescent="0.25">
      <c r="A1161" s="35">
        <v>46008.908019479168</v>
      </c>
      <c r="B1161" s="22" t="s">
        <v>1653</v>
      </c>
      <c r="C1161" s="22" t="s">
        <v>489</v>
      </c>
      <c r="D1161" s="22" t="s">
        <v>468</v>
      </c>
      <c r="E1161" s="22" t="s">
        <v>490</v>
      </c>
    </row>
    <row r="1162" spans="1:5" x14ac:dyDescent="0.25">
      <c r="A1162" s="35">
        <v>46008.9080221412</v>
      </c>
      <c r="B1162" s="22" t="s">
        <v>1654</v>
      </c>
      <c r="C1162" s="22" t="s">
        <v>489</v>
      </c>
      <c r="D1162" s="22" t="s">
        <v>468</v>
      </c>
      <c r="E1162" s="22" t="s">
        <v>490</v>
      </c>
    </row>
    <row r="1163" spans="1:5" x14ac:dyDescent="0.25">
      <c r="A1163" s="35">
        <v>46008.908025011573</v>
      </c>
      <c r="B1163" s="22" t="s">
        <v>1655</v>
      </c>
      <c r="C1163" s="22" t="s">
        <v>489</v>
      </c>
      <c r="D1163" s="22" t="s">
        <v>468</v>
      </c>
      <c r="E1163" s="22" t="s">
        <v>490</v>
      </c>
    </row>
    <row r="1164" spans="1:5" x14ac:dyDescent="0.25">
      <c r="A1164" s="35">
        <v>46008.908035358792</v>
      </c>
      <c r="B1164" s="22" t="s">
        <v>1656</v>
      </c>
      <c r="C1164" s="22" t="s">
        <v>489</v>
      </c>
      <c r="D1164" s="22" t="s">
        <v>468</v>
      </c>
      <c r="E1164" s="22" t="s">
        <v>490</v>
      </c>
    </row>
    <row r="1165" spans="1:5" x14ac:dyDescent="0.25">
      <c r="A1165" s="35">
        <v>46008.908038298614</v>
      </c>
      <c r="B1165" s="22" t="s">
        <v>1657</v>
      </c>
      <c r="C1165" s="22" t="s">
        <v>489</v>
      </c>
      <c r="D1165" s="22" t="s">
        <v>468</v>
      </c>
      <c r="E1165" s="22" t="s">
        <v>490</v>
      </c>
    </row>
    <row r="1166" spans="1:5" x14ac:dyDescent="0.25">
      <c r="A1166" s="35">
        <v>46008.908041516203</v>
      </c>
      <c r="B1166" s="22" t="s">
        <v>1658</v>
      </c>
      <c r="C1166" s="22" t="s">
        <v>489</v>
      </c>
      <c r="D1166" s="22" t="s">
        <v>468</v>
      </c>
      <c r="E1166" s="22" t="s">
        <v>490</v>
      </c>
    </row>
    <row r="1167" spans="1:5" x14ac:dyDescent="0.25">
      <c r="A1167" s="35">
        <v>46008.908044374999</v>
      </c>
      <c r="B1167" s="22" t="s">
        <v>1659</v>
      </c>
      <c r="C1167" s="22" t="s">
        <v>482</v>
      </c>
      <c r="D1167" s="22" t="s">
        <v>449</v>
      </c>
      <c r="E1167" s="22" t="s">
        <v>490</v>
      </c>
    </row>
    <row r="1168" spans="1:5" x14ac:dyDescent="0.25">
      <c r="A1168" s="35">
        <v>46008.908047291668</v>
      </c>
      <c r="B1168" s="22" t="s">
        <v>1660</v>
      </c>
      <c r="C1168" s="22" t="s">
        <v>489</v>
      </c>
      <c r="D1168" s="22" t="s">
        <v>468</v>
      </c>
      <c r="E1168" s="22" t="s">
        <v>490</v>
      </c>
    </row>
    <row r="1169" spans="1:5" x14ac:dyDescent="0.25">
      <c r="A1169" s="35">
        <v>46008.90805017361</v>
      </c>
      <c r="B1169" s="22" t="s">
        <v>1661</v>
      </c>
      <c r="C1169" s="22" t="s">
        <v>489</v>
      </c>
      <c r="D1169" s="22" t="s">
        <v>468</v>
      </c>
      <c r="E1169" s="22" t="s">
        <v>490</v>
      </c>
    </row>
    <row r="1170" spans="1:5" x14ac:dyDescent="0.25">
      <c r="A1170" s="35">
        <v>46008.908059189816</v>
      </c>
      <c r="B1170" s="22" t="s">
        <v>1662</v>
      </c>
      <c r="C1170" s="22" t="s">
        <v>489</v>
      </c>
      <c r="D1170" s="22" t="s">
        <v>468</v>
      </c>
      <c r="E1170" s="22" t="s">
        <v>490</v>
      </c>
    </row>
    <row r="1171" spans="1:5" x14ac:dyDescent="0.25">
      <c r="A1171" s="35">
        <v>46008.908062083334</v>
      </c>
      <c r="B1171" s="22" t="s">
        <v>1663</v>
      </c>
      <c r="C1171" s="22" t="s">
        <v>489</v>
      </c>
      <c r="D1171" s="22" t="s">
        <v>468</v>
      </c>
      <c r="E1171" s="22" t="s">
        <v>490</v>
      </c>
    </row>
    <row r="1172" spans="1:5" x14ac:dyDescent="0.25">
      <c r="A1172" s="35">
        <v>46008.90806696759</v>
      </c>
      <c r="B1172" s="22" t="s">
        <v>1664</v>
      </c>
      <c r="C1172" s="22" t="s">
        <v>489</v>
      </c>
      <c r="D1172" s="22" t="s">
        <v>492</v>
      </c>
      <c r="E1172" s="22" t="s">
        <v>490</v>
      </c>
    </row>
    <row r="1173" spans="1:5" x14ac:dyDescent="0.25">
      <c r="A1173" s="35">
        <v>46008.908069791665</v>
      </c>
      <c r="B1173" s="22" t="s">
        <v>1665</v>
      </c>
      <c r="C1173" s="22" t="s">
        <v>482</v>
      </c>
      <c r="D1173" s="22" t="s">
        <v>449</v>
      </c>
      <c r="E1173" s="22" t="s">
        <v>490</v>
      </c>
    </row>
    <row r="1174" spans="1:5" x14ac:dyDescent="0.25">
      <c r="A1174" s="35">
        <v>46008.908072546299</v>
      </c>
      <c r="B1174" s="22" t="s">
        <v>1666</v>
      </c>
      <c r="C1174" s="22" t="s">
        <v>482</v>
      </c>
      <c r="D1174" s="22" t="s">
        <v>449</v>
      </c>
      <c r="E1174" s="22" t="s">
        <v>490</v>
      </c>
    </row>
    <row r="1175" spans="1:5" x14ac:dyDescent="0.25">
      <c r="A1175" s="35">
        <v>46008.908075335647</v>
      </c>
      <c r="B1175" s="22" t="s">
        <v>1667</v>
      </c>
      <c r="C1175" s="22" t="s">
        <v>489</v>
      </c>
      <c r="D1175" s="22" t="s">
        <v>469</v>
      </c>
      <c r="E1175" s="22" t="s">
        <v>490</v>
      </c>
    </row>
    <row r="1176" spans="1:5" x14ac:dyDescent="0.25">
      <c r="A1176" s="35">
        <v>46008.908079479166</v>
      </c>
      <c r="B1176" s="22" t="s">
        <v>1668</v>
      </c>
      <c r="C1176" s="22" t="s">
        <v>489</v>
      </c>
      <c r="D1176" s="22" t="s">
        <v>469</v>
      </c>
      <c r="E1176" s="22" t="s">
        <v>490</v>
      </c>
    </row>
    <row r="1177" spans="1:5" x14ac:dyDescent="0.25">
      <c r="A1177" s="35">
        <v>46008.908082430557</v>
      </c>
      <c r="B1177" s="22" t="s">
        <v>1669</v>
      </c>
      <c r="C1177" s="22" t="s">
        <v>489</v>
      </c>
      <c r="D1177" s="22" t="s">
        <v>500</v>
      </c>
      <c r="E1177" s="22" t="s">
        <v>490</v>
      </c>
    </row>
    <row r="1178" spans="1:5" x14ac:dyDescent="0.25">
      <c r="A1178" s="35">
        <v>46008.908085370371</v>
      </c>
      <c r="B1178" s="22" t="s">
        <v>1670</v>
      </c>
      <c r="C1178" s="22" t="s">
        <v>489</v>
      </c>
      <c r="D1178" s="22" t="s">
        <v>500</v>
      </c>
      <c r="E1178" s="22" t="s">
        <v>490</v>
      </c>
    </row>
    <row r="1179" spans="1:5" x14ac:dyDescent="0.25">
      <c r="A1179" s="35">
        <v>46008.908088229167</v>
      </c>
      <c r="B1179" s="22" t="s">
        <v>1671</v>
      </c>
      <c r="C1179" s="22" t="s">
        <v>482</v>
      </c>
      <c r="D1179" s="22" t="s">
        <v>449</v>
      </c>
      <c r="E1179" s="22" t="s">
        <v>490</v>
      </c>
    </row>
    <row r="1180" spans="1:5" x14ac:dyDescent="0.25">
      <c r="A1180" s="35">
        <v>46008.90809118055</v>
      </c>
      <c r="B1180" s="22" t="s">
        <v>1672</v>
      </c>
      <c r="C1180" s="22" t="s">
        <v>482</v>
      </c>
      <c r="D1180" s="22" t="s">
        <v>516</v>
      </c>
      <c r="E1180" s="22" t="s">
        <v>490</v>
      </c>
    </row>
    <row r="1181" spans="1:5" x14ac:dyDescent="0.25">
      <c r="A1181" s="35">
        <v>46008.90809409722</v>
      </c>
      <c r="B1181" s="22" t="s">
        <v>1673</v>
      </c>
      <c r="C1181" s="22" t="s">
        <v>489</v>
      </c>
      <c r="D1181" s="22" t="s">
        <v>500</v>
      </c>
      <c r="E1181" s="22" t="s">
        <v>490</v>
      </c>
    </row>
    <row r="1182" spans="1:5" x14ac:dyDescent="0.25">
      <c r="A1182" s="35">
        <v>46008.908096967592</v>
      </c>
      <c r="B1182" s="22" t="s">
        <v>1674</v>
      </c>
      <c r="C1182" s="22" t="s">
        <v>489</v>
      </c>
      <c r="D1182" s="22" t="s">
        <v>469</v>
      </c>
      <c r="E1182" s="22" t="s">
        <v>490</v>
      </c>
    </row>
    <row r="1183" spans="1:5" x14ac:dyDescent="0.25">
      <c r="A1183" s="35">
        <v>46008.90809986111</v>
      </c>
      <c r="B1183" s="22" t="s">
        <v>1675</v>
      </c>
      <c r="C1183" s="22" t="s">
        <v>489</v>
      </c>
      <c r="D1183" s="22" t="s">
        <v>492</v>
      </c>
      <c r="E1183" s="22" t="s">
        <v>490</v>
      </c>
    </row>
    <row r="1184" spans="1:5" x14ac:dyDescent="0.25">
      <c r="A1184" s="35">
        <v>46008.90810270833</v>
      </c>
      <c r="B1184" s="22" t="s">
        <v>1676</v>
      </c>
      <c r="C1184" s="22" t="s">
        <v>482</v>
      </c>
      <c r="D1184" s="22" t="s">
        <v>449</v>
      </c>
      <c r="E1184" s="22" t="s">
        <v>490</v>
      </c>
    </row>
    <row r="1185" spans="1:5" x14ac:dyDescent="0.25">
      <c r="A1185" s="35">
        <v>46008.908105694441</v>
      </c>
      <c r="B1185" s="22" t="s">
        <v>1677</v>
      </c>
      <c r="C1185" s="22" t="s">
        <v>489</v>
      </c>
      <c r="D1185" s="22" t="s">
        <v>468</v>
      </c>
      <c r="E1185" s="22" t="s">
        <v>490</v>
      </c>
    </row>
    <row r="1186" spans="1:5" x14ac:dyDescent="0.25">
      <c r="A1186" s="35">
        <v>46008.908108680553</v>
      </c>
      <c r="B1186" s="22" t="s">
        <v>1678</v>
      </c>
      <c r="C1186" s="22" t="s">
        <v>489</v>
      </c>
      <c r="D1186" s="22" t="s">
        <v>492</v>
      </c>
      <c r="E1186" s="22" t="s">
        <v>490</v>
      </c>
    </row>
    <row r="1187" spans="1:5" x14ac:dyDescent="0.25">
      <c r="A1187" s="35">
        <v>46008.90811152778</v>
      </c>
      <c r="B1187" s="22" t="s">
        <v>1679</v>
      </c>
      <c r="C1187" s="22" t="s">
        <v>489</v>
      </c>
      <c r="D1187" s="22" t="s">
        <v>500</v>
      </c>
      <c r="E1187" s="22" t="s">
        <v>490</v>
      </c>
    </row>
    <row r="1188" spans="1:5" x14ac:dyDescent="0.25">
      <c r="A1188" s="35">
        <v>46008.908114456019</v>
      </c>
      <c r="B1188" s="22" t="s">
        <v>1680</v>
      </c>
      <c r="C1188" s="22" t="s">
        <v>489</v>
      </c>
      <c r="D1188" s="22" t="s">
        <v>468</v>
      </c>
      <c r="E1188" s="22" t="s">
        <v>490</v>
      </c>
    </row>
    <row r="1189" spans="1:5" x14ac:dyDescent="0.25">
      <c r="A1189" s="35">
        <v>46008.908117361112</v>
      </c>
      <c r="B1189" s="22" t="s">
        <v>1681</v>
      </c>
      <c r="C1189" s="22" t="s">
        <v>489</v>
      </c>
      <c r="D1189" s="22" t="s">
        <v>468</v>
      </c>
      <c r="E1189" s="22" t="s">
        <v>490</v>
      </c>
    </row>
    <row r="1190" spans="1:5" x14ac:dyDescent="0.25">
      <c r="A1190" s="35">
        <v>46008.908120486114</v>
      </c>
      <c r="B1190" s="22" t="s">
        <v>1682</v>
      </c>
      <c r="C1190" s="22" t="s">
        <v>489</v>
      </c>
      <c r="D1190" s="22" t="s">
        <v>468</v>
      </c>
      <c r="E1190" s="22" t="s">
        <v>490</v>
      </c>
    </row>
    <row r="1191" spans="1:5" x14ac:dyDescent="0.25">
      <c r="A1191" s="35">
        <v>46008.908123449073</v>
      </c>
      <c r="B1191" s="22" t="s">
        <v>1683</v>
      </c>
      <c r="C1191" s="22" t="s">
        <v>489</v>
      </c>
      <c r="D1191" s="22" t="s">
        <v>500</v>
      </c>
      <c r="E1191" s="22" t="s">
        <v>490</v>
      </c>
    </row>
    <row r="1192" spans="1:5" x14ac:dyDescent="0.25">
      <c r="A1192" s="35">
        <v>46008.908135011574</v>
      </c>
      <c r="B1192" s="22" t="s">
        <v>1684</v>
      </c>
      <c r="C1192" s="22" t="s">
        <v>489</v>
      </c>
      <c r="D1192" s="22" t="s">
        <v>492</v>
      </c>
      <c r="E1192" s="22" t="s">
        <v>490</v>
      </c>
    </row>
    <row r="1193" spans="1:5" x14ac:dyDescent="0.25">
      <c r="A1193" s="35">
        <v>46008.908138113431</v>
      </c>
      <c r="B1193" s="22" t="s">
        <v>1685</v>
      </c>
      <c r="C1193" s="22" t="s">
        <v>489</v>
      </c>
      <c r="D1193" s="22" t="s">
        <v>468</v>
      </c>
      <c r="E1193" s="22" t="s">
        <v>490</v>
      </c>
    </row>
    <row r="1194" spans="1:5" x14ac:dyDescent="0.25">
      <c r="A1194" s="35">
        <v>46008.90814068287</v>
      </c>
      <c r="B1194" s="22" t="s">
        <v>1686</v>
      </c>
      <c r="C1194" s="22" t="s">
        <v>489</v>
      </c>
      <c r="D1194" s="22" t="s">
        <v>469</v>
      </c>
      <c r="E1194" s="22" t="s">
        <v>490</v>
      </c>
    </row>
    <row r="1195" spans="1:5" x14ac:dyDescent="0.25">
      <c r="A1195" s="35">
        <v>46008.908143773151</v>
      </c>
      <c r="B1195" s="22" t="s">
        <v>1687</v>
      </c>
      <c r="C1195" s="22" t="s">
        <v>489</v>
      </c>
      <c r="D1195" s="22" t="s">
        <v>469</v>
      </c>
      <c r="E1195" s="22" t="s">
        <v>490</v>
      </c>
    </row>
    <row r="1196" spans="1:5" x14ac:dyDescent="0.25">
      <c r="A1196" s="35">
        <v>46008.908146712958</v>
      </c>
      <c r="B1196" s="22" t="s">
        <v>1688</v>
      </c>
      <c r="C1196" s="22" t="s">
        <v>489</v>
      </c>
      <c r="D1196" s="22" t="s">
        <v>469</v>
      </c>
      <c r="E1196" s="22" t="s">
        <v>490</v>
      </c>
    </row>
    <row r="1197" spans="1:5" x14ac:dyDescent="0.25">
      <c r="A1197" s="35">
        <v>46008.908149641204</v>
      </c>
      <c r="B1197" s="22" t="s">
        <v>1689</v>
      </c>
      <c r="C1197" s="22" t="s">
        <v>489</v>
      </c>
      <c r="D1197" s="22" t="s">
        <v>492</v>
      </c>
      <c r="E1197" s="22" t="s">
        <v>490</v>
      </c>
    </row>
    <row r="1198" spans="1:5" x14ac:dyDescent="0.25">
      <c r="A1198" s="35">
        <v>46008.908152615739</v>
      </c>
      <c r="B1198" s="22" t="s">
        <v>1690</v>
      </c>
      <c r="C1198" s="22" t="s">
        <v>482</v>
      </c>
      <c r="D1198" s="22" t="s">
        <v>516</v>
      </c>
      <c r="E1198" s="22" t="s">
        <v>490</v>
      </c>
    </row>
    <row r="1199" spans="1:5" x14ac:dyDescent="0.25">
      <c r="A1199" s="35">
        <v>46008.908155659723</v>
      </c>
      <c r="B1199" s="22" t="s">
        <v>1691</v>
      </c>
      <c r="C1199" s="22" t="s">
        <v>489</v>
      </c>
      <c r="D1199" s="22" t="s">
        <v>500</v>
      </c>
      <c r="E1199" s="22" t="s">
        <v>490</v>
      </c>
    </row>
    <row r="1200" spans="1:5" x14ac:dyDescent="0.25">
      <c r="A1200" s="35">
        <v>46008.908158611113</v>
      </c>
      <c r="B1200" s="22" t="s">
        <v>1692</v>
      </c>
      <c r="C1200" s="22" t="s">
        <v>489</v>
      </c>
      <c r="D1200" s="22" t="s">
        <v>500</v>
      </c>
      <c r="E1200" s="22" t="s">
        <v>490</v>
      </c>
    </row>
    <row r="1201" spans="1:5" x14ac:dyDescent="0.25">
      <c r="A1201" s="35">
        <v>46008.908161655098</v>
      </c>
      <c r="B1201" s="22" t="s">
        <v>1693</v>
      </c>
      <c r="C1201" s="22" t="s">
        <v>482</v>
      </c>
      <c r="D1201" s="22" t="s">
        <v>516</v>
      </c>
      <c r="E1201" s="22" t="s">
        <v>490</v>
      </c>
    </row>
    <row r="1202" spans="1:5" x14ac:dyDescent="0.25">
      <c r="A1202" s="35">
        <v>46008.908164479166</v>
      </c>
      <c r="B1202" s="22" t="s">
        <v>1694</v>
      </c>
      <c r="C1202" s="22" t="s">
        <v>489</v>
      </c>
      <c r="D1202" s="22" t="s">
        <v>492</v>
      </c>
      <c r="E1202" s="22" t="s">
        <v>490</v>
      </c>
    </row>
    <row r="1203" spans="1:5" x14ac:dyDescent="0.25">
      <c r="A1203" s="35">
        <v>46008.908167523143</v>
      </c>
      <c r="B1203" s="22" t="s">
        <v>1695</v>
      </c>
      <c r="C1203" s="22" t="s">
        <v>489</v>
      </c>
      <c r="D1203" s="22" t="s">
        <v>469</v>
      </c>
      <c r="E1203" s="22" t="s">
        <v>490</v>
      </c>
    </row>
    <row r="1204" spans="1:5" x14ac:dyDescent="0.25">
      <c r="A1204" s="35">
        <v>46008.908170520837</v>
      </c>
      <c r="B1204" s="22" t="s">
        <v>1696</v>
      </c>
      <c r="C1204" s="22" t="s">
        <v>489</v>
      </c>
      <c r="D1204" s="22" t="s">
        <v>468</v>
      </c>
      <c r="E1204" s="22" t="s">
        <v>490</v>
      </c>
    </row>
    <row r="1205" spans="1:5" x14ac:dyDescent="0.25">
      <c r="A1205" s="35">
        <v>46008.908173425923</v>
      </c>
      <c r="B1205" s="22" t="s">
        <v>1697</v>
      </c>
      <c r="C1205" s="22" t="s">
        <v>489</v>
      </c>
      <c r="D1205" s="22" t="s">
        <v>468</v>
      </c>
      <c r="E1205" s="22" t="s">
        <v>490</v>
      </c>
    </row>
    <row r="1206" spans="1:5" x14ac:dyDescent="0.25">
      <c r="A1206" s="35">
        <v>46008.908176377314</v>
      </c>
      <c r="B1206" s="22" t="s">
        <v>1698</v>
      </c>
      <c r="C1206" s="22" t="s">
        <v>489</v>
      </c>
      <c r="D1206" s="22" t="s">
        <v>468</v>
      </c>
      <c r="E1206" s="22" t="s">
        <v>490</v>
      </c>
    </row>
    <row r="1207" spans="1:5" x14ac:dyDescent="0.25">
      <c r="A1207" s="35">
        <v>46008.908179305552</v>
      </c>
      <c r="B1207" s="22" t="s">
        <v>1699</v>
      </c>
      <c r="C1207" s="22" t="s">
        <v>489</v>
      </c>
      <c r="D1207" s="22" t="s">
        <v>500</v>
      </c>
      <c r="E1207" s="22" t="s">
        <v>490</v>
      </c>
    </row>
    <row r="1208" spans="1:5" x14ac:dyDescent="0.25">
      <c r="A1208" s="35">
        <v>46008.908182800922</v>
      </c>
      <c r="B1208" s="22" t="s">
        <v>1700</v>
      </c>
      <c r="C1208" s="22" t="s">
        <v>489</v>
      </c>
      <c r="D1208" s="22" t="s">
        <v>468</v>
      </c>
      <c r="E1208" s="22" t="s">
        <v>490</v>
      </c>
    </row>
    <row r="1209" spans="1:5" x14ac:dyDescent="0.25">
      <c r="A1209" s="35">
        <v>46008.908185833337</v>
      </c>
      <c r="B1209" s="22" t="s">
        <v>1701</v>
      </c>
      <c r="C1209" s="22" t="s">
        <v>489</v>
      </c>
      <c r="D1209" s="22" t="s">
        <v>492</v>
      </c>
      <c r="E1209" s="22" t="s">
        <v>490</v>
      </c>
    </row>
    <row r="1210" spans="1:5" x14ac:dyDescent="0.25">
      <c r="A1210" s="35">
        <v>46008.908188773145</v>
      </c>
      <c r="B1210" s="22" t="s">
        <v>1702</v>
      </c>
      <c r="C1210" s="22" t="s">
        <v>489</v>
      </c>
      <c r="D1210" s="22" t="s">
        <v>468</v>
      </c>
      <c r="E1210" s="22" t="s">
        <v>490</v>
      </c>
    </row>
    <row r="1211" spans="1:5" x14ac:dyDescent="0.25">
      <c r="A1211" s="35">
        <v>46008.908191631941</v>
      </c>
      <c r="B1211" s="22" t="s">
        <v>1703</v>
      </c>
      <c r="C1211" s="22" t="s">
        <v>482</v>
      </c>
      <c r="D1211" s="22" t="s">
        <v>449</v>
      </c>
      <c r="E1211" s="22" t="s">
        <v>490</v>
      </c>
    </row>
    <row r="1212" spans="1:5" x14ac:dyDescent="0.25">
      <c r="A1212" s="35">
        <v>46008.908201643513</v>
      </c>
      <c r="B1212" s="22" t="s">
        <v>1704</v>
      </c>
      <c r="C1212" s="22" t="s">
        <v>489</v>
      </c>
      <c r="D1212" s="22" t="s">
        <v>500</v>
      </c>
      <c r="E1212" s="22" t="s">
        <v>490</v>
      </c>
    </row>
    <row r="1213" spans="1:5" x14ac:dyDescent="0.25">
      <c r="A1213" s="35">
        <v>46008.908204421299</v>
      </c>
      <c r="B1213" s="22" t="s">
        <v>1705</v>
      </c>
      <c r="C1213" s="22" t="s">
        <v>489</v>
      </c>
      <c r="D1213" s="22" t="s">
        <v>500</v>
      </c>
      <c r="E1213" s="22" t="s">
        <v>490</v>
      </c>
    </row>
    <row r="1214" spans="1:5" x14ac:dyDescent="0.25">
      <c r="A1214" s="35">
        <v>46008.908207638888</v>
      </c>
      <c r="B1214" s="22" t="s">
        <v>1706</v>
      </c>
      <c r="C1214" s="22" t="s">
        <v>489</v>
      </c>
      <c r="D1214" s="22" t="s">
        <v>492</v>
      </c>
      <c r="E1214" s="22" t="s">
        <v>490</v>
      </c>
    </row>
    <row r="1215" spans="1:5" x14ac:dyDescent="0.25">
      <c r="A1215" s="35">
        <v>46008.908210682872</v>
      </c>
      <c r="B1215" s="22" t="s">
        <v>1707</v>
      </c>
      <c r="C1215" s="22" t="s">
        <v>482</v>
      </c>
      <c r="D1215" s="22" t="s">
        <v>449</v>
      </c>
      <c r="E1215" s="22" t="s">
        <v>490</v>
      </c>
    </row>
    <row r="1216" spans="1:5" x14ac:dyDescent="0.25">
      <c r="A1216" s="35">
        <v>46008.908213460643</v>
      </c>
      <c r="B1216" s="22" t="s">
        <v>1708</v>
      </c>
      <c r="C1216" s="22" t="s">
        <v>489</v>
      </c>
      <c r="D1216" s="22" t="s">
        <v>468</v>
      </c>
      <c r="E1216" s="22" t="s">
        <v>490</v>
      </c>
    </row>
    <row r="1217" spans="1:5" x14ac:dyDescent="0.25">
      <c r="A1217" s="35">
        <v>46008.908216215277</v>
      </c>
      <c r="B1217" s="22" t="s">
        <v>1709</v>
      </c>
      <c r="C1217" s="22" t="s">
        <v>489</v>
      </c>
      <c r="D1217" s="22" t="s">
        <v>468</v>
      </c>
      <c r="E1217" s="22" t="s">
        <v>490</v>
      </c>
    </row>
    <row r="1218" spans="1:5" x14ac:dyDescent="0.25">
      <c r="A1218" s="35">
        <v>46008.908219016201</v>
      </c>
      <c r="B1218" s="22" t="s">
        <v>1710</v>
      </c>
      <c r="C1218" s="22" t="s">
        <v>489</v>
      </c>
      <c r="D1218" s="22" t="s">
        <v>468</v>
      </c>
      <c r="E1218" s="22" t="s">
        <v>490</v>
      </c>
    </row>
    <row r="1219" spans="1:5" x14ac:dyDescent="0.25">
      <c r="A1219" s="35">
        <v>46008.908222013888</v>
      </c>
      <c r="B1219" s="22" t="s">
        <v>1711</v>
      </c>
      <c r="C1219" s="22" t="s">
        <v>489</v>
      </c>
      <c r="D1219" s="22" t="s">
        <v>500</v>
      </c>
      <c r="E1219" s="22" t="s">
        <v>490</v>
      </c>
    </row>
    <row r="1220" spans="1:5" x14ac:dyDescent="0.25">
      <c r="A1220" s="35">
        <v>46008.908224791667</v>
      </c>
      <c r="B1220" s="22" t="s">
        <v>1712</v>
      </c>
      <c r="C1220" s="22" t="s">
        <v>489</v>
      </c>
      <c r="D1220" s="22" t="s">
        <v>468</v>
      </c>
      <c r="E1220" s="22" t="s">
        <v>490</v>
      </c>
    </row>
    <row r="1221" spans="1:5" x14ac:dyDescent="0.25">
      <c r="A1221" s="35">
        <v>46008.908228125001</v>
      </c>
      <c r="B1221" s="22" t="s">
        <v>1713</v>
      </c>
      <c r="C1221" s="22" t="s">
        <v>489</v>
      </c>
      <c r="D1221" s="22" t="s">
        <v>500</v>
      </c>
      <c r="E1221" s="22" t="s">
        <v>490</v>
      </c>
    </row>
    <row r="1222" spans="1:5" x14ac:dyDescent="0.25">
      <c r="A1222" s="35">
        <v>46008.908231157402</v>
      </c>
      <c r="B1222" s="22" t="s">
        <v>1714</v>
      </c>
      <c r="C1222" s="22" t="s">
        <v>489</v>
      </c>
      <c r="D1222" s="22" t="s">
        <v>500</v>
      </c>
      <c r="E1222" s="22" t="s">
        <v>490</v>
      </c>
    </row>
    <row r="1223" spans="1:5" x14ac:dyDescent="0.25">
      <c r="A1223" s="35">
        <v>46008.908234016199</v>
      </c>
      <c r="B1223" s="22" t="s">
        <v>1715</v>
      </c>
      <c r="C1223" s="22" t="s">
        <v>489</v>
      </c>
      <c r="D1223" s="22" t="s">
        <v>500</v>
      </c>
      <c r="E1223" s="22" t="s">
        <v>490</v>
      </c>
    </row>
    <row r="1224" spans="1:5" x14ac:dyDescent="0.25">
      <c r="A1224" s="35">
        <v>46008.908236840274</v>
      </c>
      <c r="B1224" s="22" t="s">
        <v>1716</v>
      </c>
      <c r="C1224" s="22" t="s">
        <v>489</v>
      </c>
      <c r="D1224" s="22" t="s">
        <v>468</v>
      </c>
      <c r="E1224" s="22" t="s">
        <v>490</v>
      </c>
    </row>
    <row r="1225" spans="1:5" x14ac:dyDescent="0.25">
      <c r="A1225" s="35">
        <v>46008.908239699071</v>
      </c>
      <c r="B1225" s="22" t="s">
        <v>1717</v>
      </c>
      <c r="C1225" s="22" t="s">
        <v>489</v>
      </c>
      <c r="D1225" s="22" t="s">
        <v>468</v>
      </c>
      <c r="E1225" s="22" t="s">
        <v>490</v>
      </c>
    </row>
    <row r="1226" spans="1:5" x14ac:dyDescent="0.25">
      <c r="A1226" s="35">
        <v>46008.908242511578</v>
      </c>
      <c r="B1226" s="22" t="s">
        <v>1718</v>
      </c>
      <c r="C1226" s="22" t="s">
        <v>489</v>
      </c>
      <c r="D1226" s="22" t="s">
        <v>468</v>
      </c>
      <c r="E1226" s="22" t="s">
        <v>490</v>
      </c>
    </row>
    <row r="1227" spans="1:5" x14ac:dyDescent="0.25">
      <c r="A1227" s="35">
        <v>46008.908245474537</v>
      </c>
      <c r="B1227" s="22" t="s">
        <v>1719</v>
      </c>
      <c r="C1227" s="22" t="s">
        <v>489</v>
      </c>
      <c r="D1227" s="22" t="s">
        <v>468</v>
      </c>
      <c r="E1227" s="22" t="s">
        <v>490</v>
      </c>
    </row>
    <row r="1228" spans="1:5" x14ac:dyDescent="0.25">
      <c r="A1228" s="35">
        <v>46008.908248402775</v>
      </c>
      <c r="B1228" s="22" t="s">
        <v>1720</v>
      </c>
      <c r="C1228" s="22" t="s">
        <v>489</v>
      </c>
      <c r="D1228" s="22" t="s">
        <v>469</v>
      </c>
      <c r="E1228" s="22" t="s">
        <v>490</v>
      </c>
    </row>
    <row r="1229" spans="1:5" x14ac:dyDescent="0.25">
      <c r="A1229" s="35">
        <v>46008.908252349538</v>
      </c>
      <c r="B1229" s="22" t="s">
        <v>1721</v>
      </c>
      <c r="C1229" s="22" t="s">
        <v>482</v>
      </c>
      <c r="D1229" s="22" t="s">
        <v>449</v>
      </c>
      <c r="E1229" s="22" t="s">
        <v>490</v>
      </c>
    </row>
    <row r="1230" spans="1:5" x14ac:dyDescent="0.25">
      <c r="A1230" s="35">
        <v>46008.908255115741</v>
      </c>
      <c r="B1230" s="22" t="s">
        <v>1722</v>
      </c>
      <c r="C1230" s="22" t="s">
        <v>489</v>
      </c>
      <c r="D1230" s="22" t="s">
        <v>468</v>
      </c>
      <c r="E1230" s="22" t="s">
        <v>490</v>
      </c>
    </row>
    <row r="1231" spans="1:5" x14ac:dyDescent="0.25">
      <c r="A1231" s="35">
        <v>46008.908257916672</v>
      </c>
      <c r="B1231" s="22" t="s">
        <v>1723</v>
      </c>
      <c r="C1231" s="22" t="s">
        <v>489</v>
      </c>
      <c r="D1231" s="22" t="s">
        <v>492</v>
      </c>
      <c r="E1231" s="22" t="s">
        <v>490</v>
      </c>
    </row>
    <row r="1232" spans="1:5" x14ac:dyDescent="0.25">
      <c r="A1232" s="35">
        <v>46008.908260763885</v>
      </c>
      <c r="B1232" s="22" t="s">
        <v>1724</v>
      </c>
      <c r="C1232" s="22" t="s">
        <v>489</v>
      </c>
      <c r="D1232" s="22" t="s">
        <v>500</v>
      </c>
      <c r="E1232" s="22" t="s">
        <v>490</v>
      </c>
    </row>
    <row r="1233" spans="1:5" x14ac:dyDescent="0.25">
      <c r="A1233" s="35">
        <v>46008.908263634265</v>
      </c>
      <c r="B1233" s="22" t="s">
        <v>1725</v>
      </c>
      <c r="C1233" s="22" t="s">
        <v>489</v>
      </c>
      <c r="D1233" s="22" t="s">
        <v>500</v>
      </c>
      <c r="E1233" s="22" t="s">
        <v>490</v>
      </c>
    </row>
    <row r="1234" spans="1:5" x14ac:dyDescent="0.25">
      <c r="A1234" s="35">
        <v>46008.908266562503</v>
      </c>
      <c r="B1234" s="22" t="s">
        <v>1726</v>
      </c>
      <c r="C1234" s="22" t="s">
        <v>489</v>
      </c>
      <c r="D1234" s="22" t="s">
        <v>500</v>
      </c>
      <c r="E1234" s="22" t="s">
        <v>490</v>
      </c>
    </row>
    <row r="1235" spans="1:5" x14ac:dyDescent="0.25">
      <c r="A1235" s="35">
        <v>46008.908275937501</v>
      </c>
      <c r="B1235" s="22" t="s">
        <v>1727</v>
      </c>
      <c r="C1235" s="22" t="s">
        <v>489</v>
      </c>
      <c r="D1235" s="22" t="s">
        <v>468</v>
      </c>
      <c r="E1235" s="22" t="s">
        <v>490</v>
      </c>
    </row>
    <row r="1236" spans="1:5" x14ac:dyDescent="0.25">
      <c r="A1236" s="35">
        <v>46008.908278831019</v>
      </c>
      <c r="B1236" s="22" t="s">
        <v>1728</v>
      </c>
      <c r="C1236" s="22" t="s">
        <v>489</v>
      </c>
      <c r="D1236" s="22" t="s">
        <v>468</v>
      </c>
      <c r="E1236" s="22" t="s">
        <v>490</v>
      </c>
    </row>
    <row r="1237" spans="1:5" x14ac:dyDescent="0.25">
      <c r="A1237" s="35">
        <v>46008.908281585653</v>
      </c>
      <c r="B1237" s="22" t="s">
        <v>1729</v>
      </c>
      <c r="C1237" s="22" t="s">
        <v>489</v>
      </c>
      <c r="D1237" s="22" t="s">
        <v>468</v>
      </c>
      <c r="E1237" s="22" t="s">
        <v>490</v>
      </c>
    </row>
    <row r="1238" spans="1:5" x14ac:dyDescent="0.25">
      <c r="A1238" s="35">
        <v>46008.908284432866</v>
      </c>
      <c r="B1238" s="22" t="s">
        <v>1730</v>
      </c>
      <c r="C1238" s="22" t="s">
        <v>489</v>
      </c>
      <c r="D1238" s="22" t="s">
        <v>468</v>
      </c>
      <c r="E1238" s="22" t="s">
        <v>490</v>
      </c>
    </row>
    <row r="1239" spans="1:5" x14ac:dyDescent="0.25">
      <c r="A1239" s="35">
        <v>46008.908300219904</v>
      </c>
      <c r="B1239" s="22" t="s">
        <v>1731</v>
      </c>
      <c r="C1239" s="22" t="s">
        <v>489</v>
      </c>
      <c r="D1239" s="22" t="s">
        <v>468</v>
      </c>
      <c r="E1239" s="22" t="s">
        <v>490</v>
      </c>
    </row>
    <row r="1240" spans="1:5" x14ac:dyDescent="0.25">
      <c r="A1240" s="35">
        <v>46008.908303090277</v>
      </c>
      <c r="B1240" s="22" t="s">
        <v>1732</v>
      </c>
      <c r="C1240" s="22" t="s">
        <v>489</v>
      </c>
      <c r="D1240" s="22" t="s">
        <v>468</v>
      </c>
      <c r="E1240" s="22" t="s">
        <v>490</v>
      </c>
    </row>
    <row r="1241" spans="1:5" x14ac:dyDescent="0.25">
      <c r="A1241" s="35">
        <v>46008.908305983801</v>
      </c>
      <c r="B1241" s="22" t="s">
        <v>1733</v>
      </c>
      <c r="C1241" s="22" t="s">
        <v>489</v>
      </c>
      <c r="D1241" s="22" t="s">
        <v>468</v>
      </c>
      <c r="E1241" s="22" t="s">
        <v>490</v>
      </c>
    </row>
    <row r="1242" spans="1:5" x14ac:dyDescent="0.25">
      <c r="A1242" s="35">
        <v>46008.908308738421</v>
      </c>
      <c r="B1242" s="22" t="s">
        <v>1734</v>
      </c>
      <c r="C1242" s="22" t="s">
        <v>482</v>
      </c>
      <c r="D1242" s="22" t="s">
        <v>449</v>
      </c>
      <c r="E1242" s="22" t="s">
        <v>490</v>
      </c>
    </row>
    <row r="1243" spans="1:5" x14ac:dyDescent="0.25">
      <c r="A1243" s="35">
        <v>46008.908311562496</v>
      </c>
      <c r="B1243" s="22" t="s">
        <v>1735</v>
      </c>
      <c r="C1243" s="22" t="s">
        <v>482</v>
      </c>
      <c r="D1243" s="22" t="s">
        <v>449</v>
      </c>
      <c r="E1243" s="22" t="s">
        <v>490</v>
      </c>
    </row>
    <row r="1244" spans="1:5" x14ac:dyDescent="0.25">
      <c r="A1244" s="35">
        <v>46008.908315277775</v>
      </c>
      <c r="B1244" s="22" t="s">
        <v>1736</v>
      </c>
      <c r="C1244" s="22" t="s">
        <v>489</v>
      </c>
      <c r="D1244" s="22" t="s">
        <v>500</v>
      </c>
      <c r="E1244" s="22" t="s">
        <v>490</v>
      </c>
    </row>
    <row r="1245" spans="1:5" x14ac:dyDescent="0.25">
      <c r="A1245" s="35">
        <v>46008.908318518515</v>
      </c>
      <c r="B1245" s="22" t="s">
        <v>1737</v>
      </c>
      <c r="C1245" s="22" t="s">
        <v>489</v>
      </c>
      <c r="D1245" s="22" t="s">
        <v>468</v>
      </c>
      <c r="E1245" s="22" t="s">
        <v>490</v>
      </c>
    </row>
    <row r="1246" spans="1:5" x14ac:dyDescent="0.25">
      <c r="A1246" s="35">
        <v>46008.908321331022</v>
      </c>
      <c r="B1246" s="22" t="s">
        <v>1738</v>
      </c>
      <c r="C1246" s="22" t="s">
        <v>482</v>
      </c>
      <c r="D1246" s="22" t="s">
        <v>449</v>
      </c>
      <c r="E1246" s="22" t="s">
        <v>490</v>
      </c>
    </row>
    <row r="1247" spans="1:5" x14ac:dyDescent="0.25">
      <c r="A1247" s="35">
        <v>46008.908324155098</v>
      </c>
      <c r="B1247" s="22" t="s">
        <v>1739</v>
      </c>
      <c r="C1247" s="22" t="s">
        <v>489</v>
      </c>
      <c r="D1247" s="22" t="s">
        <v>500</v>
      </c>
      <c r="E1247" s="22" t="s">
        <v>490</v>
      </c>
    </row>
    <row r="1248" spans="1:5" x14ac:dyDescent="0.25">
      <c r="A1248" s="35">
        <v>46008.908328020829</v>
      </c>
      <c r="B1248" s="22" t="s">
        <v>1740</v>
      </c>
      <c r="C1248" s="22" t="s">
        <v>489</v>
      </c>
      <c r="D1248" s="22" t="s">
        <v>500</v>
      </c>
      <c r="E1248" s="22" t="s">
        <v>490</v>
      </c>
    </row>
    <row r="1249" spans="1:5" x14ac:dyDescent="0.25">
      <c r="A1249" s="35">
        <v>46008.908331689818</v>
      </c>
      <c r="B1249" s="22" t="s">
        <v>1741</v>
      </c>
      <c r="C1249" s="22" t="s">
        <v>489</v>
      </c>
      <c r="D1249" s="22" t="s">
        <v>468</v>
      </c>
      <c r="E1249" s="22" t="s">
        <v>490</v>
      </c>
    </row>
    <row r="1250" spans="1:5" x14ac:dyDescent="0.25">
      <c r="A1250" s="35">
        <v>46008.908334548614</v>
      </c>
      <c r="B1250" s="22" t="s">
        <v>1742</v>
      </c>
      <c r="C1250" s="22" t="s">
        <v>489</v>
      </c>
      <c r="D1250" s="22" t="s">
        <v>468</v>
      </c>
      <c r="E1250" s="22" t="s">
        <v>490</v>
      </c>
    </row>
    <row r="1251" spans="1:5" x14ac:dyDescent="0.25">
      <c r="A1251" s="35">
        <v>46008.90833737269</v>
      </c>
      <c r="B1251" s="22" t="s">
        <v>1743</v>
      </c>
      <c r="C1251" s="22" t="s">
        <v>489</v>
      </c>
      <c r="D1251" s="22" t="s">
        <v>468</v>
      </c>
      <c r="E1251" s="22" t="s">
        <v>490</v>
      </c>
    </row>
    <row r="1252" spans="1:5" x14ac:dyDescent="0.25">
      <c r="A1252" s="35">
        <v>46008.908340046299</v>
      </c>
      <c r="B1252" s="22" t="s">
        <v>1744</v>
      </c>
      <c r="C1252" s="22" t="s">
        <v>489</v>
      </c>
      <c r="D1252" s="22" t="s">
        <v>492</v>
      </c>
      <c r="E1252" s="22" t="s">
        <v>490</v>
      </c>
    </row>
    <row r="1253" spans="1:5" x14ac:dyDescent="0.25">
      <c r="A1253" s="35">
        <v>46008.908342858791</v>
      </c>
      <c r="B1253" s="22" t="s">
        <v>1745</v>
      </c>
      <c r="C1253" s="22" t="s">
        <v>489</v>
      </c>
      <c r="D1253" s="22" t="s">
        <v>469</v>
      </c>
      <c r="E1253" s="22" t="s">
        <v>490</v>
      </c>
    </row>
    <row r="1254" spans="1:5" x14ac:dyDescent="0.25">
      <c r="A1254" s="35">
        <v>46008.908345844902</v>
      </c>
      <c r="B1254" s="22" t="s">
        <v>1746</v>
      </c>
      <c r="C1254" s="22" t="s">
        <v>489</v>
      </c>
      <c r="D1254" s="22" t="s">
        <v>469</v>
      </c>
      <c r="E1254" s="22" t="s">
        <v>490</v>
      </c>
    </row>
    <row r="1255" spans="1:5" x14ac:dyDescent="0.25">
      <c r="A1255" s="35">
        <v>46008.908348715282</v>
      </c>
      <c r="B1255" s="22" t="s">
        <v>1747</v>
      </c>
      <c r="C1255" s="22" t="s">
        <v>489</v>
      </c>
      <c r="D1255" s="22" t="s">
        <v>500</v>
      </c>
      <c r="E1255" s="22" t="s">
        <v>490</v>
      </c>
    </row>
    <row r="1256" spans="1:5" x14ac:dyDescent="0.25">
      <c r="A1256" s="35">
        <v>46008.90835258102</v>
      </c>
      <c r="B1256" s="22" t="s">
        <v>1748</v>
      </c>
      <c r="C1256" s="22" t="s">
        <v>489</v>
      </c>
      <c r="D1256" s="22" t="s">
        <v>500</v>
      </c>
      <c r="E1256" s="22" t="s">
        <v>490</v>
      </c>
    </row>
    <row r="1257" spans="1:5" x14ac:dyDescent="0.25">
      <c r="A1257" s="35">
        <v>46008.908355405089</v>
      </c>
      <c r="B1257" s="22" t="s">
        <v>1749</v>
      </c>
      <c r="C1257" s="22" t="s">
        <v>489</v>
      </c>
      <c r="D1257" s="22" t="s">
        <v>468</v>
      </c>
      <c r="E1257" s="22" t="s">
        <v>490</v>
      </c>
    </row>
    <row r="1258" spans="1:5" x14ac:dyDescent="0.25">
      <c r="A1258" s="35">
        <v>46008.90835834491</v>
      </c>
      <c r="B1258" s="22" t="s">
        <v>1750</v>
      </c>
      <c r="C1258" s="22" t="s">
        <v>489</v>
      </c>
      <c r="D1258" s="22" t="s">
        <v>468</v>
      </c>
      <c r="E1258" s="22" t="s">
        <v>490</v>
      </c>
    </row>
    <row r="1259" spans="1:5" x14ac:dyDescent="0.25">
      <c r="A1259" s="35">
        <v>46008.908362071757</v>
      </c>
      <c r="B1259" s="22" t="s">
        <v>1751</v>
      </c>
      <c r="C1259" s="22" t="s">
        <v>489</v>
      </c>
      <c r="D1259" s="22" t="s">
        <v>468</v>
      </c>
      <c r="E1259" s="22" t="s">
        <v>490</v>
      </c>
    </row>
    <row r="1260" spans="1:5" x14ac:dyDescent="0.25">
      <c r="A1260" s="35">
        <v>46008.908364745366</v>
      </c>
      <c r="B1260" s="22" t="s">
        <v>1752</v>
      </c>
      <c r="C1260" s="22" t="s">
        <v>482</v>
      </c>
      <c r="D1260" s="22" t="s">
        <v>449</v>
      </c>
      <c r="E1260" s="22" t="s">
        <v>490</v>
      </c>
    </row>
    <row r="1261" spans="1:5" x14ac:dyDescent="0.25">
      <c r="A1261" s="35">
        <v>46008.908367430558</v>
      </c>
      <c r="B1261" s="22" t="s">
        <v>1753</v>
      </c>
      <c r="C1261" s="22" t="s">
        <v>489</v>
      </c>
      <c r="D1261" s="22" t="s">
        <v>468</v>
      </c>
      <c r="E1261" s="22" t="s">
        <v>490</v>
      </c>
    </row>
    <row r="1262" spans="1:5" x14ac:dyDescent="0.25">
      <c r="A1262" s="35">
        <v>46008.908370370365</v>
      </c>
      <c r="B1262" s="22" t="s">
        <v>1754</v>
      </c>
      <c r="C1262" s="22" t="s">
        <v>489</v>
      </c>
      <c r="D1262" s="22" t="s">
        <v>492</v>
      </c>
      <c r="E1262" s="22" t="s">
        <v>490</v>
      </c>
    </row>
    <row r="1263" spans="1:5" x14ac:dyDescent="0.25">
      <c r="A1263" s="35">
        <v>46008.90837315972</v>
      </c>
      <c r="B1263" s="22" t="s">
        <v>1755</v>
      </c>
      <c r="C1263" s="22" t="s">
        <v>482</v>
      </c>
      <c r="D1263" s="22" t="s">
        <v>449</v>
      </c>
      <c r="E1263" s="22" t="s">
        <v>490</v>
      </c>
    </row>
    <row r="1264" spans="1:5" x14ac:dyDescent="0.25">
      <c r="A1264" s="35">
        <v>46008.908375752319</v>
      </c>
      <c r="B1264" s="22" t="s">
        <v>1756</v>
      </c>
      <c r="C1264" s="22" t="s">
        <v>489</v>
      </c>
      <c r="D1264" s="22" t="s">
        <v>468</v>
      </c>
      <c r="E1264" s="22" t="s">
        <v>490</v>
      </c>
    </row>
    <row r="1265" spans="1:5" x14ac:dyDescent="0.25">
      <c r="A1265" s="35">
        <v>46008.908378726846</v>
      </c>
      <c r="B1265" s="22" t="s">
        <v>1757</v>
      </c>
      <c r="C1265" s="22" t="s">
        <v>489</v>
      </c>
      <c r="D1265" s="22" t="s">
        <v>468</v>
      </c>
      <c r="E1265" s="22" t="s">
        <v>490</v>
      </c>
    </row>
    <row r="1266" spans="1:5" x14ac:dyDescent="0.25">
      <c r="A1266" s="35">
        <v>46008.908381631947</v>
      </c>
      <c r="B1266" s="22" t="s">
        <v>1758</v>
      </c>
      <c r="C1266" s="22" t="s">
        <v>482</v>
      </c>
      <c r="D1266" s="22" t="s">
        <v>449</v>
      </c>
      <c r="E1266" s="22" t="s">
        <v>490</v>
      </c>
    </row>
    <row r="1267" spans="1:5" x14ac:dyDescent="0.25">
      <c r="A1267" s="35">
        <v>46008.908384513888</v>
      </c>
      <c r="B1267" s="22" t="s">
        <v>1759</v>
      </c>
      <c r="C1267" s="22" t="s">
        <v>489</v>
      </c>
      <c r="D1267" s="22" t="s">
        <v>500</v>
      </c>
      <c r="E1267" s="22" t="s">
        <v>490</v>
      </c>
    </row>
    <row r="1268" spans="1:5" x14ac:dyDescent="0.25">
      <c r="A1268" s="35">
        <v>46008.908387175921</v>
      </c>
      <c r="B1268" s="22" t="s">
        <v>1760</v>
      </c>
      <c r="C1268" s="22" t="s">
        <v>489</v>
      </c>
      <c r="D1268" s="22" t="s">
        <v>500</v>
      </c>
      <c r="E1268" s="22" t="s">
        <v>490</v>
      </c>
    </row>
    <row r="1269" spans="1:5" x14ac:dyDescent="0.25">
      <c r="A1269" s="35">
        <v>46008.908402847221</v>
      </c>
      <c r="B1269" s="22" t="s">
        <v>1761</v>
      </c>
      <c r="C1269" s="22" t="s">
        <v>489</v>
      </c>
      <c r="D1269" s="22" t="s">
        <v>468</v>
      </c>
      <c r="E1269" s="22" t="s">
        <v>490</v>
      </c>
    </row>
    <row r="1270" spans="1:5" x14ac:dyDescent="0.25">
      <c r="A1270" s="35">
        <v>46008.908405694441</v>
      </c>
      <c r="B1270" s="22" t="s">
        <v>1762</v>
      </c>
      <c r="C1270" s="22" t="s">
        <v>482</v>
      </c>
      <c r="D1270" s="22" t="s">
        <v>449</v>
      </c>
      <c r="E1270" s="22" t="s">
        <v>490</v>
      </c>
    </row>
    <row r="1271" spans="1:5" x14ac:dyDescent="0.25">
      <c r="A1271" s="35">
        <v>46008.908414432866</v>
      </c>
      <c r="B1271" s="22" t="s">
        <v>1763</v>
      </c>
      <c r="C1271" s="22" t="s">
        <v>482</v>
      </c>
      <c r="D1271" s="22" t="s">
        <v>449</v>
      </c>
      <c r="E1271" s="22" t="s">
        <v>490</v>
      </c>
    </row>
    <row r="1272" spans="1:5" x14ac:dyDescent="0.25">
      <c r="A1272" s="35">
        <v>46008.908417453698</v>
      </c>
      <c r="B1272" s="22" t="s">
        <v>1764</v>
      </c>
      <c r="C1272" s="22" t="s">
        <v>489</v>
      </c>
      <c r="D1272" s="22" t="s">
        <v>468</v>
      </c>
      <c r="E1272" s="22" t="s">
        <v>490</v>
      </c>
    </row>
    <row r="1273" spans="1:5" x14ac:dyDescent="0.25">
      <c r="A1273" s="35">
        <v>46008.908420312495</v>
      </c>
      <c r="B1273" s="22" t="s">
        <v>1765</v>
      </c>
      <c r="C1273" s="22" t="s">
        <v>489</v>
      </c>
      <c r="D1273" s="22" t="s">
        <v>500</v>
      </c>
      <c r="E1273" s="22" t="s">
        <v>490</v>
      </c>
    </row>
    <row r="1274" spans="1:5" x14ac:dyDescent="0.25">
      <c r="A1274" s="35">
        <v>46008.908423148147</v>
      </c>
      <c r="B1274" s="22" t="s">
        <v>1766</v>
      </c>
      <c r="C1274" s="22" t="s">
        <v>482</v>
      </c>
      <c r="D1274" s="22" t="s">
        <v>449</v>
      </c>
      <c r="E1274" s="22" t="s">
        <v>490</v>
      </c>
    </row>
    <row r="1275" spans="1:5" x14ac:dyDescent="0.25">
      <c r="A1275" s="35">
        <v>46008.908426122682</v>
      </c>
      <c r="B1275" s="22" t="s">
        <v>1767</v>
      </c>
      <c r="C1275" s="22" t="s">
        <v>489</v>
      </c>
      <c r="D1275" s="22" t="s">
        <v>492</v>
      </c>
      <c r="E1275" s="22" t="s">
        <v>490</v>
      </c>
    </row>
    <row r="1276" spans="1:5" x14ac:dyDescent="0.25">
      <c r="A1276" s="35">
        <v>46008.90842925926</v>
      </c>
      <c r="B1276" s="22" t="s">
        <v>1768</v>
      </c>
      <c r="C1276" s="22" t="s">
        <v>489</v>
      </c>
      <c r="D1276" s="22" t="s">
        <v>468</v>
      </c>
      <c r="E1276" s="22" t="s">
        <v>490</v>
      </c>
    </row>
    <row r="1277" spans="1:5" x14ac:dyDescent="0.25">
      <c r="A1277" s="35">
        <v>46008.908432476848</v>
      </c>
      <c r="B1277" s="22" t="s">
        <v>1769</v>
      </c>
      <c r="C1277" s="22" t="s">
        <v>482</v>
      </c>
      <c r="D1277" s="22" t="s">
        <v>516</v>
      </c>
      <c r="E1277" s="22" t="s">
        <v>490</v>
      </c>
    </row>
    <row r="1278" spans="1:5" x14ac:dyDescent="0.25">
      <c r="A1278" s="35">
        <v>46008.908435300924</v>
      </c>
      <c r="B1278" s="22" t="s">
        <v>1770</v>
      </c>
      <c r="C1278" s="22" t="s">
        <v>489</v>
      </c>
      <c r="D1278" s="22" t="s">
        <v>500</v>
      </c>
      <c r="E1278" s="22" t="s">
        <v>490</v>
      </c>
    </row>
    <row r="1279" spans="1:5" x14ac:dyDescent="0.25">
      <c r="A1279" s="35">
        <v>46008.908438506944</v>
      </c>
      <c r="B1279" s="22" t="s">
        <v>1771</v>
      </c>
      <c r="C1279" s="22" t="s">
        <v>489</v>
      </c>
      <c r="D1279" s="22" t="s">
        <v>500</v>
      </c>
      <c r="E1279" s="22" t="s">
        <v>490</v>
      </c>
    </row>
    <row r="1280" spans="1:5" x14ac:dyDescent="0.25">
      <c r="A1280" s="35">
        <v>46008.908441469903</v>
      </c>
      <c r="B1280" s="22" t="s">
        <v>1772</v>
      </c>
      <c r="C1280" s="22" t="s">
        <v>489</v>
      </c>
      <c r="D1280" s="22" t="s">
        <v>500</v>
      </c>
      <c r="E1280" s="22" t="s">
        <v>490</v>
      </c>
    </row>
    <row r="1281" spans="1:5" x14ac:dyDescent="0.25">
      <c r="A1281" s="35">
        <v>46008.90844431713</v>
      </c>
      <c r="B1281" s="22" t="s">
        <v>1773</v>
      </c>
      <c r="C1281" s="22" t="s">
        <v>489</v>
      </c>
      <c r="D1281" s="22" t="s">
        <v>500</v>
      </c>
      <c r="E1281" s="22" t="s">
        <v>490</v>
      </c>
    </row>
    <row r="1282" spans="1:5" x14ac:dyDescent="0.25">
      <c r="A1282" s="35">
        <v>46008.908447222224</v>
      </c>
      <c r="B1282" s="22" t="s">
        <v>1774</v>
      </c>
      <c r="C1282" s="22" t="s">
        <v>489</v>
      </c>
      <c r="D1282" s="22" t="s">
        <v>500</v>
      </c>
      <c r="E1282" s="22" t="s">
        <v>490</v>
      </c>
    </row>
    <row r="1283" spans="1:5" x14ac:dyDescent="0.25">
      <c r="A1283" s="35">
        <v>46008.908450162038</v>
      </c>
      <c r="B1283" s="22" t="s">
        <v>1775</v>
      </c>
      <c r="C1283" s="22" t="s">
        <v>489</v>
      </c>
      <c r="D1283" s="22" t="s">
        <v>468</v>
      </c>
      <c r="E1283" s="22" t="s">
        <v>490</v>
      </c>
    </row>
    <row r="1284" spans="1:5" x14ac:dyDescent="0.25">
      <c r="A1284" s="35">
        <v>46008.908453495373</v>
      </c>
      <c r="B1284" s="22" t="s">
        <v>1776</v>
      </c>
      <c r="C1284" s="22" t="s">
        <v>489</v>
      </c>
      <c r="D1284" s="22" t="s">
        <v>468</v>
      </c>
      <c r="E1284" s="22" t="s">
        <v>490</v>
      </c>
    </row>
    <row r="1285" spans="1:5" x14ac:dyDescent="0.25">
      <c r="A1285" s="35">
        <v>46008.908456493053</v>
      </c>
      <c r="B1285" s="22" t="s">
        <v>1777</v>
      </c>
      <c r="C1285" s="22" t="s">
        <v>489</v>
      </c>
      <c r="D1285" s="22" t="s">
        <v>492</v>
      </c>
      <c r="E1285" s="22" t="s">
        <v>490</v>
      </c>
    </row>
    <row r="1286" spans="1:5" x14ac:dyDescent="0.25">
      <c r="A1286" s="35">
        <v>46008.908465590277</v>
      </c>
      <c r="B1286" s="22" t="s">
        <v>1778</v>
      </c>
      <c r="C1286" s="22" t="s">
        <v>489</v>
      </c>
      <c r="D1286" s="22" t="s">
        <v>468</v>
      </c>
      <c r="E1286" s="22" t="s">
        <v>490</v>
      </c>
    </row>
    <row r="1287" spans="1:5" x14ac:dyDescent="0.25">
      <c r="A1287" s="35">
        <v>46008.908468668982</v>
      </c>
      <c r="B1287" s="22" t="s">
        <v>1779</v>
      </c>
      <c r="C1287" s="22" t="s">
        <v>489</v>
      </c>
      <c r="D1287" s="22" t="s">
        <v>500</v>
      </c>
      <c r="E1287" s="22" t="s">
        <v>490</v>
      </c>
    </row>
    <row r="1288" spans="1:5" x14ac:dyDescent="0.25">
      <c r="A1288" s="35">
        <v>46008.908471770832</v>
      </c>
      <c r="B1288" s="22" t="s">
        <v>1780</v>
      </c>
      <c r="C1288" s="22" t="s">
        <v>489</v>
      </c>
      <c r="D1288" s="22" t="s">
        <v>469</v>
      </c>
      <c r="E1288" s="22" t="s">
        <v>490</v>
      </c>
    </row>
    <row r="1289" spans="1:5" x14ac:dyDescent="0.25">
      <c r="A1289" s="35">
        <v>46008.908474918979</v>
      </c>
      <c r="B1289" s="22" t="s">
        <v>1781</v>
      </c>
      <c r="C1289" s="22" t="s">
        <v>489</v>
      </c>
      <c r="D1289" s="22" t="s">
        <v>468</v>
      </c>
      <c r="E1289" s="22" t="s">
        <v>490</v>
      </c>
    </row>
    <row r="1290" spans="1:5" x14ac:dyDescent="0.25">
      <c r="A1290" s="35">
        <v>46008.908477719902</v>
      </c>
      <c r="B1290" s="22" t="s">
        <v>1782</v>
      </c>
      <c r="C1290" s="22" t="s">
        <v>489</v>
      </c>
      <c r="D1290" s="22" t="s">
        <v>468</v>
      </c>
      <c r="E1290" s="22" t="s">
        <v>490</v>
      </c>
    </row>
    <row r="1291" spans="1:5" x14ac:dyDescent="0.25">
      <c r="A1291" s="35">
        <v>46008.908480844912</v>
      </c>
      <c r="B1291" s="22" t="s">
        <v>1783</v>
      </c>
      <c r="C1291" s="22" t="s">
        <v>489</v>
      </c>
      <c r="D1291" s="22" t="s">
        <v>468</v>
      </c>
      <c r="E1291" s="22" t="s">
        <v>490</v>
      </c>
    </row>
    <row r="1292" spans="1:5" x14ac:dyDescent="0.25">
      <c r="A1292" s="35">
        <v>46008.908483819439</v>
      </c>
      <c r="B1292" s="22" t="s">
        <v>1784</v>
      </c>
      <c r="C1292" s="22" t="s">
        <v>489</v>
      </c>
      <c r="D1292" s="22" t="s">
        <v>468</v>
      </c>
      <c r="E1292" s="22" t="s">
        <v>490</v>
      </c>
    </row>
    <row r="1293" spans="1:5" x14ac:dyDescent="0.25">
      <c r="A1293" s="35">
        <v>46008.90848967593</v>
      </c>
      <c r="B1293" s="22" t="s">
        <v>1785</v>
      </c>
      <c r="C1293" s="22" t="s">
        <v>489</v>
      </c>
      <c r="D1293" s="22" t="s">
        <v>492</v>
      </c>
      <c r="E1293" s="22" t="s">
        <v>490</v>
      </c>
    </row>
    <row r="1294" spans="1:5" x14ac:dyDescent="0.25">
      <c r="A1294" s="35">
        <v>46008.90849263889</v>
      </c>
      <c r="B1294" s="22" t="s">
        <v>1786</v>
      </c>
      <c r="C1294" s="22" t="s">
        <v>489</v>
      </c>
      <c r="D1294" s="22" t="s">
        <v>468</v>
      </c>
      <c r="E1294" s="22" t="s">
        <v>490</v>
      </c>
    </row>
    <row r="1295" spans="1:5" x14ac:dyDescent="0.25">
      <c r="A1295" s="35">
        <v>46008.908502256949</v>
      </c>
      <c r="B1295" s="22" t="s">
        <v>1787</v>
      </c>
      <c r="C1295" s="22" t="s">
        <v>489</v>
      </c>
      <c r="D1295" s="22" t="s">
        <v>468</v>
      </c>
      <c r="E1295" s="22" t="s">
        <v>490</v>
      </c>
    </row>
    <row r="1296" spans="1:5" x14ac:dyDescent="0.25">
      <c r="A1296" s="35">
        <v>46008.908508402776</v>
      </c>
      <c r="B1296" s="22" t="s">
        <v>1788</v>
      </c>
      <c r="C1296" s="22" t="s">
        <v>489</v>
      </c>
      <c r="D1296" s="22" t="s">
        <v>468</v>
      </c>
      <c r="E1296" s="22" t="s">
        <v>490</v>
      </c>
    </row>
    <row r="1297" spans="1:5" x14ac:dyDescent="0.25">
      <c r="A1297" s="35">
        <v>46008.908511377318</v>
      </c>
      <c r="B1297" s="22" t="s">
        <v>1789</v>
      </c>
      <c r="C1297" s="22" t="s">
        <v>489</v>
      </c>
      <c r="D1297" s="22" t="s">
        <v>469</v>
      </c>
      <c r="E1297" s="22" t="s">
        <v>490</v>
      </c>
    </row>
    <row r="1298" spans="1:5" x14ac:dyDescent="0.25">
      <c r="A1298" s="35">
        <v>46008.908514317125</v>
      </c>
      <c r="B1298" s="22" t="s">
        <v>1790</v>
      </c>
      <c r="C1298" s="22" t="s">
        <v>489</v>
      </c>
      <c r="D1298" s="22" t="s">
        <v>468</v>
      </c>
      <c r="E1298" s="22" t="s">
        <v>490</v>
      </c>
    </row>
    <row r="1299" spans="1:5" x14ac:dyDescent="0.25">
      <c r="A1299" s="35">
        <v>46008.908517164353</v>
      </c>
      <c r="B1299" s="22" t="s">
        <v>1791</v>
      </c>
      <c r="C1299" s="22" t="s">
        <v>489</v>
      </c>
      <c r="D1299" s="22" t="s">
        <v>468</v>
      </c>
      <c r="E1299" s="22" t="s">
        <v>490</v>
      </c>
    </row>
    <row r="1300" spans="1:5" x14ac:dyDescent="0.25">
      <c r="A1300" s="35">
        <v>46008.908520277779</v>
      </c>
      <c r="B1300" s="22" t="s">
        <v>1792</v>
      </c>
      <c r="C1300" s="22" t="s">
        <v>489</v>
      </c>
      <c r="D1300" s="22" t="s">
        <v>468</v>
      </c>
      <c r="E1300" s="22" t="s">
        <v>490</v>
      </c>
    </row>
    <row r="1301" spans="1:5" x14ac:dyDescent="0.25">
      <c r="A1301" s="35">
        <v>46008.908523379629</v>
      </c>
      <c r="B1301" s="22" t="s">
        <v>1793</v>
      </c>
      <c r="C1301" s="22" t="s">
        <v>482</v>
      </c>
      <c r="D1301" s="22" t="s">
        <v>516</v>
      </c>
      <c r="E1301" s="22" t="s">
        <v>490</v>
      </c>
    </row>
    <row r="1302" spans="1:5" x14ac:dyDescent="0.25">
      <c r="A1302" s="35">
        <v>46008.908526550927</v>
      </c>
      <c r="B1302" s="22" t="s">
        <v>1794</v>
      </c>
      <c r="C1302" s="22" t="s">
        <v>489</v>
      </c>
      <c r="D1302" s="22" t="s">
        <v>492</v>
      </c>
      <c r="E1302" s="22" t="s">
        <v>490</v>
      </c>
    </row>
    <row r="1303" spans="1:5" x14ac:dyDescent="0.25">
      <c r="A1303" s="35">
        <v>46008.908529444445</v>
      </c>
      <c r="B1303" s="22" t="s">
        <v>1795</v>
      </c>
      <c r="C1303" s="22" t="s">
        <v>489</v>
      </c>
      <c r="D1303" s="22" t="s">
        <v>468</v>
      </c>
      <c r="E1303" s="22" t="s">
        <v>490</v>
      </c>
    </row>
    <row r="1304" spans="1:5" x14ac:dyDescent="0.25">
      <c r="A1304" s="35">
        <v>46008.908545682869</v>
      </c>
      <c r="B1304" s="22" t="s">
        <v>1796</v>
      </c>
      <c r="C1304" s="22" t="s">
        <v>489</v>
      </c>
      <c r="D1304" s="22" t="s">
        <v>468</v>
      </c>
      <c r="E1304" s="22" t="s">
        <v>490</v>
      </c>
    </row>
    <row r="1305" spans="1:5" x14ac:dyDescent="0.25">
      <c r="A1305" s="35">
        <v>46008.908548541665</v>
      </c>
      <c r="B1305" s="22" t="s">
        <v>1797</v>
      </c>
      <c r="C1305" s="22" t="s">
        <v>489</v>
      </c>
      <c r="D1305" s="22" t="s">
        <v>468</v>
      </c>
      <c r="E1305" s="22" t="s">
        <v>490</v>
      </c>
    </row>
    <row r="1306" spans="1:5" x14ac:dyDescent="0.25">
      <c r="A1306" s="35">
        <v>46008.90855133102</v>
      </c>
      <c r="B1306" s="22" t="s">
        <v>1798</v>
      </c>
      <c r="C1306" s="22" t="s">
        <v>489</v>
      </c>
      <c r="D1306" s="22" t="s">
        <v>468</v>
      </c>
      <c r="E1306" s="22" t="s">
        <v>490</v>
      </c>
    </row>
    <row r="1307" spans="1:5" x14ac:dyDescent="0.25">
      <c r="A1307" s="35">
        <v>46008.908554444446</v>
      </c>
      <c r="B1307" s="22" t="s">
        <v>1799</v>
      </c>
      <c r="C1307" s="22" t="s">
        <v>489</v>
      </c>
      <c r="D1307" s="22" t="s">
        <v>468</v>
      </c>
      <c r="E1307" s="22" t="s">
        <v>490</v>
      </c>
    </row>
    <row r="1308" spans="1:5" x14ac:dyDescent="0.25">
      <c r="A1308" s="35">
        <v>46008.908557453702</v>
      </c>
      <c r="B1308" s="22" t="s">
        <v>1800</v>
      </c>
      <c r="C1308" s="22" t="s">
        <v>489</v>
      </c>
      <c r="D1308" s="22" t="s">
        <v>469</v>
      </c>
      <c r="E1308" s="22" t="s">
        <v>490</v>
      </c>
    </row>
    <row r="1309" spans="1:5" x14ac:dyDescent="0.25">
      <c r="A1309" s="35">
        <v>46008.90856048611</v>
      </c>
      <c r="B1309" s="22" t="s">
        <v>1801</v>
      </c>
      <c r="C1309" s="22" t="s">
        <v>489</v>
      </c>
      <c r="D1309" s="22" t="s">
        <v>500</v>
      </c>
      <c r="E1309" s="22" t="s">
        <v>490</v>
      </c>
    </row>
    <row r="1310" spans="1:5" x14ac:dyDescent="0.25">
      <c r="A1310" s="35">
        <v>46008.908563483797</v>
      </c>
      <c r="B1310" s="22" t="s">
        <v>1802</v>
      </c>
      <c r="C1310" s="22" t="s">
        <v>489</v>
      </c>
      <c r="D1310" s="22" t="s">
        <v>500</v>
      </c>
      <c r="E1310" s="22" t="s">
        <v>490</v>
      </c>
    </row>
    <row r="1311" spans="1:5" x14ac:dyDescent="0.25">
      <c r="A1311" s="35">
        <v>46008.908568055558</v>
      </c>
      <c r="B1311" s="22" t="s">
        <v>1803</v>
      </c>
      <c r="C1311" s="22" t="s">
        <v>489</v>
      </c>
      <c r="D1311" s="22" t="s">
        <v>468</v>
      </c>
      <c r="E1311" s="22" t="s">
        <v>490</v>
      </c>
    </row>
    <row r="1312" spans="1:5" x14ac:dyDescent="0.25">
      <c r="A1312" s="35">
        <v>46008.908571099542</v>
      </c>
      <c r="B1312" s="22" t="s">
        <v>1804</v>
      </c>
      <c r="C1312" s="22" t="s">
        <v>489</v>
      </c>
      <c r="D1312" s="22" t="s">
        <v>492</v>
      </c>
      <c r="E1312" s="22" t="s">
        <v>490</v>
      </c>
    </row>
    <row r="1313" spans="1:5" x14ac:dyDescent="0.25">
      <c r="A1313" s="35">
        <v>46008.908574305555</v>
      </c>
      <c r="B1313" s="22" t="s">
        <v>1805</v>
      </c>
      <c r="C1313" s="22" t="s">
        <v>489</v>
      </c>
      <c r="D1313" s="22" t="s">
        <v>500</v>
      </c>
      <c r="E1313" s="22" t="s">
        <v>490</v>
      </c>
    </row>
    <row r="1314" spans="1:5" x14ac:dyDescent="0.25">
      <c r="A1314" s="35">
        <v>46008.908577511575</v>
      </c>
      <c r="B1314" s="22" t="s">
        <v>1806</v>
      </c>
      <c r="C1314" s="22" t="s">
        <v>489</v>
      </c>
      <c r="D1314" s="22" t="s">
        <v>468</v>
      </c>
      <c r="E1314" s="22" t="s">
        <v>490</v>
      </c>
    </row>
    <row r="1315" spans="1:5" x14ac:dyDescent="0.25">
      <c r="A1315" s="35">
        <v>46008.90858043982</v>
      </c>
      <c r="B1315" s="22" t="s">
        <v>1807</v>
      </c>
      <c r="C1315" s="22" t="s">
        <v>489</v>
      </c>
      <c r="D1315" s="22" t="s">
        <v>492</v>
      </c>
      <c r="E1315" s="22" t="s">
        <v>490</v>
      </c>
    </row>
    <row r="1316" spans="1:5" x14ac:dyDescent="0.25">
      <c r="A1316" s="35">
        <v>46008.908583368058</v>
      </c>
      <c r="B1316" s="22" t="s">
        <v>1808</v>
      </c>
      <c r="C1316" s="22" t="s">
        <v>489</v>
      </c>
      <c r="D1316" s="22" t="s">
        <v>468</v>
      </c>
      <c r="E1316" s="22" t="s">
        <v>490</v>
      </c>
    </row>
    <row r="1317" spans="1:5" x14ac:dyDescent="0.25">
      <c r="A1317" s="35">
        <v>46008.908586342593</v>
      </c>
      <c r="B1317" s="22" t="s">
        <v>1809</v>
      </c>
      <c r="C1317" s="22" t="s">
        <v>489</v>
      </c>
      <c r="D1317" s="22" t="s">
        <v>468</v>
      </c>
      <c r="E1317" s="22" t="s">
        <v>490</v>
      </c>
    </row>
    <row r="1318" spans="1:5" x14ac:dyDescent="0.25">
      <c r="A1318" s="35">
        <v>46008.90858909722</v>
      </c>
      <c r="B1318" s="22" t="s">
        <v>1810</v>
      </c>
      <c r="C1318" s="22" t="s">
        <v>489</v>
      </c>
      <c r="D1318" s="22" t="s">
        <v>468</v>
      </c>
      <c r="E1318" s="22" t="s">
        <v>490</v>
      </c>
    </row>
    <row r="1319" spans="1:5" x14ac:dyDescent="0.25">
      <c r="A1319" s="35">
        <v>46008.908592187501</v>
      </c>
      <c r="B1319" s="22" t="s">
        <v>1811</v>
      </c>
      <c r="C1319" s="22" t="s">
        <v>489</v>
      </c>
      <c r="D1319" s="22" t="s">
        <v>468</v>
      </c>
      <c r="E1319" s="22" t="s">
        <v>490</v>
      </c>
    </row>
    <row r="1320" spans="1:5" x14ac:dyDescent="0.25">
      <c r="A1320" s="35">
        <v>46008.908595057874</v>
      </c>
      <c r="B1320" s="22" t="s">
        <v>1812</v>
      </c>
      <c r="C1320" s="22" t="s">
        <v>489</v>
      </c>
      <c r="D1320" s="22" t="s">
        <v>492</v>
      </c>
      <c r="E1320" s="22" t="s">
        <v>490</v>
      </c>
    </row>
    <row r="1321" spans="1:5" x14ac:dyDescent="0.25">
      <c r="A1321" s="35">
        <v>46008.908598206021</v>
      </c>
      <c r="B1321" s="22" t="s">
        <v>1813</v>
      </c>
      <c r="C1321" s="22" t="s">
        <v>489</v>
      </c>
      <c r="D1321" s="22" t="s">
        <v>500</v>
      </c>
      <c r="E1321" s="22" t="s">
        <v>490</v>
      </c>
    </row>
    <row r="1322" spans="1:5" x14ac:dyDescent="0.25">
      <c r="A1322" s="35">
        <v>46008.908601284726</v>
      </c>
      <c r="B1322" s="22" t="s">
        <v>1814</v>
      </c>
      <c r="C1322" s="22" t="s">
        <v>489</v>
      </c>
      <c r="D1322" s="22" t="s">
        <v>500</v>
      </c>
      <c r="E1322" s="22" t="s">
        <v>490</v>
      </c>
    </row>
    <row r="1323" spans="1:5" x14ac:dyDescent="0.25">
      <c r="A1323" s="35">
        <v>46008.908604317126</v>
      </c>
      <c r="B1323" s="22" t="s">
        <v>1815</v>
      </c>
      <c r="C1323" s="22" t="s">
        <v>489</v>
      </c>
      <c r="D1323" s="22" t="s">
        <v>468</v>
      </c>
      <c r="E1323" s="22" t="s">
        <v>490</v>
      </c>
    </row>
    <row r="1324" spans="1:5" x14ac:dyDescent="0.25">
      <c r="A1324" s="35">
        <v>46008.908607395831</v>
      </c>
      <c r="B1324" s="22" t="s">
        <v>1816</v>
      </c>
      <c r="C1324" s="22" t="s">
        <v>482</v>
      </c>
      <c r="D1324" s="22" t="s">
        <v>449</v>
      </c>
      <c r="E1324" s="22" t="s">
        <v>490</v>
      </c>
    </row>
    <row r="1325" spans="1:5" x14ac:dyDescent="0.25">
      <c r="A1325" s="35">
        <v>46008.908610462968</v>
      </c>
      <c r="B1325" s="22" t="s">
        <v>1817</v>
      </c>
      <c r="C1325" s="22" t="s">
        <v>482</v>
      </c>
      <c r="D1325" s="22" t="s">
        <v>449</v>
      </c>
      <c r="E1325" s="22" t="s">
        <v>490</v>
      </c>
    </row>
    <row r="1326" spans="1:5" x14ac:dyDescent="0.25">
      <c r="A1326" s="35">
        <v>46008.908613680556</v>
      </c>
      <c r="B1326" s="22" t="s">
        <v>1818</v>
      </c>
      <c r="C1326" s="22" t="s">
        <v>489</v>
      </c>
      <c r="D1326" s="22" t="s">
        <v>500</v>
      </c>
      <c r="E1326" s="22" t="s">
        <v>490</v>
      </c>
    </row>
    <row r="1327" spans="1:5" x14ac:dyDescent="0.25">
      <c r="A1327" s="35">
        <v>46008.908616562505</v>
      </c>
      <c r="B1327" s="22" t="s">
        <v>1819</v>
      </c>
      <c r="C1327" s="22" t="s">
        <v>489</v>
      </c>
      <c r="D1327" s="22" t="s">
        <v>500</v>
      </c>
      <c r="E1327" s="22" t="s">
        <v>490</v>
      </c>
    </row>
    <row r="1328" spans="1:5" x14ac:dyDescent="0.25">
      <c r="A1328" s="35">
        <v>46008.908619583337</v>
      </c>
      <c r="B1328" s="22" t="s">
        <v>1820</v>
      </c>
      <c r="C1328" s="22" t="s">
        <v>489</v>
      </c>
      <c r="D1328" s="22" t="s">
        <v>492</v>
      </c>
      <c r="E1328" s="22" t="s">
        <v>490</v>
      </c>
    </row>
    <row r="1329" spans="1:5" x14ac:dyDescent="0.25">
      <c r="A1329" s="35">
        <v>46008.908622557872</v>
      </c>
      <c r="B1329" s="22" t="s">
        <v>1821</v>
      </c>
      <c r="C1329" s="22" t="s">
        <v>489</v>
      </c>
      <c r="D1329" s="22" t="s">
        <v>468</v>
      </c>
      <c r="E1329" s="22" t="s">
        <v>490</v>
      </c>
    </row>
    <row r="1330" spans="1:5" x14ac:dyDescent="0.25">
      <c r="A1330" s="35">
        <v>46008.908625474534</v>
      </c>
      <c r="B1330" s="22" t="s">
        <v>1822</v>
      </c>
      <c r="C1330" s="22" t="s">
        <v>489</v>
      </c>
      <c r="D1330" s="22" t="s">
        <v>468</v>
      </c>
      <c r="E1330" s="22" t="s">
        <v>490</v>
      </c>
    </row>
    <row r="1331" spans="1:5" x14ac:dyDescent="0.25">
      <c r="A1331" s="35">
        <v>46008.908628437501</v>
      </c>
      <c r="B1331" s="22" t="s">
        <v>1823</v>
      </c>
      <c r="C1331" s="22" t="s">
        <v>489</v>
      </c>
      <c r="D1331" s="22" t="s">
        <v>468</v>
      </c>
      <c r="E1331" s="22" t="s">
        <v>490</v>
      </c>
    </row>
    <row r="1332" spans="1:5" x14ac:dyDescent="0.25">
      <c r="A1332" s="35">
        <v>46008.908631493061</v>
      </c>
      <c r="B1332" s="22" t="s">
        <v>1824</v>
      </c>
      <c r="C1332" s="22" t="s">
        <v>489</v>
      </c>
      <c r="D1332" s="22" t="s">
        <v>500</v>
      </c>
      <c r="E1332" s="22" t="s">
        <v>490</v>
      </c>
    </row>
    <row r="1333" spans="1:5" x14ac:dyDescent="0.25">
      <c r="A1333" s="35">
        <v>46008.908634571759</v>
      </c>
      <c r="B1333" s="22" t="s">
        <v>1825</v>
      </c>
      <c r="C1333" s="22" t="s">
        <v>489</v>
      </c>
      <c r="D1333" s="22" t="s">
        <v>500</v>
      </c>
      <c r="E1333" s="22" t="s">
        <v>490</v>
      </c>
    </row>
    <row r="1334" spans="1:5" x14ac:dyDescent="0.25">
      <c r="A1334" s="35">
        <v>46008.908652523147</v>
      </c>
      <c r="B1334" s="22" t="s">
        <v>1826</v>
      </c>
      <c r="C1334" s="22" t="s">
        <v>489</v>
      </c>
      <c r="D1334" s="22" t="s">
        <v>500</v>
      </c>
      <c r="E1334" s="22" t="s">
        <v>490</v>
      </c>
    </row>
    <row r="1335" spans="1:5" x14ac:dyDescent="0.25">
      <c r="A1335" s="35">
        <v>46008.908655648149</v>
      </c>
      <c r="B1335" s="22" t="s">
        <v>1827</v>
      </c>
      <c r="C1335" s="22" t="s">
        <v>489</v>
      </c>
      <c r="D1335" s="22" t="s">
        <v>468</v>
      </c>
      <c r="E1335" s="22" t="s">
        <v>490</v>
      </c>
    </row>
    <row r="1336" spans="1:5" x14ac:dyDescent="0.25">
      <c r="A1336" s="35">
        <v>46008.908658819448</v>
      </c>
      <c r="B1336" s="22" t="s">
        <v>1828</v>
      </c>
      <c r="C1336" s="22" t="s">
        <v>489</v>
      </c>
      <c r="D1336" s="22" t="s">
        <v>469</v>
      </c>
      <c r="E1336" s="22" t="s">
        <v>490</v>
      </c>
    </row>
    <row r="1337" spans="1:5" x14ac:dyDescent="0.25">
      <c r="A1337" s="35">
        <v>46008.908662013884</v>
      </c>
      <c r="B1337" s="22" t="s">
        <v>1829</v>
      </c>
      <c r="C1337" s="22" t="s">
        <v>482</v>
      </c>
      <c r="D1337" s="22" t="s">
        <v>449</v>
      </c>
      <c r="E1337" s="22" t="s">
        <v>490</v>
      </c>
    </row>
    <row r="1338" spans="1:5" x14ac:dyDescent="0.25">
      <c r="A1338" s="35">
        <v>46008.908664884264</v>
      </c>
      <c r="B1338" s="22" t="s">
        <v>1830</v>
      </c>
      <c r="C1338" s="22" t="s">
        <v>489</v>
      </c>
      <c r="D1338" s="22" t="s">
        <v>468</v>
      </c>
      <c r="E1338" s="22" t="s">
        <v>490</v>
      </c>
    </row>
    <row r="1339" spans="1:5" x14ac:dyDescent="0.25">
      <c r="A1339" s="35">
        <v>46008.908667847223</v>
      </c>
      <c r="B1339" s="22" t="s">
        <v>1831</v>
      </c>
      <c r="C1339" s="22" t="s">
        <v>489</v>
      </c>
      <c r="D1339" s="22" t="s">
        <v>500</v>
      </c>
      <c r="E1339" s="22" t="s">
        <v>490</v>
      </c>
    </row>
    <row r="1340" spans="1:5" x14ac:dyDescent="0.25">
      <c r="A1340" s="35">
        <v>46008.908671064812</v>
      </c>
      <c r="B1340" s="22" t="s">
        <v>1832</v>
      </c>
      <c r="C1340" s="22" t="s">
        <v>489</v>
      </c>
      <c r="D1340" s="22" t="s">
        <v>500</v>
      </c>
      <c r="E1340" s="22" t="s">
        <v>490</v>
      </c>
    </row>
    <row r="1341" spans="1:5" x14ac:dyDescent="0.25">
      <c r="A1341" s="35">
        <v>46008.908674131948</v>
      </c>
      <c r="B1341" s="22" t="s">
        <v>1833</v>
      </c>
      <c r="C1341" s="22" t="s">
        <v>489</v>
      </c>
      <c r="D1341" s="22" t="s">
        <v>492</v>
      </c>
      <c r="E1341" s="22" t="s">
        <v>490</v>
      </c>
    </row>
    <row r="1342" spans="1:5" x14ac:dyDescent="0.25">
      <c r="A1342" s="35">
        <v>46008.90867719907</v>
      </c>
      <c r="B1342" s="22" t="s">
        <v>1834</v>
      </c>
      <c r="C1342" s="22" t="s">
        <v>489</v>
      </c>
      <c r="D1342" s="22" t="s">
        <v>468</v>
      </c>
      <c r="E1342" s="22" t="s">
        <v>490</v>
      </c>
    </row>
    <row r="1343" spans="1:5" x14ac:dyDescent="0.25">
      <c r="A1343" s="35">
        <v>46008.908680243054</v>
      </c>
      <c r="B1343" s="22" t="s">
        <v>1835</v>
      </c>
      <c r="C1343" s="22" t="s">
        <v>489</v>
      </c>
      <c r="D1343" s="22" t="s">
        <v>468</v>
      </c>
      <c r="E1343" s="22" t="s">
        <v>490</v>
      </c>
    </row>
    <row r="1344" spans="1:5" x14ac:dyDescent="0.25">
      <c r="A1344" s="35">
        <v>46008.908684120368</v>
      </c>
      <c r="B1344" s="22" t="s">
        <v>1836</v>
      </c>
      <c r="C1344" s="22" t="s">
        <v>489</v>
      </c>
      <c r="D1344" s="22" t="s">
        <v>500</v>
      </c>
      <c r="E1344" s="22" t="s">
        <v>490</v>
      </c>
    </row>
    <row r="1345" spans="1:5" x14ac:dyDescent="0.25">
      <c r="A1345" s="35">
        <v>46008.90868706019</v>
      </c>
      <c r="B1345" s="22" t="s">
        <v>1837</v>
      </c>
      <c r="C1345" s="22" t="s">
        <v>489</v>
      </c>
      <c r="D1345" s="22" t="s">
        <v>500</v>
      </c>
      <c r="E1345" s="22" t="s">
        <v>490</v>
      </c>
    </row>
    <row r="1346" spans="1:5" x14ac:dyDescent="0.25">
      <c r="A1346" s="35">
        <v>46008.908689965276</v>
      </c>
      <c r="B1346" s="22" t="s">
        <v>1838</v>
      </c>
      <c r="C1346" s="22" t="s">
        <v>489</v>
      </c>
      <c r="D1346" s="22" t="s">
        <v>500</v>
      </c>
      <c r="E1346" s="22" t="s">
        <v>490</v>
      </c>
    </row>
    <row r="1347" spans="1:5" x14ac:dyDescent="0.25">
      <c r="A1347" s="35">
        <v>46008.908692928242</v>
      </c>
      <c r="B1347" s="22" t="s">
        <v>1839</v>
      </c>
      <c r="C1347" s="22" t="s">
        <v>489</v>
      </c>
      <c r="D1347" s="22" t="s">
        <v>468</v>
      </c>
      <c r="E1347" s="22" t="s">
        <v>490</v>
      </c>
    </row>
    <row r="1348" spans="1:5" x14ac:dyDescent="0.25">
      <c r="A1348" s="35">
        <v>46008.908695775463</v>
      </c>
      <c r="B1348" s="22" t="s">
        <v>1840</v>
      </c>
      <c r="C1348" s="22" t="s">
        <v>482</v>
      </c>
      <c r="D1348" s="22" t="s">
        <v>449</v>
      </c>
      <c r="E1348" s="22" t="s">
        <v>490</v>
      </c>
    </row>
    <row r="1349" spans="1:5" x14ac:dyDescent="0.25">
      <c r="A1349" s="35">
        <v>46008.90869895833</v>
      </c>
      <c r="B1349" s="22" t="s">
        <v>1841</v>
      </c>
      <c r="C1349" s="22" t="s">
        <v>489</v>
      </c>
      <c r="D1349" s="22" t="s">
        <v>468</v>
      </c>
      <c r="E1349" s="22" t="s">
        <v>490</v>
      </c>
    </row>
    <row r="1350" spans="1:5" x14ac:dyDescent="0.25">
      <c r="A1350" s="35">
        <v>46008.908701712964</v>
      </c>
      <c r="B1350" s="22" t="s">
        <v>1842</v>
      </c>
      <c r="C1350" s="22" t="s">
        <v>489</v>
      </c>
      <c r="D1350" s="22" t="s">
        <v>468</v>
      </c>
      <c r="E1350" s="22" t="s">
        <v>490</v>
      </c>
    </row>
    <row r="1351" spans="1:5" x14ac:dyDescent="0.25">
      <c r="A1351" s="35">
        <v>46008.908704814814</v>
      </c>
      <c r="B1351" s="22" t="s">
        <v>1843</v>
      </c>
      <c r="C1351" s="22" t="s">
        <v>489</v>
      </c>
      <c r="D1351" s="22" t="s">
        <v>468</v>
      </c>
      <c r="E1351" s="22" t="s">
        <v>490</v>
      </c>
    </row>
    <row r="1352" spans="1:5" x14ac:dyDescent="0.25">
      <c r="A1352" s="35">
        <v>46008.908711435186</v>
      </c>
      <c r="B1352" s="22" t="s">
        <v>1844</v>
      </c>
      <c r="C1352" s="22" t="s">
        <v>489</v>
      </c>
      <c r="D1352" s="22" t="s">
        <v>468</v>
      </c>
      <c r="E1352" s="22" t="s">
        <v>490</v>
      </c>
    </row>
    <row r="1353" spans="1:5" x14ac:dyDescent="0.25">
      <c r="A1353" s="35">
        <v>46008.908721342596</v>
      </c>
      <c r="B1353" s="22" t="s">
        <v>1845</v>
      </c>
      <c r="C1353" s="22" t="s">
        <v>489</v>
      </c>
      <c r="D1353" s="22" t="s">
        <v>468</v>
      </c>
      <c r="E1353" s="22" t="s">
        <v>490</v>
      </c>
    </row>
    <row r="1354" spans="1:5" x14ac:dyDescent="0.25">
      <c r="A1354" s="35">
        <v>46008.908724317131</v>
      </c>
      <c r="B1354" s="22" t="s">
        <v>1846</v>
      </c>
      <c r="C1354" s="22" t="s">
        <v>489</v>
      </c>
      <c r="D1354" s="22" t="s">
        <v>468</v>
      </c>
      <c r="E1354" s="22" t="s">
        <v>490</v>
      </c>
    </row>
    <row r="1355" spans="1:5" x14ac:dyDescent="0.25">
      <c r="A1355" s="35">
        <v>46008.908727337963</v>
      </c>
      <c r="B1355" s="22" t="s">
        <v>1847</v>
      </c>
      <c r="C1355" s="22" t="s">
        <v>489</v>
      </c>
      <c r="D1355" s="22" t="s">
        <v>468</v>
      </c>
      <c r="E1355" s="22" t="s">
        <v>490</v>
      </c>
    </row>
    <row r="1356" spans="1:5" x14ac:dyDescent="0.25">
      <c r="A1356" s="35">
        <v>46008.908730057869</v>
      </c>
      <c r="B1356" s="22" t="s">
        <v>1848</v>
      </c>
      <c r="C1356" s="22" t="s">
        <v>489</v>
      </c>
      <c r="D1356" s="22" t="s">
        <v>468</v>
      </c>
      <c r="E1356" s="22" t="s">
        <v>490</v>
      </c>
    </row>
    <row r="1357" spans="1:5" x14ac:dyDescent="0.25">
      <c r="A1357" s="35">
        <v>46008.908732986107</v>
      </c>
      <c r="B1357" s="22" t="s">
        <v>1849</v>
      </c>
      <c r="C1357" s="22" t="s">
        <v>489</v>
      </c>
      <c r="D1357" s="22" t="s">
        <v>492</v>
      </c>
      <c r="E1357" s="22" t="s">
        <v>490</v>
      </c>
    </row>
    <row r="1358" spans="1:5" x14ac:dyDescent="0.25">
      <c r="A1358" s="35">
        <v>46008.908751087962</v>
      </c>
      <c r="B1358" s="22" t="s">
        <v>1850</v>
      </c>
      <c r="C1358" s="22" t="s">
        <v>489</v>
      </c>
      <c r="D1358" s="22" t="s">
        <v>468</v>
      </c>
      <c r="E1358" s="22" t="s">
        <v>490</v>
      </c>
    </row>
    <row r="1359" spans="1:5" x14ac:dyDescent="0.25">
      <c r="A1359" s="35">
        <v>46008.908753981479</v>
      </c>
      <c r="B1359" s="22" t="s">
        <v>1851</v>
      </c>
      <c r="C1359" s="22" t="s">
        <v>482</v>
      </c>
      <c r="D1359" s="22" t="s">
        <v>449</v>
      </c>
      <c r="E1359" s="22" t="s">
        <v>490</v>
      </c>
    </row>
    <row r="1360" spans="1:5" x14ac:dyDescent="0.25">
      <c r="A1360" s="35">
        <v>46008.90875707176</v>
      </c>
      <c r="B1360" s="22" t="s">
        <v>1852</v>
      </c>
      <c r="C1360" s="22" t="s">
        <v>489</v>
      </c>
      <c r="D1360" s="22" t="s">
        <v>468</v>
      </c>
      <c r="E1360" s="22" t="s">
        <v>490</v>
      </c>
    </row>
    <row r="1361" spans="1:5" x14ac:dyDescent="0.25">
      <c r="A1361" s="35">
        <v>46008.908760023143</v>
      </c>
      <c r="B1361" s="22" t="s">
        <v>1853</v>
      </c>
      <c r="C1361" s="22" t="s">
        <v>489</v>
      </c>
      <c r="D1361" s="22" t="s">
        <v>468</v>
      </c>
      <c r="E1361" s="22" t="s">
        <v>490</v>
      </c>
    </row>
    <row r="1362" spans="1:5" x14ac:dyDescent="0.25">
      <c r="A1362" s="35">
        <v>46008.90876726852</v>
      </c>
      <c r="B1362" s="22" t="s">
        <v>1854</v>
      </c>
      <c r="C1362" s="22" t="s">
        <v>489</v>
      </c>
      <c r="D1362" s="22" t="s">
        <v>468</v>
      </c>
      <c r="E1362" s="22" t="s">
        <v>490</v>
      </c>
    </row>
    <row r="1363" spans="1:5" x14ac:dyDescent="0.25">
      <c r="A1363" s="35">
        <v>46008.908770219903</v>
      </c>
      <c r="B1363" s="22" t="s">
        <v>1855</v>
      </c>
      <c r="C1363" s="22" t="s">
        <v>489</v>
      </c>
      <c r="D1363" s="22" t="s">
        <v>468</v>
      </c>
      <c r="E1363" s="22" t="s">
        <v>490</v>
      </c>
    </row>
    <row r="1364" spans="1:5" x14ac:dyDescent="0.25">
      <c r="A1364" s="35">
        <v>46008.908773113428</v>
      </c>
      <c r="B1364" s="22" t="s">
        <v>1856</v>
      </c>
      <c r="C1364" s="22" t="s">
        <v>482</v>
      </c>
      <c r="D1364" s="22" t="s">
        <v>449</v>
      </c>
      <c r="E1364" s="22" t="s">
        <v>490</v>
      </c>
    </row>
    <row r="1365" spans="1:5" x14ac:dyDescent="0.25">
      <c r="A1365" s="35">
        <v>46008.908776377313</v>
      </c>
      <c r="B1365" s="22" t="s">
        <v>1857</v>
      </c>
      <c r="C1365" s="22" t="s">
        <v>489</v>
      </c>
      <c r="D1365" s="22" t="s">
        <v>492</v>
      </c>
      <c r="E1365" s="22" t="s">
        <v>490</v>
      </c>
    </row>
    <row r="1366" spans="1:5" x14ac:dyDescent="0.25">
      <c r="A1366" s="35">
        <v>46008.908779548612</v>
      </c>
      <c r="B1366" s="22" t="s">
        <v>1858</v>
      </c>
      <c r="C1366" s="22" t="s">
        <v>489</v>
      </c>
      <c r="D1366" s="22" t="s">
        <v>468</v>
      </c>
      <c r="E1366" s="22" t="s">
        <v>490</v>
      </c>
    </row>
    <row r="1367" spans="1:5" x14ac:dyDescent="0.25">
      <c r="A1367" s="35">
        <v>46008.90880149306</v>
      </c>
      <c r="B1367" s="22" t="s">
        <v>1859</v>
      </c>
      <c r="C1367" s="22" t="s">
        <v>489</v>
      </c>
      <c r="D1367" s="22" t="s">
        <v>500</v>
      </c>
      <c r="E1367" s="22" t="s">
        <v>490</v>
      </c>
    </row>
    <row r="1368" spans="1:5" x14ac:dyDescent="0.25">
      <c r="A1368" s="35">
        <v>46008.908804479172</v>
      </c>
      <c r="B1368" s="22" t="s">
        <v>1860</v>
      </c>
      <c r="C1368" s="22" t="s">
        <v>489</v>
      </c>
      <c r="D1368" s="22" t="s">
        <v>468</v>
      </c>
      <c r="E1368" s="22" t="s">
        <v>490</v>
      </c>
    </row>
    <row r="1369" spans="1:5" x14ac:dyDescent="0.25">
      <c r="A1369" s="35">
        <v>46008.908807465283</v>
      </c>
      <c r="B1369" s="22" t="s">
        <v>1861</v>
      </c>
      <c r="C1369" s="22" t="s">
        <v>482</v>
      </c>
      <c r="D1369" s="22" t="s">
        <v>449</v>
      </c>
      <c r="E1369" s="22" t="s">
        <v>490</v>
      </c>
    </row>
    <row r="1370" spans="1:5" x14ac:dyDescent="0.25">
      <c r="A1370" s="35">
        <v>46008.908810497684</v>
      </c>
      <c r="B1370" s="22" t="s">
        <v>1862</v>
      </c>
      <c r="C1370" s="22" t="s">
        <v>489</v>
      </c>
      <c r="D1370" s="22" t="s">
        <v>468</v>
      </c>
      <c r="E1370" s="22" t="s">
        <v>490</v>
      </c>
    </row>
    <row r="1371" spans="1:5" x14ac:dyDescent="0.25">
      <c r="A1371" s="35">
        <v>46008.908813599541</v>
      </c>
      <c r="B1371" s="22" t="s">
        <v>1863</v>
      </c>
      <c r="C1371" s="22" t="s">
        <v>482</v>
      </c>
      <c r="D1371" s="22" t="s">
        <v>449</v>
      </c>
      <c r="E1371" s="22" t="s">
        <v>490</v>
      </c>
    </row>
    <row r="1372" spans="1:5" x14ac:dyDescent="0.25">
      <c r="A1372" s="35">
        <v>46008.908816585652</v>
      </c>
      <c r="B1372" s="22" t="s">
        <v>1864</v>
      </c>
      <c r="C1372" s="22" t="s">
        <v>482</v>
      </c>
      <c r="D1372" s="22" t="s">
        <v>449</v>
      </c>
      <c r="E1372" s="22" t="s">
        <v>490</v>
      </c>
    </row>
    <row r="1373" spans="1:5" x14ac:dyDescent="0.25">
      <c r="A1373" s="35">
        <v>46008.90881951389</v>
      </c>
      <c r="B1373" s="22" t="s">
        <v>1865</v>
      </c>
      <c r="C1373" s="22" t="s">
        <v>489</v>
      </c>
      <c r="D1373" s="22" t="s">
        <v>468</v>
      </c>
      <c r="E1373" s="22" t="s">
        <v>490</v>
      </c>
    </row>
    <row r="1374" spans="1:5" x14ac:dyDescent="0.25">
      <c r="A1374" s="35">
        <v>46008.908822442128</v>
      </c>
      <c r="B1374" s="22" t="s">
        <v>1866</v>
      </c>
      <c r="C1374" s="22" t="s">
        <v>489</v>
      </c>
      <c r="D1374" s="22" t="s">
        <v>468</v>
      </c>
      <c r="E1374" s="22" t="s">
        <v>490</v>
      </c>
    </row>
    <row r="1375" spans="1:5" x14ac:dyDescent="0.25">
      <c r="A1375" s="35">
        <v>46008.908825451392</v>
      </c>
      <c r="B1375" s="22" t="s">
        <v>1867</v>
      </c>
      <c r="C1375" s="22" t="s">
        <v>489</v>
      </c>
      <c r="D1375" s="22" t="s">
        <v>492</v>
      </c>
      <c r="E1375" s="22" t="s">
        <v>490</v>
      </c>
    </row>
    <row r="1376" spans="1:5" x14ac:dyDescent="0.25">
      <c r="A1376" s="35">
        <v>46008.908828402782</v>
      </c>
      <c r="B1376" s="22" t="s">
        <v>1868</v>
      </c>
      <c r="C1376" s="22" t="s">
        <v>489</v>
      </c>
      <c r="D1376" s="22" t="s">
        <v>468</v>
      </c>
      <c r="E1376" s="22" t="s">
        <v>490</v>
      </c>
    </row>
    <row r="1377" spans="1:5" x14ac:dyDescent="0.25">
      <c r="A1377" s="35">
        <v>46008.908831261579</v>
      </c>
      <c r="B1377" s="22" t="s">
        <v>1869</v>
      </c>
      <c r="C1377" s="22" t="s">
        <v>489</v>
      </c>
      <c r="D1377" s="22" t="s">
        <v>468</v>
      </c>
      <c r="E1377" s="22" t="s">
        <v>490</v>
      </c>
    </row>
    <row r="1378" spans="1:5" x14ac:dyDescent="0.25">
      <c r="A1378" s="35">
        <v>46008.908834212962</v>
      </c>
      <c r="B1378" s="22" t="s">
        <v>1870</v>
      </c>
      <c r="C1378" s="22" t="s">
        <v>489</v>
      </c>
      <c r="D1378" s="22" t="s">
        <v>468</v>
      </c>
      <c r="E1378" s="22" t="s">
        <v>490</v>
      </c>
    </row>
    <row r="1379" spans="1:5" x14ac:dyDescent="0.25">
      <c r="A1379" s="35">
        <v>46008.908838761577</v>
      </c>
      <c r="B1379" s="22" t="s">
        <v>1871</v>
      </c>
      <c r="C1379" s="22" t="s">
        <v>482</v>
      </c>
      <c r="D1379" s="22" t="s">
        <v>449</v>
      </c>
      <c r="E1379" s="22" t="s">
        <v>490</v>
      </c>
    </row>
    <row r="1380" spans="1:5" x14ac:dyDescent="0.25">
      <c r="A1380" s="35">
        <v>46008.908843460653</v>
      </c>
      <c r="B1380" s="22" t="s">
        <v>1872</v>
      </c>
      <c r="C1380" s="22" t="s">
        <v>489</v>
      </c>
      <c r="D1380" s="22" t="s">
        <v>500</v>
      </c>
      <c r="E1380" s="22" t="s">
        <v>490</v>
      </c>
    </row>
    <row r="1381" spans="1:5" x14ac:dyDescent="0.25">
      <c r="A1381" s="35">
        <v>46008.90884625</v>
      </c>
      <c r="B1381" s="22" t="s">
        <v>1873</v>
      </c>
      <c r="C1381" s="22" t="s">
        <v>489</v>
      </c>
      <c r="D1381" s="22" t="s">
        <v>469</v>
      </c>
      <c r="E1381" s="22" t="s">
        <v>490</v>
      </c>
    </row>
    <row r="1382" spans="1:5" x14ac:dyDescent="0.25">
      <c r="A1382" s="35">
        <v>46008.908849166663</v>
      </c>
      <c r="B1382" s="22" t="s">
        <v>1874</v>
      </c>
      <c r="C1382" s="22" t="s">
        <v>482</v>
      </c>
      <c r="D1382" s="22" t="s">
        <v>449</v>
      </c>
      <c r="E1382" s="22" t="s">
        <v>490</v>
      </c>
    </row>
    <row r="1383" spans="1:5" x14ac:dyDescent="0.25">
      <c r="A1383" s="35">
        <v>46008.908851990738</v>
      </c>
      <c r="B1383" s="22" t="s">
        <v>1875</v>
      </c>
      <c r="C1383" s="22" t="s">
        <v>482</v>
      </c>
      <c r="D1383" s="22" t="s">
        <v>449</v>
      </c>
      <c r="E1383" s="22" t="s">
        <v>490</v>
      </c>
    </row>
    <row r="1384" spans="1:5" x14ac:dyDescent="0.25">
      <c r="A1384" s="35">
        <v>46008.908854965281</v>
      </c>
      <c r="B1384" s="22" t="s">
        <v>1876</v>
      </c>
      <c r="C1384" s="22" t="s">
        <v>482</v>
      </c>
      <c r="D1384" s="22" t="s">
        <v>449</v>
      </c>
      <c r="E1384" s="22" t="s">
        <v>490</v>
      </c>
    </row>
    <row r="1385" spans="1:5" x14ac:dyDescent="0.25">
      <c r="A1385" s="35">
        <v>46008.908857800925</v>
      </c>
      <c r="B1385" s="22" t="s">
        <v>1877</v>
      </c>
      <c r="C1385" s="22" t="s">
        <v>482</v>
      </c>
      <c r="D1385" s="22" t="s">
        <v>449</v>
      </c>
      <c r="E1385" s="22" t="s">
        <v>490</v>
      </c>
    </row>
    <row r="1386" spans="1:5" x14ac:dyDescent="0.25">
      <c r="A1386" s="35">
        <v>46008.908860740739</v>
      </c>
      <c r="B1386" s="22" t="s">
        <v>1878</v>
      </c>
      <c r="C1386" s="22" t="s">
        <v>482</v>
      </c>
      <c r="D1386" s="22" t="s">
        <v>516</v>
      </c>
      <c r="E1386" s="22" t="s">
        <v>490</v>
      </c>
    </row>
    <row r="1387" spans="1:5" x14ac:dyDescent="0.25">
      <c r="A1387" s="35">
        <v>46008.908863518518</v>
      </c>
      <c r="B1387" s="22" t="s">
        <v>1879</v>
      </c>
      <c r="C1387" s="22" t="s">
        <v>489</v>
      </c>
      <c r="D1387" s="22" t="s">
        <v>492</v>
      </c>
      <c r="E1387" s="22" t="s">
        <v>490</v>
      </c>
    </row>
    <row r="1388" spans="1:5" x14ac:dyDescent="0.25">
      <c r="A1388" s="35">
        <v>46008.908866446756</v>
      </c>
      <c r="B1388" s="22" t="s">
        <v>1880</v>
      </c>
      <c r="C1388" s="22" t="s">
        <v>489</v>
      </c>
      <c r="D1388" s="22" t="s">
        <v>468</v>
      </c>
      <c r="E1388" s="22" t="s">
        <v>490</v>
      </c>
    </row>
    <row r="1389" spans="1:5" x14ac:dyDescent="0.25">
      <c r="A1389" s="35">
        <v>46008.908869363426</v>
      </c>
      <c r="B1389" s="22" t="s">
        <v>1881</v>
      </c>
      <c r="C1389" s="22" t="s">
        <v>489</v>
      </c>
      <c r="D1389" s="22" t="s">
        <v>492</v>
      </c>
      <c r="E1389" s="22" t="s">
        <v>490</v>
      </c>
    </row>
    <row r="1390" spans="1:5" x14ac:dyDescent="0.25">
      <c r="A1390" s="35">
        <v>46008.908872395834</v>
      </c>
      <c r="B1390" s="22" t="s">
        <v>1882</v>
      </c>
      <c r="C1390" s="22" t="s">
        <v>489</v>
      </c>
      <c r="D1390" s="22" t="s">
        <v>468</v>
      </c>
      <c r="E1390" s="22" t="s">
        <v>490</v>
      </c>
    </row>
    <row r="1391" spans="1:5" x14ac:dyDescent="0.25">
      <c r="A1391" s="35">
        <v>46008.908875196765</v>
      </c>
      <c r="B1391" s="22" t="s">
        <v>1883</v>
      </c>
      <c r="C1391" s="22" t="s">
        <v>489</v>
      </c>
      <c r="D1391" s="22" t="s">
        <v>500</v>
      </c>
      <c r="E1391" s="22" t="s">
        <v>490</v>
      </c>
    </row>
    <row r="1392" spans="1:5" x14ac:dyDescent="0.25">
      <c r="A1392" s="35">
        <v>46008.908878136572</v>
      </c>
      <c r="B1392" s="22" t="s">
        <v>1884</v>
      </c>
      <c r="C1392" s="22" t="s">
        <v>489</v>
      </c>
      <c r="D1392" s="22" t="s">
        <v>468</v>
      </c>
      <c r="E1392" s="22" t="s">
        <v>490</v>
      </c>
    </row>
    <row r="1393" spans="1:5" x14ac:dyDescent="0.25">
      <c r="A1393" s="35">
        <v>46008.90888106481</v>
      </c>
      <c r="B1393" s="22" t="s">
        <v>1885</v>
      </c>
      <c r="C1393" s="22" t="s">
        <v>489</v>
      </c>
      <c r="D1393" s="22" t="s">
        <v>469</v>
      </c>
      <c r="E1393" s="22" t="s">
        <v>490</v>
      </c>
    </row>
    <row r="1394" spans="1:5" x14ac:dyDescent="0.25">
      <c r="A1394" s="35">
        <v>46008.908895891203</v>
      </c>
      <c r="B1394" s="22" t="s">
        <v>1886</v>
      </c>
      <c r="C1394" s="22" t="s">
        <v>489</v>
      </c>
      <c r="D1394" s="22" t="s">
        <v>582</v>
      </c>
      <c r="E1394" s="22" t="s">
        <v>490</v>
      </c>
    </row>
    <row r="1395" spans="1:5" x14ac:dyDescent="0.25">
      <c r="A1395" s="35">
        <v>46008.908898784721</v>
      </c>
      <c r="B1395" s="22" t="s">
        <v>1887</v>
      </c>
      <c r="C1395" s="22" t="s">
        <v>489</v>
      </c>
      <c r="D1395" s="22" t="s">
        <v>468</v>
      </c>
      <c r="E1395" s="22" t="s">
        <v>490</v>
      </c>
    </row>
    <row r="1396" spans="1:5" x14ac:dyDescent="0.25">
      <c r="A1396" s="35">
        <v>46008.908901805553</v>
      </c>
      <c r="B1396" s="22" t="s">
        <v>1888</v>
      </c>
      <c r="C1396" s="22" t="s">
        <v>482</v>
      </c>
      <c r="D1396" s="22" t="s">
        <v>449</v>
      </c>
      <c r="E1396" s="22" t="s">
        <v>490</v>
      </c>
    </row>
    <row r="1397" spans="1:5" x14ac:dyDescent="0.25">
      <c r="A1397" s="35">
        <v>46008.908904884258</v>
      </c>
      <c r="B1397" s="22" t="s">
        <v>1889</v>
      </c>
      <c r="C1397" s="22" t="s">
        <v>482</v>
      </c>
      <c r="D1397" s="22" t="s">
        <v>449</v>
      </c>
      <c r="E1397" s="22" t="s">
        <v>490</v>
      </c>
    </row>
    <row r="1398" spans="1:5" x14ac:dyDescent="0.25">
      <c r="A1398" s="35">
        <v>46008.9089078588</v>
      </c>
      <c r="B1398" s="22" t="s">
        <v>1890</v>
      </c>
      <c r="C1398" s="22" t="s">
        <v>489</v>
      </c>
      <c r="D1398" s="22" t="s">
        <v>468</v>
      </c>
      <c r="E1398" s="22" t="s">
        <v>490</v>
      </c>
    </row>
    <row r="1399" spans="1:5" x14ac:dyDescent="0.25">
      <c r="A1399" s="35">
        <v>46008.908910798607</v>
      </c>
      <c r="B1399" s="22" t="s">
        <v>1891</v>
      </c>
      <c r="C1399" s="22" t="s">
        <v>489</v>
      </c>
      <c r="D1399" s="22" t="s">
        <v>500</v>
      </c>
      <c r="E1399" s="22" t="s">
        <v>490</v>
      </c>
    </row>
    <row r="1400" spans="1:5" x14ac:dyDescent="0.25">
      <c r="A1400" s="35">
        <v>46008.908913854168</v>
      </c>
      <c r="B1400" s="22" t="s">
        <v>1892</v>
      </c>
      <c r="C1400" s="22" t="s">
        <v>489</v>
      </c>
      <c r="D1400" s="22" t="s">
        <v>500</v>
      </c>
      <c r="E1400" s="22" t="s">
        <v>490</v>
      </c>
    </row>
    <row r="1401" spans="1:5" x14ac:dyDescent="0.25">
      <c r="A1401" s="35">
        <v>46008.908916898145</v>
      </c>
      <c r="B1401" s="22" t="s">
        <v>1893</v>
      </c>
      <c r="C1401" s="22" t="s">
        <v>489</v>
      </c>
      <c r="D1401" s="22" t="s">
        <v>468</v>
      </c>
      <c r="E1401" s="22" t="s">
        <v>490</v>
      </c>
    </row>
    <row r="1402" spans="1:5" x14ac:dyDescent="0.25">
      <c r="A1402" s="35">
        <v>46008.909824768518</v>
      </c>
      <c r="B1402" s="22" t="s">
        <v>498</v>
      </c>
      <c r="C1402" s="22" t="s">
        <v>449</v>
      </c>
      <c r="D1402" s="22" t="s">
        <v>1894</v>
      </c>
      <c r="E1402" s="22" t="s">
        <v>1895</v>
      </c>
    </row>
    <row r="1403" spans="1:5" x14ac:dyDescent="0.25">
      <c r="A1403" s="35">
        <v>46008.90982612269</v>
      </c>
      <c r="B1403" s="22" t="s">
        <v>680</v>
      </c>
      <c r="C1403" s="22" t="s">
        <v>449</v>
      </c>
      <c r="D1403" s="22" t="s">
        <v>1894</v>
      </c>
      <c r="E1403" s="22" t="s">
        <v>1895</v>
      </c>
    </row>
    <row r="1404" spans="1:5" x14ac:dyDescent="0.25">
      <c r="A1404" s="35">
        <v>46008.909827662035</v>
      </c>
      <c r="B1404" s="22" t="s">
        <v>953</v>
      </c>
      <c r="C1404" s="22" t="s">
        <v>449</v>
      </c>
      <c r="D1404" s="22" t="s">
        <v>1894</v>
      </c>
      <c r="E1404" s="22" t="s">
        <v>1895</v>
      </c>
    </row>
    <row r="1405" spans="1:5" x14ac:dyDescent="0.25">
      <c r="A1405" s="35">
        <v>46008.909829062497</v>
      </c>
      <c r="B1405" s="22" t="s">
        <v>975</v>
      </c>
      <c r="C1405" s="22" t="s">
        <v>449</v>
      </c>
      <c r="D1405" s="22" t="s">
        <v>1894</v>
      </c>
      <c r="E1405" s="22" t="s">
        <v>1895</v>
      </c>
    </row>
    <row r="1406" spans="1:5" x14ac:dyDescent="0.25">
      <c r="A1406" s="35">
        <v>46008.909830555553</v>
      </c>
      <c r="B1406" s="22" t="s">
        <v>1204</v>
      </c>
      <c r="C1406" s="22" t="s">
        <v>449</v>
      </c>
      <c r="D1406" s="22" t="s">
        <v>1894</v>
      </c>
      <c r="E1406" s="22" t="s">
        <v>1895</v>
      </c>
    </row>
    <row r="1407" spans="1:5" x14ac:dyDescent="0.25">
      <c r="A1407" s="35">
        <v>46008.909831990743</v>
      </c>
      <c r="B1407" s="22" t="s">
        <v>1206</v>
      </c>
      <c r="C1407" s="22" t="s">
        <v>449</v>
      </c>
      <c r="D1407" s="22" t="s">
        <v>1894</v>
      </c>
      <c r="E1407" s="22" t="s">
        <v>1895</v>
      </c>
    </row>
    <row r="1408" spans="1:5" x14ac:dyDescent="0.25">
      <c r="A1408" s="35">
        <v>46008.909841261571</v>
      </c>
      <c r="B1408" s="22" t="s">
        <v>1269</v>
      </c>
      <c r="C1408" s="22" t="s">
        <v>449</v>
      </c>
      <c r="D1408" s="22" t="s">
        <v>1894</v>
      </c>
      <c r="E1408" s="22" t="s">
        <v>1895</v>
      </c>
    </row>
    <row r="1409" spans="1:5" x14ac:dyDescent="0.25">
      <c r="A1409" s="35">
        <v>46008.909842627312</v>
      </c>
      <c r="B1409" s="22" t="s">
        <v>1290</v>
      </c>
      <c r="C1409" s="22" t="s">
        <v>449</v>
      </c>
      <c r="D1409" s="22" t="s">
        <v>1894</v>
      </c>
      <c r="E1409" s="22" t="s">
        <v>1895</v>
      </c>
    </row>
    <row r="1410" spans="1:5" x14ac:dyDescent="0.25">
      <c r="A1410" s="35">
        <v>46008.909844120368</v>
      </c>
      <c r="B1410" s="22" t="s">
        <v>1310</v>
      </c>
      <c r="C1410" s="22" t="s">
        <v>449</v>
      </c>
      <c r="D1410" s="22" t="s">
        <v>1894</v>
      </c>
      <c r="E1410" s="22" t="s">
        <v>1895</v>
      </c>
    </row>
    <row r="1411" spans="1:5" x14ac:dyDescent="0.25">
      <c r="A1411" s="35">
        <v>46008.90985625</v>
      </c>
      <c r="B1411" s="22" t="s">
        <v>1343</v>
      </c>
      <c r="C1411" s="22" t="s">
        <v>449</v>
      </c>
      <c r="D1411" s="22" t="s">
        <v>1894</v>
      </c>
      <c r="E1411" s="22" t="s">
        <v>1895</v>
      </c>
    </row>
    <row r="1412" spans="1:5" x14ac:dyDescent="0.25">
      <c r="A1412" s="35">
        <v>46008.909857719904</v>
      </c>
      <c r="B1412" s="22" t="s">
        <v>1479</v>
      </c>
      <c r="C1412" s="22" t="s">
        <v>449</v>
      </c>
      <c r="D1412" s="22" t="s">
        <v>1894</v>
      </c>
      <c r="E1412" s="22" t="s">
        <v>1895</v>
      </c>
    </row>
    <row r="1413" spans="1:5" x14ac:dyDescent="0.25">
      <c r="A1413" s="35">
        <v>46008.909859270832</v>
      </c>
      <c r="B1413" s="22" t="s">
        <v>1559</v>
      </c>
      <c r="C1413" s="22" t="s">
        <v>449</v>
      </c>
      <c r="D1413" s="22" t="s">
        <v>1894</v>
      </c>
      <c r="E1413" s="22" t="s">
        <v>1895</v>
      </c>
    </row>
    <row r="1414" spans="1:5" x14ac:dyDescent="0.25">
      <c r="A1414" s="35">
        <v>46008.909860902779</v>
      </c>
      <c r="B1414" s="22" t="s">
        <v>1735</v>
      </c>
      <c r="C1414" s="22" t="s">
        <v>449</v>
      </c>
      <c r="D1414" s="22" t="s">
        <v>1894</v>
      </c>
      <c r="E1414" s="22" t="s">
        <v>1895</v>
      </c>
    </row>
    <row r="1415" spans="1:5" x14ac:dyDescent="0.25">
      <c r="A1415" s="35">
        <v>46008.909862615736</v>
      </c>
      <c r="B1415" s="22" t="s">
        <v>1871</v>
      </c>
      <c r="C1415" s="22" t="s">
        <v>449</v>
      </c>
      <c r="D1415" s="22" t="s">
        <v>1894</v>
      </c>
      <c r="E1415" s="22" t="s">
        <v>1895</v>
      </c>
    </row>
    <row r="1416" spans="1:5" x14ac:dyDescent="0.25">
      <c r="A1416" s="35">
        <v>46008.910652060185</v>
      </c>
      <c r="B1416" s="22" t="s">
        <v>646</v>
      </c>
      <c r="C1416" s="22" t="s">
        <v>449</v>
      </c>
      <c r="D1416" s="22" t="s">
        <v>1894</v>
      </c>
      <c r="E1416" s="22" t="s">
        <v>1895</v>
      </c>
    </row>
    <row r="1417" spans="1:5" x14ac:dyDescent="0.25">
      <c r="A1417" s="35">
        <v>46008.910654108797</v>
      </c>
      <c r="B1417" s="22" t="s">
        <v>789</v>
      </c>
      <c r="C1417" s="22" t="s">
        <v>449</v>
      </c>
      <c r="D1417" s="22" t="s">
        <v>1894</v>
      </c>
      <c r="E1417" s="22" t="s">
        <v>1895</v>
      </c>
    </row>
    <row r="1418" spans="1:5" x14ac:dyDescent="0.25">
      <c r="A1418" s="35">
        <v>46008.910656180553</v>
      </c>
      <c r="B1418" s="22" t="s">
        <v>798</v>
      </c>
      <c r="C1418" s="22" t="s">
        <v>449</v>
      </c>
      <c r="D1418" s="22" t="s">
        <v>1894</v>
      </c>
      <c r="E1418" s="22" t="s">
        <v>1895</v>
      </c>
    </row>
    <row r="1419" spans="1:5" x14ac:dyDescent="0.25">
      <c r="A1419" s="35">
        <v>46008.910658310182</v>
      </c>
      <c r="B1419" s="22" t="s">
        <v>799</v>
      </c>
      <c r="C1419" s="22" t="s">
        <v>449</v>
      </c>
      <c r="D1419" s="22" t="s">
        <v>1894</v>
      </c>
      <c r="E1419" s="22" t="s">
        <v>1895</v>
      </c>
    </row>
    <row r="1420" spans="1:5" x14ac:dyDescent="0.25">
      <c r="A1420" s="35">
        <v>46008.910660474532</v>
      </c>
      <c r="B1420" s="22" t="s">
        <v>1389</v>
      </c>
      <c r="C1420" s="22" t="s">
        <v>449</v>
      </c>
      <c r="D1420" s="22" t="s">
        <v>1894</v>
      </c>
      <c r="E1420" s="22" t="s">
        <v>1895</v>
      </c>
    </row>
    <row r="1421" spans="1:5" x14ac:dyDescent="0.25">
      <c r="A1421" s="35">
        <v>46008.911774918983</v>
      </c>
      <c r="B1421" s="22" t="s">
        <v>569</v>
      </c>
      <c r="C1421" s="22" t="s">
        <v>449</v>
      </c>
      <c r="D1421" s="22" t="s">
        <v>470</v>
      </c>
      <c r="E1421" s="22" t="s">
        <v>1895</v>
      </c>
    </row>
    <row r="1422" spans="1:5" x14ac:dyDescent="0.25">
      <c r="A1422" s="35">
        <v>46008.911776944442</v>
      </c>
      <c r="B1422" s="22" t="s">
        <v>810</v>
      </c>
      <c r="C1422" s="22" t="s">
        <v>449</v>
      </c>
      <c r="D1422" s="22" t="s">
        <v>470</v>
      </c>
      <c r="E1422" s="22" t="s">
        <v>1895</v>
      </c>
    </row>
    <row r="1423" spans="1:5" x14ac:dyDescent="0.25">
      <c r="A1423" s="35">
        <v>46008.911778877315</v>
      </c>
      <c r="B1423" s="22" t="s">
        <v>821</v>
      </c>
      <c r="C1423" s="22" t="s">
        <v>449</v>
      </c>
      <c r="D1423" s="22" t="s">
        <v>470</v>
      </c>
      <c r="E1423" s="22" t="s">
        <v>1895</v>
      </c>
    </row>
    <row r="1424" spans="1:5" x14ac:dyDescent="0.25">
      <c r="A1424" s="35">
        <v>46008.911793599538</v>
      </c>
      <c r="B1424" s="22" t="s">
        <v>822</v>
      </c>
      <c r="C1424" s="22" t="s">
        <v>449</v>
      </c>
      <c r="D1424" s="22" t="s">
        <v>470</v>
      </c>
      <c r="E1424" s="22" t="s">
        <v>1895</v>
      </c>
    </row>
    <row r="1425" spans="1:5" x14ac:dyDescent="0.25">
      <c r="A1425" s="35">
        <v>46008.91179568287</v>
      </c>
      <c r="B1425" s="22" t="s">
        <v>926</v>
      </c>
      <c r="C1425" s="22" t="s">
        <v>449</v>
      </c>
      <c r="D1425" s="22" t="s">
        <v>470</v>
      </c>
      <c r="E1425" s="22" t="s">
        <v>1895</v>
      </c>
    </row>
    <row r="1426" spans="1:5" x14ac:dyDescent="0.25">
      <c r="A1426" s="35">
        <v>46008.911797627312</v>
      </c>
      <c r="B1426" s="22" t="s">
        <v>967</v>
      </c>
      <c r="C1426" s="22" t="s">
        <v>449</v>
      </c>
      <c r="D1426" s="22" t="s">
        <v>470</v>
      </c>
      <c r="E1426" s="22" t="s">
        <v>1895</v>
      </c>
    </row>
    <row r="1427" spans="1:5" x14ac:dyDescent="0.25">
      <c r="A1427" s="35">
        <v>46008.911799571761</v>
      </c>
      <c r="B1427" s="22" t="s">
        <v>981</v>
      </c>
      <c r="C1427" s="22" t="s">
        <v>449</v>
      </c>
      <c r="D1427" s="22" t="s">
        <v>470</v>
      </c>
      <c r="E1427" s="22" t="s">
        <v>1895</v>
      </c>
    </row>
    <row r="1428" spans="1:5" x14ac:dyDescent="0.25">
      <c r="A1428" s="35">
        <v>46008.911802337963</v>
      </c>
      <c r="B1428" s="22" t="s">
        <v>1289</v>
      </c>
      <c r="C1428" s="22" t="s">
        <v>449</v>
      </c>
      <c r="D1428" s="22" t="s">
        <v>470</v>
      </c>
      <c r="E1428" s="22" t="s">
        <v>1895</v>
      </c>
    </row>
    <row r="1429" spans="1:5" x14ac:dyDescent="0.25">
      <c r="A1429" s="35">
        <v>46008.911804293981</v>
      </c>
      <c r="B1429" s="22" t="s">
        <v>1333</v>
      </c>
      <c r="C1429" s="22" t="s">
        <v>449</v>
      </c>
      <c r="D1429" s="22" t="s">
        <v>470</v>
      </c>
      <c r="E1429" s="22" t="s">
        <v>1895</v>
      </c>
    </row>
    <row r="1430" spans="1:5" x14ac:dyDescent="0.25">
      <c r="A1430" s="35">
        <v>46008.911809502315</v>
      </c>
      <c r="B1430" s="22" t="s">
        <v>1369</v>
      </c>
      <c r="C1430" s="22" t="s">
        <v>449</v>
      </c>
      <c r="D1430" s="22" t="s">
        <v>470</v>
      </c>
      <c r="E1430" s="22" t="s">
        <v>1895</v>
      </c>
    </row>
    <row r="1431" spans="1:5" x14ac:dyDescent="0.25">
      <c r="A1431" s="35">
        <v>46008.911811469909</v>
      </c>
      <c r="B1431" s="22" t="s">
        <v>1390</v>
      </c>
      <c r="C1431" s="22" t="s">
        <v>449</v>
      </c>
      <c r="D1431" s="22" t="s">
        <v>470</v>
      </c>
      <c r="E1431" s="22" t="s">
        <v>1895</v>
      </c>
    </row>
    <row r="1432" spans="1:5" x14ac:dyDescent="0.25">
      <c r="A1432" s="35">
        <v>46008.911824374998</v>
      </c>
      <c r="B1432" s="22" t="s">
        <v>1464</v>
      </c>
      <c r="C1432" s="22" t="s">
        <v>449</v>
      </c>
      <c r="D1432" s="22" t="s">
        <v>470</v>
      </c>
      <c r="E1432" s="22" t="s">
        <v>1895</v>
      </c>
    </row>
    <row r="1433" spans="1:5" x14ac:dyDescent="0.25">
      <c r="A1433" s="35">
        <v>46008.911826400465</v>
      </c>
      <c r="B1433" s="22" t="s">
        <v>1864</v>
      </c>
      <c r="C1433" s="22" t="s">
        <v>449</v>
      </c>
      <c r="D1433" s="22" t="s">
        <v>470</v>
      </c>
      <c r="E1433" s="22" t="s">
        <v>1895</v>
      </c>
    </row>
    <row r="1434" spans="1:5" x14ac:dyDescent="0.25">
      <c r="A1434" s="35">
        <v>46008.912097939814</v>
      </c>
      <c r="B1434" s="22" t="s">
        <v>1465</v>
      </c>
      <c r="C1434" s="22" t="s">
        <v>449</v>
      </c>
      <c r="D1434" s="22" t="s">
        <v>472</v>
      </c>
      <c r="E1434" s="22" t="s">
        <v>1895</v>
      </c>
    </row>
    <row r="1435" spans="1:5" x14ac:dyDescent="0.25">
      <c r="A1435" s="35">
        <v>46008.912100949077</v>
      </c>
      <c r="B1435" s="22" t="s">
        <v>1485</v>
      </c>
      <c r="C1435" s="22" t="s">
        <v>449</v>
      </c>
      <c r="D1435" s="22" t="s">
        <v>472</v>
      </c>
      <c r="E1435" s="22" t="s">
        <v>1895</v>
      </c>
    </row>
    <row r="1436" spans="1:5" x14ac:dyDescent="0.25">
      <c r="A1436" s="35">
        <v>46008.913312523146</v>
      </c>
      <c r="B1436" s="22" t="s">
        <v>1425</v>
      </c>
      <c r="C1436" s="22" t="s">
        <v>449</v>
      </c>
      <c r="D1436" s="22" t="s">
        <v>1894</v>
      </c>
      <c r="E1436" s="22" t="s">
        <v>1895</v>
      </c>
    </row>
    <row r="1437" spans="1:5" x14ac:dyDescent="0.25">
      <c r="A1437" s="35">
        <v>46008.913314513891</v>
      </c>
      <c r="B1437" s="22" t="s">
        <v>1427</v>
      </c>
      <c r="C1437" s="22" t="s">
        <v>449</v>
      </c>
      <c r="D1437" s="22" t="s">
        <v>1894</v>
      </c>
      <c r="E1437" s="22" t="s">
        <v>1895</v>
      </c>
    </row>
    <row r="1438" spans="1:5" x14ac:dyDescent="0.25">
      <c r="A1438" s="35">
        <v>46008.913316168982</v>
      </c>
      <c r="B1438" s="22" t="s">
        <v>1472</v>
      </c>
      <c r="C1438" s="22" t="s">
        <v>449</v>
      </c>
      <c r="D1438" s="22" t="s">
        <v>1894</v>
      </c>
      <c r="E1438" s="22" t="s">
        <v>1895</v>
      </c>
    </row>
    <row r="1439" spans="1:5" x14ac:dyDescent="0.25">
      <c r="A1439" s="35">
        <v>46008.915475023146</v>
      </c>
      <c r="B1439" s="22" t="s">
        <v>1896</v>
      </c>
      <c r="C1439" s="22" t="s">
        <v>482</v>
      </c>
      <c r="D1439" s="22" t="s">
        <v>1894</v>
      </c>
      <c r="E1439" s="22" t="s">
        <v>1895</v>
      </c>
    </row>
    <row r="1440" spans="1:5" x14ac:dyDescent="0.25">
      <c r="A1440" s="35">
        <v>46008.915476967595</v>
      </c>
      <c r="B1440" s="22" t="s">
        <v>1897</v>
      </c>
      <c r="C1440" s="22" t="s">
        <v>482</v>
      </c>
      <c r="D1440" s="22" t="s">
        <v>1894</v>
      </c>
      <c r="E1440" s="22" t="s">
        <v>1895</v>
      </c>
    </row>
    <row r="1441" spans="1:5" x14ac:dyDescent="0.25">
      <c r="A1441" s="35">
        <v>46008.915490439816</v>
      </c>
      <c r="B1441" s="22" t="s">
        <v>1898</v>
      </c>
      <c r="C1441" s="22" t="s">
        <v>482</v>
      </c>
      <c r="D1441" s="22" t="s">
        <v>1894</v>
      </c>
      <c r="E1441" s="22" t="s">
        <v>1895</v>
      </c>
    </row>
    <row r="1442" spans="1:5" x14ac:dyDescent="0.25">
      <c r="A1442" s="35">
        <v>46008.915492627319</v>
      </c>
      <c r="B1442" s="22" t="s">
        <v>1899</v>
      </c>
      <c r="C1442" s="22" t="s">
        <v>482</v>
      </c>
      <c r="D1442" s="22" t="s">
        <v>1894</v>
      </c>
      <c r="E1442" s="22" t="s">
        <v>1895</v>
      </c>
    </row>
    <row r="1443" spans="1:5" x14ac:dyDescent="0.25">
      <c r="A1443" s="35">
        <v>46008.915494803237</v>
      </c>
      <c r="B1443" s="22" t="s">
        <v>1900</v>
      </c>
      <c r="C1443" s="22" t="s">
        <v>482</v>
      </c>
      <c r="D1443" s="22" t="s">
        <v>1894</v>
      </c>
      <c r="E1443" s="22" t="s">
        <v>1895</v>
      </c>
    </row>
    <row r="1444" spans="1:5" x14ac:dyDescent="0.25">
      <c r="A1444" s="35">
        <v>46008.915496666668</v>
      </c>
      <c r="B1444" s="22" t="s">
        <v>1901</v>
      </c>
      <c r="C1444" s="22" t="s">
        <v>482</v>
      </c>
      <c r="D1444" s="22" t="s">
        <v>1894</v>
      </c>
      <c r="E1444" s="22" t="s">
        <v>1895</v>
      </c>
    </row>
    <row r="1445" spans="1:5" x14ac:dyDescent="0.25">
      <c r="A1445" s="35">
        <v>46008.915498912036</v>
      </c>
      <c r="B1445" s="22" t="s">
        <v>1902</v>
      </c>
      <c r="C1445" s="22" t="s">
        <v>482</v>
      </c>
      <c r="D1445" s="22" t="s">
        <v>1894</v>
      </c>
      <c r="E1445" s="22" t="s">
        <v>1895</v>
      </c>
    </row>
    <row r="1446" spans="1:5" x14ac:dyDescent="0.25">
      <c r="A1446" s="35">
        <v>46008.915500902775</v>
      </c>
      <c r="B1446" s="22" t="s">
        <v>1903</v>
      </c>
      <c r="C1446" s="22" t="s">
        <v>482</v>
      </c>
      <c r="D1446" s="22" t="s">
        <v>1894</v>
      </c>
      <c r="E1446" s="22" t="s">
        <v>1895</v>
      </c>
    </row>
    <row r="1447" spans="1:5" x14ac:dyDescent="0.25">
      <c r="A1447" s="35">
        <v>46008.915502974538</v>
      </c>
      <c r="B1447" s="22" t="s">
        <v>1904</v>
      </c>
      <c r="C1447" s="22" t="s">
        <v>482</v>
      </c>
      <c r="D1447" s="22" t="s">
        <v>1894</v>
      </c>
      <c r="E1447" s="22" t="s">
        <v>1895</v>
      </c>
    </row>
    <row r="1448" spans="1:5" x14ac:dyDescent="0.25">
      <c r="A1448" s="35">
        <v>46008.915510740742</v>
      </c>
      <c r="B1448" s="22" t="s">
        <v>1905</v>
      </c>
      <c r="C1448" s="22" t="s">
        <v>482</v>
      </c>
      <c r="D1448" s="22" t="s">
        <v>1894</v>
      </c>
      <c r="E1448" s="22" t="s">
        <v>1895</v>
      </c>
    </row>
    <row r="1449" spans="1:5" x14ac:dyDescent="0.25">
      <c r="A1449" s="35">
        <v>46008.915514907407</v>
      </c>
      <c r="B1449" s="22" t="s">
        <v>1906</v>
      </c>
      <c r="C1449" s="22" t="s">
        <v>482</v>
      </c>
      <c r="D1449" s="22" t="s">
        <v>1894</v>
      </c>
      <c r="E1449" s="22" t="s">
        <v>1895</v>
      </c>
    </row>
    <row r="1450" spans="1:5" x14ac:dyDescent="0.25">
      <c r="A1450" s="35">
        <v>46008.916687824079</v>
      </c>
      <c r="B1450" s="22" t="s">
        <v>1896</v>
      </c>
      <c r="C1450" s="22" t="s">
        <v>482</v>
      </c>
      <c r="D1450" s="22" t="s">
        <v>449</v>
      </c>
      <c r="E1450" s="22" t="s">
        <v>1895</v>
      </c>
    </row>
    <row r="1451" spans="1:5" x14ac:dyDescent="0.25">
      <c r="A1451" s="35">
        <v>46008.916690833328</v>
      </c>
      <c r="B1451" s="22" t="s">
        <v>1897</v>
      </c>
      <c r="C1451" s="22" t="s">
        <v>482</v>
      </c>
      <c r="D1451" s="22" t="s">
        <v>449</v>
      </c>
      <c r="E1451" s="22" t="s">
        <v>1895</v>
      </c>
    </row>
    <row r="1452" spans="1:5" x14ac:dyDescent="0.25">
      <c r="A1452" s="35">
        <v>46008.916694016203</v>
      </c>
      <c r="B1452" s="22" t="s">
        <v>1898</v>
      </c>
      <c r="C1452" s="22" t="s">
        <v>482</v>
      </c>
      <c r="D1452" s="22" t="s">
        <v>449</v>
      </c>
      <c r="E1452" s="22" t="s">
        <v>1895</v>
      </c>
    </row>
    <row r="1453" spans="1:5" x14ac:dyDescent="0.25">
      <c r="A1453" s="35">
        <v>46008.916700844908</v>
      </c>
      <c r="B1453" s="22" t="s">
        <v>1899</v>
      </c>
      <c r="C1453" s="22" t="s">
        <v>482</v>
      </c>
      <c r="D1453" s="22" t="s">
        <v>449</v>
      </c>
      <c r="E1453" s="22" t="s">
        <v>1895</v>
      </c>
    </row>
    <row r="1454" spans="1:5" x14ac:dyDescent="0.25">
      <c r="A1454" s="35">
        <v>46008.916708344907</v>
      </c>
      <c r="B1454" s="22" t="s">
        <v>1900</v>
      </c>
      <c r="C1454" s="22" t="s">
        <v>482</v>
      </c>
      <c r="D1454" s="22" t="s">
        <v>449</v>
      </c>
      <c r="E1454" s="22" t="s">
        <v>1895</v>
      </c>
    </row>
    <row r="1455" spans="1:5" x14ac:dyDescent="0.25">
      <c r="A1455" s="35">
        <v>46008.916711562502</v>
      </c>
      <c r="B1455" s="22" t="s">
        <v>1907</v>
      </c>
      <c r="C1455" s="22" t="s">
        <v>482</v>
      </c>
      <c r="D1455" s="22" t="s">
        <v>449</v>
      </c>
      <c r="E1455" s="22" t="s">
        <v>1895</v>
      </c>
    </row>
    <row r="1456" spans="1:5" x14ac:dyDescent="0.25">
      <c r="A1456" s="35">
        <v>46008.916714560182</v>
      </c>
      <c r="B1456" s="22" t="s">
        <v>1908</v>
      </c>
      <c r="C1456" s="22" t="s">
        <v>482</v>
      </c>
      <c r="D1456" s="22" t="s">
        <v>449</v>
      </c>
      <c r="E1456" s="22" t="s">
        <v>1895</v>
      </c>
    </row>
    <row r="1457" spans="1:5" x14ac:dyDescent="0.25">
      <c r="A1457" s="35">
        <v>46008.916717361106</v>
      </c>
      <c r="B1457" s="22" t="s">
        <v>1909</v>
      </c>
      <c r="C1457" s="22" t="s">
        <v>482</v>
      </c>
      <c r="D1457" s="22" t="s">
        <v>449</v>
      </c>
      <c r="E1457" s="22" t="s">
        <v>1895</v>
      </c>
    </row>
    <row r="1458" spans="1:5" x14ac:dyDescent="0.25">
      <c r="A1458" s="35">
        <v>46008.916720370369</v>
      </c>
      <c r="B1458" s="22" t="s">
        <v>1910</v>
      </c>
      <c r="C1458" s="22" t="s">
        <v>482</v>
      </c>
      <c r="D1458" s="22" t="s">
        <v>449</v>
      </c>
      <c r="E1458" s="22" t="s">
        <v>1895</v>
      </c>
    </row>
    <row r="1459" spans="1:5" x14ac:dyDescent="0.25">
      <c r="A1459" s="35">
        <v>46008.916723229166</v>
      </c>
      <c r="B1459" s="22" t="s">
        <v>1911</v>
      </c>
      <c r="C1459" s="22" t="s">
        <v>482</v>
      </c>
      <c r="D1459" s="22" t="s">
        <v>449</v>
      </c>
      <c r="E1459" s="22" t="s">
        <v>1895</v>
      </c>
    </row>
    <row r="1460" spans="1:5" x14ac:dyDescent="0.25">
      <c r="A1460" s="35">
        <v>46008.91672685185</v>
      </c>
      <c r="B1460" s="22" t="s">
        <v>1912</v>
      </c>
      <c r="C1460" s="22" t="s">
        <v>482</v>
      </c>
      <c r="D1460" s="22" t="s">
        <v>449</v>
      </c>
      <c r="E1460" s="22" t="s">
        <v>1895</v>
      </c>
    </row>
    <row r="1461" spans="1:5" x14ac:dyDescent="0.25">
      <c r="A1461" s="35">
        <v>46008.916729861114</v>
      </c>
      <c r="B1461" s="22" t="s">
        <v>1913</v>
      </c>
      <c r="C1461" s="22" t="s">
        <v>482</v>
      </c>
      <c r="D1461" s="22" t="s">
        <v>449</v>
      </c>
      <c r="E1461" s="22" t="s">
        <v>1895</v>
      </c>
    </row>
    <row r="1462" spans="1:5" x14ac:dyDescent="0.25">
      <c r="A1462" s="35">
        <v>46008.916733738428</v>
      </c>
      <c r="B1462" s="22" t="s">
        <v>1914</v>
      </c>
      <c r="C1462" s="22" t="s">
        <v>482</v>
      </c>
      <c r="D1462" s="22" t="s">
        <v>449</v>
      </c>
      <c r="E1462" s="22" t="s">
        <v>1895</v>
      </c>
    </row>
    <row r="1463" spans="1:5" x14ac:dyDescent="0.25">
      <c r="A1463" s="35">
        <v>46008.916736643514</v>
      </c>
      <c r="B1463" s="22" t="s">
        <v>1915</v>
      </c>
      <c r="C1463" s="22" t="s">
        <v>482</v>
      </c>
      <c r="D1463" s="22" t="s">
        <v>449</v>
      </c>
      <c r="E1463" s="22" t="s">
        <v>1895</v>
      </c>
    </row>
    <row r="1464" spans="1:5" x14ac:dyDescent="0.25">
      <c r="A1464" s="35">
        <v>46008.916739560183</v>
      </c>
      <c r="B1464" s="22" t="s">
        <v>1916</v>
      </c>
      <c r="C1464" s="22" t="s">
        <v>482</v>
      </c>
      <c r="D1464" s="22" t="s">
        <v>449</v>
      </c>
      <c r="E1464" s="22" t="s">
        <v>1895</v>
      </c>
    </row>
    <row r="1465" spans="1:5" x14ac:dyDescent="0.25">
      <c r="A1465" s="35">
        <v>46008.916742534726</v>
      </c>
      <c r="B1465" s="22" t="s">
        <v>1917</v>
      </c>
      <c r="C1465" s="22" t="s">
        <v>482</v>
      </c>
      <c r="D1465" s="22" t="s">
        <v>449</v>
      </c>
      <c r="E1465" s="22" t="s">
        <v>1895</v>
      </c>
    </row>
    <row r="1466" spans="1:5" x14ac:dyDescent="0.25">
      <c r="A1466" s="35">
        <v>46008.916745405091</v>
      </c>
      <c r="B1466" s="22" t="s">
        <v>1918</v>
      </c>
      <c r="C1466" s="22" t="s">
        <v>482</v>
      </c>
      <c r="D1466" s="22" t="s">
        <v>449</v>
      </c>
      <c r="E1466" s="22" t="s">
        <v>1895</v>
      </c>
    </row>
    <row r="1467" spans="1:5" x14ac:dyDescent="0.25">
      <c r="A1467" s="35">
        <v>46008.916750914352</v>
      </c>
      <c r="B1467" s="22" t="s">
        <v>1919</v>
      </c>
      <c r="C1467" s="22" t="s">
        <v>482</v>
      </c>
      <c r="D1467" s="22" t="s">
        <v>449</v>
      </c>
      <c r="E1467" s="22" t="s">
        <v>1895</v>
      </c>
    </row>
    <row r="1468" spans="1:5" x14ac:dyDescent="0.25">
      <c r="A1468" s="35">
        <v>46008.916761550921</v>
      </c>
      <c r="B1468" s="22" t="s">
        <v>1920</v>
      </c>
      <c r="C1468" s="22" t="s">
        <v>482</v>
      </c>
      <c r="D1468" s="22" t="s">
        <v>449</v>
      </c>
      <c r="E1468" s="22" t="s">
        <v>1895</v>
      </c>
    </row>
    <row r="1469" spans="1:5" x14ac:dyDescent="0.25">
      <c r="A1469" s="35">
        <v>46008.916764606482</v>
      </c>
      <c r="B1469" s="22" t="s">
        <v>1921</v>
      </c>
      <c r="C1469" s="22" t="s">
        <v>482</v>
      </c>
      <c r="D1469" s="22" t="s">
        <v>449</v>
      </c>
      <c r="E1469" s="22" t="s">
        <v>1895</v>
      </c>
    </row>
    <row r="1470" spans="1:5" x14ac:dyDescent="0.25">
      <c r="A1470" s="35">
        <v>46008.916767627314</v>
      </c>
      <c r="B1470" s="22" t="s">
        <v>1922</v>
      </c>
      <c r="C1470" s="22" t="s">
        <v>482</v>
      </c>
      <c r="D1470" s="22" t="s">
        <v>449</v>
      </c>
      <c r="E1470" s="22" t="s">
        <v>1895</v>
      </c>
    </row>
    <row r="1471" spans="1:5" x14ac:dyDescent="0.25">
      <c r="A1471" s="35">
        <v>46008.917443854167</v>
      </c>
      <c r="B1471" s="22" t="s">
        <v>1923</v>
      </c>
      <c r="C1471" s="22" t="s">
        <v>482</v>
      </c>
      <c r="D1471" s="22" t="s">
        <v>451</v>
      </c>
      <c r="E1471" s="22" t="s">
        <v>1895</v>
      </c>
    </row>
    <row r="1472" spans="1:5" x14ac:dyDescent="0.25">
      <c r="A1472" s="35">
        <v>46008.917446099542</v>
      </c>
      <c r="B1472" s="22" t="s">
        <v>1924</v>
      </c>
      <c r="C1472" s="22" t="s">
        <v>482</v>
      </c>
      <c r="D1472" s="22" t="s">
        <v>451</v>
      </c>
      <c r="E1472" s="22" t="s">
        <v>1895</v>
      </c>
    </row>
    <row r="1473" spans="1:5" x14ac:dyDescent="0.25">
      <c r="A1473" s="35">
        <v>46008.917448217588</v>
      </c>
      <c r="B1473" s="22" t="s">
        <v>1925</v>
      </c>
      <c r="C1473" s="22" t="s">
        <v>482</v>
      </c>
      <c r="D1473" s="22" t="s">
        <v>451</v>
      </c>
      <c r="E1473" s="22" t="s">
        <v>1895</v>
      </c>
    </row>
    <row r="1474" spans="1:5" x14ac:dyDescent="0.25">
      <c r="A1474" s="35">
        <v>46008.917450474539</v>
      </c>
      <c r="B1474" s="22" t="s">
        <v>1926</v>
      </c>
      <c r="C1474" s="22" t="s">
        <v>482</v>
      </c>
      <c r="D1474" s="22" t="s">
        <v>451</v>
      </c>
      <c r="E1474" s="22" t="s">
        <v>1895</v>
      </c>
    </row>
    <row r="1475" spans="1:5" x14ac:dyDescent="0.25">
      <c r="A1475" s="35">
        <v>46008.917985277774</v>
      </c>
      <c r="B1475" s="22" t="s">
        <v>1927</v>
      </c>
      <c r="C1475" s="22" t="s">
        <v>482</v>
      </c>
      <c r="D1475" s="22" t="s">
        <v>471</v>
      </c>
      <c r="E1475" s="22" t="s">
        <v>1895</v>
      </c>
    </row>
    <row r="1476" spans="1:5" x14ac:dyDescent="0.25">
      <c r="A1476" s="35">
        <v>46008.91798820602</v>
      </c>
      <c r="B1476" s="22" t="s">
        <v>1928</v>
      </c>
      <c r="C1476" s="22" t="s">
        <v>482</v>
      </c>
      <c r="D1476" s="22" t="s">
        <v>471</v>
      </c>
      <c r="E1476" s="22" t="s">
        <v>1895</v>
      </c>
    </row>
    <row r="1477" spans="1:5" x14ac:dyDescent="0.25">
      <c r="A1477" s="35">
        <v>46008.917991099537</v>
      </c>
      <c r="B1477" s="22" t="s">
        <v>1929</v>
      </c>
      <c r="C1477" s="22" t="s">
        <v>482</v>
      </c>
      <c r="D1477" s="22" t="s">
        <v>471</v>
      </c>
      <c r="E1477" s="22" t="s">
        <v>1895</v>
      </c>
    </row>
    <row r="1478" spans="1:5" x14ac:dyDescent="0.25">
      <c r="A1478" s="35">
        <v>46008.918403275464</v>
      </c>
      <c r="B1478" s="22" t="s">
        <v>1930</v>
      </c>
      <c r="C1478" s="22" t="s">
        <v>482</v>
      </c>
      <c r="D1478" s="22" t="s">
        <v>468</v>
      </c>
      <c r="E1478" s="22" t="s">
        <v>1895</v>
      </c>
    </row>
    <row r="1479" spans="1:5" x14ac:dyDescent="0.25">
      <c r="A1479" s="35">
        <v>46008.918405416669</v>
      </c>
      <c r="B1479" s="22" t="s">
        <v>1931</v>
      </c>
      <c r="C1479" s="22" t="s">
        <v>482</v>
      </c>
      <c r="D1479" s="22" t="s">
        <v>468</v>
      </c>
      <c r="E1479" s="22" t="s">
        <v>1895</v>
      </c>
    </row>
    <row r="1480" spans="1:5" x14ac:dyDescent="0.25">
      <c r="A1480" s="35">
        <v>46008.918407465273</v>
      </c>
      <c r="B1480" s="22" t="s">
        <v>1932</v>
      </c>
      <c r="C1480" s="22" t="s">
        <v>482</v>
      </c>
      <c r="D1480" s="22" t="s">
        <v>468</v>
      </c>
      <c r="E1480" s="22" t="s">
        <v>1895</v>
      </c>
    </row>
    <row r="1481" spans="1:5" x14ac:dyDescent="0.25">
      <c r="A1481" s="35">
        <v>46008.918409398146</v>
      </c>
      <c r="B1481" s="22" t="s">
        <v>1933</v>
      </c>
      <c r="C1481" s="22" t="s">
        <v>482</v>
      </c>
      <c r="D1481" s="22" t="s">
        <v>468</v>
      </c>
      <c r="E1481" s="22" t="s">
        <v>1895</v>
      </c>
    </row>
    <row r="1482" spans="1:5" x14ac:dyDescent="0.25">
      <c r="A1482" s="35">
        <v>46008.918420092596</v>
      </c>
      <c r="B1482" s="22" t="s">
        <v>1934</v>
      </c>
      <c r="C1482" s="22" t="s">
        <v>482</v>
      </c>
      <c r="D1482" s="22" t="s">
        <v>468</v>
      </c>
      <c r="E1482" s="22" t="s">
        <v>1895</v>
      </c>
    </row>
    <row r="1483" spans="1:5" x14ac:dyDescent="0.25">
      <c r="A1483" s="35">
        <v>46008.91842209491</v>
      </c>
      <c r="B1483" s="22" t="s">
        <v>1935</v>
      </c>
      <c r="C1483" s="22" t="s">
        <v>482</v>
      </c>
      <c r="D1483" s="22" t="s">
        <v>468</v>
      </c>
      <c r="E1483" s="22" t="s">
        <v>1895</v>
      </c>
    </row>
    <row r="1484" spans="1:5" x14ac:dyDescent="0.25">
      <c r="A1484" s="35">
        <v>46008.918434641208</v>
      </c>
      <c r="B1484" s="22" t="s">
        <v>1936</v>
      </c>
      <c r="C1484" s="22" t="s">
        <v>482</v>
      </c>
      <c r="D1484" s="22" t="s">
        <v>468</v>
      </c>
      <c r="E1484" s="22" t="s">
        <v>1895</v>
      </c>
    </row>
    <row r="1485" spans="1:5" x14ac:dyDescent="0.25">
      <c r="A1485" s="35">
        <v>46008.918436608801</v>
      </c>
      <c r="B1485" s="22" t="s">
        <v>1937</v>
      </c>
      <c r="C1485" s="22" t="s">
        <v>482</v>
      </c>
      <c r="D1485" s="22" t="s">
        <v>468</v>
      </c>
      <c r="E1485" s="22" t="s">
        <v>1895</v>
      </c>
    </row>
    <row r="1486" spans="1:5" x14ac:dyDescent="0.25">
      <c r="A1486" s="35">
        <v>46008.918438622684</v>
      </c>
      <c r="B1486" s="22" t="s">
        <v>1938</v>
      </c>
      <c r="C1486" s="22" t="s">
        <v>482</v>
      </c>
      <c r="D1486" s="22" t="s">
        <v>468</v>
      </c>
      <c r="E1486" s="22" t="s">
        <v>1895</v>
      </c>
    </row>
    <row r="1487" spans="1:5" x14ac:dyDescent="0.25">
      <c r="A1487" s="35">
        <v>46008.918440706024</v>
      </c>
      <c r="B1487" s="22" t="s">
        <v>1939</v>
      </c>
      <c r="C1487" s="22" t="s">
        <v>482</v>
      </c>
      <c r="D1487" s="22" t="s">
        <v>468</v>
      </c>
      <c r="E1487" s="22" t="s">
        <v>1895</v>
      </c>
    </row>
    <row r="1488" spans="1:5" x14ac:dyDescent="0.25">
      <c r="A1488" s="35">
        <v>46008.918456481479</v>
      </c>
      <c r="B1488" s="22" t="s">
        <v>1940</v>
      </c>
      <c r="C1488" s="22" t="s">
        <v>482</v>
      </c>
      <c r="D1488" s="22" t="s">
        <v>468</v>
      </c>
      <c r="E1488" s="22" t="s">
        <v>1895</v>
      </c>
    </row>
    <row r="1489" spans="1:5" x14ac:dyDescent="0.25">
      <c r="A1489" s="35">
        <v>46008.918748483797</v>
      </c>
      <c r="B1489" s="22" t="s">
        <v>1941</v>
      </c>
      <c r="C1489" s="22" t="s">
        <v>482</v>
      </c>
      <c r="D1489" s="22" t="s">
        <v>468</v>
      </c>
      <c r="E1489" s="22" t="s">
        <v>1895</v>
      </c>
    </row>
    <row r="1490" spans="1:5" x14ac:dyDescent="0.25">
      <c r="A1490" s="35">
        <v>46008.91875084491</v>
      </c>
      <c r="B1490" s="22" t="s">
        <v>1942</v>
      </c>
      <c r="C1490" s="22" t="s">
        <v>482</v>
      </c>
      <c r="D1490" s="22" t="s">
        <v>468</v>
      </c>
      <c r="E1490" s="22" t="s">
        <v>1895</v>
      </c>
    </row>
    <row r="1491" spans="1:5" x14ac:dyDescent="0.25">
      <c r="A1491" s="35">
        <v>46008.918753055557</v>
      </c>
      <c r="B1491" s="22" t="s">
        <v>1943</v>
      </c>
      <c r="C1491" s="22" t="s">
        <v>482</v>
      </c>
      <c r="D1491" s="22" t="s">
        <v>468</v>
      </c>
      <c r="E1491" s="22" t="s">
        <v>1895</v>
      </c>
    </row>
    <row r="1492" spans="1:5" x14ac:dyDescent="0.25">
      <c r="A1492" s="35">
        <v>46008.91895846065</v>
      </c>
      <c r="B1492" s="22" t="s">
        <v>1944</v>
      </c>
      <c r="C1492" s="22" t="s">
        <v>482</v>
      </c>
      <c r="D1492" s="22" t="s">
        <v>1894</v>
      </c>
      <c r="E1492" s="22" t="s">
        <v>1895</v>
      </c>
    </row>
    <row r="1493" spans="1:5" x14ac:dyDescent="0.25">
      <c r="A1493" s="35">
        <v>46008.918959918985</v>
      </c>
      <c r="B1493" s="22" t="s">
        <v>1945</v>
      </c>
      <c r="C1493" s="22" t="s">
        <v>482</v>
      </c>
      <c r="D1493" s="22" t="s">
        <v>1894</v>
      </c>
      <c r="E1493" s="22" t="s">
        <v>1895</v>
      </c>
    </row>
    <row r="1494" spans="1:5" x14ac:dyDescent="0.25">
      <c r="A1494" s="35">
        <v>46008.918961365736</v>
      </c>
      <c r="B1494" s="22" t="s">
        <v>1946</v>
      </c>
      <c r="C1494" s="22" t="s">
        <v>482</v>
      </c>
      <c r="D1494" s="22" t="s">
        <v>1894</v>
      </c>
      <c r="E1494" s="22" t="s">
        <v>1895</v>
      </c>
    </row>
    <row r="1495" spans="1:5" x14ac:dyDescent="0.25">
      <c r="A1495" s="35">
        <v>46008.920641481483</v>
      </c>
      <c r="B1495" s="22" t="s">
        <v>1947</v>
      </c>
      <c r="C1495" s="22" t="s">
        <v>489</v>
      </c>
      <c r="D1495" s="22" t="s">
        <v>492</v>
      </c>
      <c r="E1495" s="22" t="s">
        <v>1895</v>
      </c>
    </row>
    <row r="1496" spans="1:5" x14ac:dyDescent="0.25">
      <c r="A1496" s="35">
        <v>46008.920644537036</v>
      </c>
      <c r="B1496" s="22" t="s">
        <v>1948</v>
      </c>
      <c r="C1496" s="22" t="s">
        <v>489</v>
      </c>
      <c r="D1496" s="22" t="s">
        <v>492</v>
      </c>
      <c r="E1496" s="22" t="s">
        <v>1895</v>
      </c>
    </row>
    <row r="1497" spans="1:5" x14ac:dyDescent="0.25">
      <c r="A1497" s="35">
        <v>46008.920647465275</v>
      </c>
      <c r="B1497" s="22" t="s">
        <v>1949</v>
      </c>
      <c r="C1497" s="22" t="s">
        <v>489</v>
      </c>
      <c r="D1497" s="22" t="s">
        <v>492</v>
      </c>
      <c r="E1497" s="22" t="s">
        <v>1895</v>
      </c>
    </row>
    <row r="1498" spans="1:5" x14ac:dyDescent="0.25">
      <c r="A1498" s="35">
        <v>46008.92065054398</v>
      </c>
      <c r="B1498" s="22" t="s">
        <v>1950</v>
      </c>
      <c r="C1498" s="22" t="s">
        <v>489</v>
      </c>
      <c r="D1498" s="22" t="s">
        <v>492</v>
      </c>
      <c r="E1498" s="22" t="s">
        <v>1895</v>
      </c>
    </row>
    <row r="1499" spans="1:5" x14ac:dyDescent="0.25">
      <c r="A1499" s="35">
        <v>46008.920653831017</v>
      </c>
      <c r="B1499" s="22" t="s">
        <v>1951</v>
      </c>
      <c r="C1499" s="22" t="s">
        <v>489</v>
      </c>
      <c r="D1499" s="22" t="s">
        <v>492</v>
      </c>
      <c r="E1499" s="22" t="s">
        <v>1895</v>
      </c>
    </row>
    <row r="1500" spans="1:5" x14ac:dyDescent="0.25">
      <c r="A1500" s="35">
        <v>46008.920656655093</v>
      </c>
      <c r="B1500" s="22" t="s">
        <v>1952</v>
      </c>
      <c r="C1500" s="22" t="s">
        <v>489</v>
      </c>
      <c r="D1500" s="22" t="s">
        <v>492</v>
      </c>
      <c r="E1500" s="22" t="s">
        <v>1895</v>
      </c>
    </row>
    <row r="1501" spans="1:5" x14ac:dyDescent="0.25">
      <c r="A1501" s="35">
        <v>46008.920669872685</v>
      </c>
      <c r="B1501" s="22" t="s">
        <v>1953</v>
      </c>
      <c r="C1501" s="22" t="s">
        <v>489</v>
      </c>
      <c r="D1501" s="22" t="s">
        <v>492</v>
      </c>
      <c r="E1501" s="22" t="s">
        <v>1895</v>
      </c>
    </row>
    <row r="1502" spans="1:5" x14ac:dyDescent="0.25">
      <c r="A1502" s="35">
        <v>46008.920672754626</v>
      </c>
      <c r="B1502" s="22" t="s">
        <v>1954</v>
      </c>
      <c r="C1502" s="22" t="s">
        <v>489</v>
      </c>
      <c r="D1502" s="22" t="s">
        <v>492</v>
      </c>
      <c r="E1502" s="22" t="s">
        <v>1895</v>
      </c>
    </row>
    <row r="1503" spans="1:5" x14ac:dyDescent="0.25">
      <c r="A1503" s="35">
        <v>46008.920675949077</v>
      </c>
      <c r="B1503" s="22" t="s">
        <v>1955</v>
      </c>
      <c r="C1503" s="22" t="s">
        <v>489</v>
      </c>
      <c r="D1503" s="22" t="s">
        <v>492</v>
      </c>
      <c r="E1503" s="22" t="s">
        <v>1895</v>
      </c>
    </row>
    <row r="1504" spans="1:5" x14ac:dyDescent="0.25">
      <c r="A1504" s="35">
        <v>46008.920678877315</v>
      </c>
      <c r="B1504" s="22" t="s">
        <v>1956</v>
      </c>
      <c r="C1504" s="22" t="s">
        <v>489</v>
      </c>
      <c r="D1504" s="22" t="s">
        <v>492</v>
      </c>
      <c r="E1504" s="22" t="s">
        <v>1895</v>
      </c>
    </row>
    <row r="1505" spans="1:5" x14ac:dyDescent="0.25">
      <c r="A1505" s="35">
        <v>46008.920681805554</v>
      </c>
      <c r="B1505" s="22" t="s">
        <v>1957</v>
      </c>
      <c r="C1505" s="22" t="s">
        <v>489</v>
      </c>
      <c r="D1505" s="22" t="s">
        <v>492</v>
      </c>
      <c r="E1505" s="22" t="s">
        <v>1895</v>
      </c>
    </row>
    <row r="1506" spans="1:5" x14ac:dyDescent="0.25">
      <c r="A1506" s="35">
        <v>46008.920686180558</v>
      </c>
      <c r="B1506" s="22" t="s">
        <v>1958</v>
      </c>
      <c r="C1506" s="22" t="s">
        <v>489</v>
      </c>
      <c r="D1506" s="22" t="s">
        <v>492</v>
      </c>
      <c r="E1506" s="22" t="s">
        <v>1895</v>
      </c>
    </row>
    <row r="1507" spans="1:5" x14ac:dyDescent="0.25">
      <c r="A1507" s="35">
        <v>46008.920693726854</v>
      </c>
      <c r="B1507" s="22" t="s">
        <v>1959</v>
      </c>
      <c r="C1507" s="22" t="s">
        <v>489</v>
      </c>
      <c r="D1507" s="22" t="s">
        <v>492</v>
      </c>
      <c r="E1507" s="22" t="s">
        <v>1895</v>
      </c>
    </row>
    <row r="1508" spans="1:5" x14ac:dyDescent="0.25">
      <c r="A1508" s="35">
        <v>46008.920696770831</v>
      </c>
      <c r="B1508" s="22" t="s">
        <v>1960</v>
      </c>
      <c r="C1508" s="22" t="s">
        <v>489</v>
      </c>
      <c r="D1508" s="22" t="s">
        <v>492</v>
      </c>
      <c r="E1508" s="22" t="s">
        <v>1895</v>
      </c>
    </row>
    <row r="1509" spans="1:5" x14ac:dyDescent="0.25">
      <c r="A1509" s="35">
        <v>46008.920699722221</v>
      </c>
      <c r="B1509" s="22" t="s">
        <v>1961</v>
      </c>
      <c r="C1509" s="22" t="s">
        <v>489</v>
      </c>
      <c r="D1509" s="22" t="s">
        <v>492</v>
      </c>
      <c r="E1509" s="22" t="s">
        <v>1895</v>
      </c>
    </row>
    <row r="1510" spans="1:5" x14ac:dyDescent="0.25">
      <c r="A1510" s="35">
        <v>46008.920702708332</v>
      </c>
      <c r="B1510" s="22" t="s">
        <v>1962</v>
      </c>
      <c r="C1510" s="22" t="s">
        <v>489</v>
      </c>
      <c r="D1510" s="22" t="s">
        <v>492</v>
      </c>
      <c r="E1510" s="22" t="s">
        <v>1895</v>
      </c>
    </row>
    <row r="1511" spans="1:5" x14ac:dyDescent="0.25">
      <c r="A1511" s="35">
        <v>46008.920705671291</v>
      </c>
      <c r="B1511" s="22" t="s">
        <v>1963</v>
      </c>
      <c r="C1511" s="22" t="s">
        <v>489</v>
      </c>
      <c r="D1511" s="22" t="s">
        <v>492</v>
      </c>
      <c r="E1511" s="22" t="s">
        <v>1895</v>
      </c>
    </row>
    <row r="1512" spans="1:5" x14ac:dyDescent="0.25">
      <c r="A1512" s="35">
        <v>46008.920709004626</v>
      </c>
      <c r="B1512" s="22" t="s">
        <v>1964</v>
      </c>
      <c r="C1512" s="22" t="s">
        <v>489</v>
      </c>
      <c r="D1512" s="22" t="s">
        <v>492</v>
      </c>
      <c r="E1512" s="22" t="s">
        <v>1895</v>
      </c>
    </row>
    <row r="1513" spans="1:5" x14ac:dyDescent="0.25">
      <c r="A1513" s="35">
        <v>46008.920712569445</v>
      </c>
      <c r="B1513" s="22" t="s">
        <v>1965</v>
      </c>
      <c r="C1513" s="22" t="s">
        <v>489</v>
      </c>
      <c r="D1513" s="22" t="s">
        <v>492</v>
      </c>
      <c r="E1513" s="22" t="s">
        <v>1895</v>
      </c>
    </row>
    <row r="1514" spans="1:5" x14ac:dyDescent="0.25">
      <c r="A1514" s="35">
        <v>46008.920715428241</v>
      </c>
      <c r="B1514" s="22" t="s">
        <v>1966</v>
      </c>
      <c r="C1514" s="22" t="s">
        <v>489</v>
      </c>
      <c r="D1514" s="22" t="s">
        <v>492</v>
      </c>
      <c r="E1514" s="22" t="s">
        <v>1895</v>
      </c>
    </row>
    <row r="1515" spans="1:5" x14ac:dyDescent="0.25">
      <c r="A1515" s="35">
        <v>46008.920718402776</v>
      </c>
      <c r="B1515" s="22" t="s">
        <v>1967</v>
      </c>
      <c r="C1515" s="22" t="s">
        <v>489</v>
      </c>
      <c r="D1515" s="22" t="s">
        <v>492</v>
      </c>
      <c r="E1515" s="22" t="s">
        <v>1895</v>
      </c>
    </row>
    <row r="1516" spans="1:5" x14ac:dyDescent="0.25">
      <c r="A1516" s="35">
        <v>46008.920721516202</v>
      </c>
      <c r="B1516" s="22" t="s">
        <v>1968</v>
      </c>
      <c r="C1516" s="22" t="s">
        <v>489</v>
      </c>
      <c r="D1516" s="22" t="s">
        <v>492</v>
      </c>
      <c r="E1516" s="22" t="s">
        <v>1895</v>
      </c>
    </row>
    <row r="1517" spans="1:5" x14ac:dyDescent="0.25">
      <c r="A1517" s="35">
        <v>46008.920725162039</v>
      </c>
      <c r="B1517" s="22" t="s">
        <v>1969</v>
      </c>
      <c r="C1517" s="22" t="s">
        <v>489</v>
      </c>
      <c r="D1517" s="22" t="s">
        <v>492</v>
      </c>
      <c r="E1517" s="22" t="s">
        <v>1895</v>
      </c>
    </row>
    <row r="1518" spans="1:5" x14ac:dyDescent="0.25">
      <c r="A1518" s="35">
        <v>46008.920728344907</v>
      </c>
      <c r="B1518" s="22" t="s">
        <v>1970</v>
      </c>
      <c r="C1518" s="22" t="s">
        <v>489</v>
      </c>
      <c r="D1518" s="22" t="s">
        <v>492</v>
      </c>
      <c r="E1518" s="22" t="s">
        <v>1895</v>
      </c>
    </row>
    <row r="1519" spans="1:5" x14ac:dyDescent="0.25">
      <c r="A1519" s="35">
        <v>46008.920735462962</v>
      </c>
      <c r="B1519" s="22" t="s">
        <v>1971</v>
      </c>
      <c r="C1519" s="22" t="s">
        <v>489</v>
      </c>
      <c r="D1519" s="22" t="s">
        <v>492</v>
      </c>
      <c r="E1519" s="22" t="s">
        <v>1895</v>
      </c>
    </row>
    <row r="1520" spans="1:5" x14ac:dyDescent="0.25">
      <c r="A1520" s="35">
        <v>46008.920738518515</v>
      </c>
      <c r="B1520" s="22" t="s">
        <v>1972</v>
      </c>
      <c r="C1520" s="22" t="s">
        <v>489</v>
      </c>
      <c r="D1520" s="22" t="s">
        <v>492</v>
      </c>
      <c r="E1520" s="22" t="s">
        <v>1895</v>
      </c>
    </row>
    <row r="1521" spans="1:5" x14ac:dyDescent="0.25">
      <c r="A1521" s="35">
        <v>46008.920752650462</v>
      </c>
      <c r="B1521" s="22" t="s">
        <v>1973</v>
      </c>
      <c r="C1521" s="22" t="s">
        <v>489</v>
      </c>
      <c r="D1521" s="22" t="s">
        <v>492</v>
      </c>
      <c r="E1521" s="22" t="s">
        <v>1895</v>
      </c>
    </row>
    <row r="1522" spans="1:5" x14ac:dyDescent="0.25">
      <c r="A1522" s="35">
        <v>46008.920755659725</v>
      </c>
      <c r="B1522" s="22" t="s">
        <v>1974</v>
      </c>
      <c r="C1522" s="22" t="s">
        <v>489</v>
      </c>
      <c r="D1522" s="22" t="s">
        <v>492</v>
      </c>
      <c r="E1522" s="22" t="s">
        <v>1895</v>
      </c>
    </row>
    <row r="1523" spans="1:5" x14ac:dyDescent="0.25">
      <c r="A1523" s="35">
        <v>46008.920758668981</v>
      </c>
      <c r="B1523" s="22" t="s">
        <v>1975</v>
      </c>
      <c r="C1523" s="22" t="s">
        <v>489</v>
      </c>
      <c r="D1523" s="22" t="s">
        <v>492</v>
      </c>
      <c r="E1523" s="22" t="s">
        <v>1895</v>
      </c>
    </row>
    <row r="1524" spans="1:5" x14ac:dyDescent="0.25">
      <c r="A1524" s="35">
        <v>46008.920761458328</v>
      </c>
      <c r="B1524" s="22" t="s">
        <v>1976</v>
      </c>
      <c r="C1524" s="22" t="s">
        <v>489</v>
      </c>
      <c r="D1524" s="22" t="s">
        <v>492</v>
      </c>
      <c r="E1524" s="22" t="s">
        <v>1895</v>
      </c>
    </row>
    <row r="1525" spans="1:5" x14ac:dyDescent="0.25">
      <c r="A1525" s="35">
        <v>46008.920765902774</v>
      </c>
      <c r="B1525" s="22" t="s">
        <v>1977</v>
      </c>
      <c r="C1525" s="22" t="s">
        <v>489</v>
      </c>
      <c r="D1525" s="22" t="s">
        <v>492</v>
      </c>
      <c r="E1525" s="22" t="s">
        <v>1895</v>
      </c>
    </row>
    <row r="1526" spans="1:5" x14ac:dyDescent="0.25">
      <c r="A1526" s="35">
        <v>46008.920768865741</v>
      </c>
      <c r="B1526" s="22" t="s">
        <v>1978</v>
      </c>
      <c r="C1526" s="22" t="s">
        <v>489</v>
      </c>
      <c r="D1526" s="22" t="s">
        <v>492</v>
      </c>
      <c r="E1526" s="22" t="s">
        <v>1895</v>
      </c>
    </row>
    <row r="1527" spans="1:5" x14ac:dyDescent="0.25">
      <c r="A1527" s="35">
        <v>46008.920771956022</v>
      </c>
      <c r="B1527" s="22" t="s">
        <v>1979</v>
      </c>
      <c r="C1527" s="22" t="s">
        <v>489</v>
      </c>
      <c r="D1527" s="22" t="s">
        <v>492</v>
      </c>
      <c r="E1527" s="22" t="s">
        <v>1895</v>
      </c>
    </row>
    <row r="1528" spans="1:5" x14ac:dyDescent="0.25">
      <c r="A1528" s="35">
        <v>46008.920774826387</v>
      </c>
      <c r="B1528" s="22" t="s">
        <v>1980</v>
      </c>
      <c r="C1528" s="22" t="s">
        <v>489</v>
      </c>
      <c r="D1528" s="22" t="s">
        <v>492</v>
      </c>
      <c r="E1528" s="22" t="s">
        <v>1895</v>
      </c>
    </row>
    <row r="1529" spans="1:5" x14ac:dyDescent="0.25">
      <c r="A1529" s="35">
        <v>46008.920777789353</v>
      </c>
      <c r="B1529" s="22" t="s">
        <v>1981</v>
      </c>
      <c r="C1529" s="22" t="s">
        <v>489</v>
      </c>
      <c r="D1529" s="22" t="s">
        <v>492</v>
      </c>
      <c r="E1529" s="22" t="s">
        <v>1895</v>
      </c>
    </row>
    <row r="1530" spans="1:5" x14ac:dyDescent="0.25">
      <c r="A1530" s="35">
        <v>46008.920780682871</v>
      </c>
      <c r="B1530" s="22" t="s">
        <v>1982</v>
      </c>
      <c r="C1530" s="22" t="s">
        <v>489</v>
      </c>
      <c r="D1530" s="22" t="s">
        <v>492</v>
      </c>
      <c r="E1530" s="22" t="s">
        <v>1895</v>
      </c>
    </row>
    <row r="1531" spans="1:5" x14ac:dyDescent="0.25">
      <c r="A1531" s="35">
        <v>46008.920783761576</v>
      </c>
      <c r="B1531" s="22" t="s">
        <v>1983</v>
      </c>
      <c r="C1531" s="22" t="s">
        <v>489</v>
      </c>
      <c r="D1531" s="22" t="s">
        <v>492</v>
      </c>
      <c r="E1531" s="22" t="s">
        <v>1895</v>
      </c>
    </row>
    <row r="1532" spans="1:5" x14ac:dyDescent="0.25">
      <c r="A1532" s="35">
        <v>46008.920797569444</v>
      </c>
      <c r="B1532" s="22" t="s">
        <v>1984</v>
      </c>
      <c r="C1532" s="22" t="s">
        <v>489</v>
      </c>
      <c r="D1532" s="22" t="s">
        <v>492</v>
      </c>
      <c r="E1532" s="22" t="s">
        <v>1895</v>
      </c>
    </row>
    <row r="1533" spans="1:5" x14ac:dyDescent="0.25">
      <c r="A1533" s="35">
        <v>46008.920800312495</v>
      </c>
      <c r="B1533" s="22" t="s">
        <v>1985</v>
      </c>
      <c r="C1533" s="22" t="s">
        <v>489</v>
      </c>
      <c r="D1533" s="22" t="s">
        <v>492</v>
      </c>
      <c r="E1533" s="22" t="s">
        <v>1895</v>
      </c>
    </row>
    <row r="1534" spans="1:5" x14ac:dyDescent="0.25">
      <c r="A1534" s="35">
        <v>46008.920803113426</v>
      </c>
      <c r="B1534" s="22" t="s">
        <v>1986</v>
      </c>
      <c r="C1534" s="22" t="s">
        <v>489</v>
      </c>
      <c r="D1534" s="22" t="s">
        <v>492</v>
      </c>
      <c r="E1534" s="22" t="s">
        <v>1895</v>
      </c>
    </row>
    <row r="1535" spans="1:5" x14ac:dyDescent="0.25">
      <c r="A1535" s="35">
        <v>46008.920805902773</v>
      </c>
      <c r="B1535" s="22" t="s">
        <v>1987</v>
      </c>
      <c r="C1535" s="22" t="s">
        <v>489</v>
      </c>
      <c r="D1535" s="22" t="s">
        <v>492</v>
      </c>
      <c r="E1535" s="22" t="s">
        <v>1895</v>
      </c>
    </row>
    <row r="1536" spans="1:5" x14ac:dyDescent="0.25">
      <c r="A1536" s="35">
        <v>46008.920808622686</v>
      </c>
      <c r="B1536" s="22" t="s">
        <v>1988</v>
      </c>
      <c r="C1536" s="22" t="s">
        <v>489</v>
      </c>
      <c r="D1536" s="22" t="s">
        <v>492</v>
      </c>
      <c r="E1536" s="22" t="s">
        <v>1895</v>
      </c>
    </row>
    <row r="1537" spans="1:5" x14ac:dyDescent="0.25">
      <c r="A1537" s="35">
        <v>46008.920811597221</v>
      </c>
      <c r="B1537" s="22" t="s">
        <v>1989</v>
      </c>
      <c r="C1537" s="22" t="s">
        <v>489</v>
      </c>
      <c r="D1537" s="22" t="s">
        <v>492</v>
      </c>
      <c r="E1537" s="22" t="s">
        <v>1895</v>
      </c>
    </row>
    <row r="1538" spans="1:5" x14ac:dyDescent="0.25">
      <c r="A1538" s="35">
        <v>46008.920814525467</v>
      </c>
      <c r="B1538" s="22" t="s">
        <v>1990</v>
      </c>
      <c r="C1538" s="22" t="s">
        <v>489</v>
      </c>
      <c r="D1538" s="22" t="s">
        <v>492</v>
      </c>
      <c r="E1538" s="22" t="s">
        <v>1895</v>
      </c>
    </row>
    <row r="1539" spans="1:5" x14ac:dyDescent="0.25">
      <c r="A1539" s="35">
        <v>46008.920817430553</v>
      </c>
      <c r="B1539" s="22" t="s">
        <v>1991</v>
      </c>
      <c r="C1539" s="22" t="s">
        <v>489</v>
      </c>
      <c r="D1539" s="22" t="s">
        <v>492</v>
      </c>
      <c r="E1539" s="22" t="s">
        <v>1895</v>
      </c>
    </row>
    <row r="1540" spans="1:5" x14ac:dyDescent="0.25">
      <c r="A1540" s="35">
        <v>46008.920820335647</v>
      </c>
      <c r="B1540" s="22" t="s">
        <v>1992</v>
      </c>
      <c r="C1540" s="22" t="s">
        <v>489</v>
      </c>
      <c r="D1540" s="22" t="s">
        <v>492</v>
      </c>
      <c r="E1540" s="22" t="s">
        <v>1895</v>
      </c>
    </row>
    <row r="1541" spans="1:5" x14ac:dyDescent="0.25">
      <c r="A1541" s="35">
        <v>46008.920823148146</v>
      </c>
      <c r="B1541" s="22" t="s">
        <v>1993</v>
      </c>
      <c r="C1541" s="22" t="s">
        <v>489</v>
      </c>
      <c r="D1541" s="22" t="s">
        <v>492</v>
      </c>
      <c r="E1541" s="22" t="s">
        <v>1895</v>
      </c>
    </row>
    <row r="1542" spans="1:5" x14ac:dyDescent="0.25">
      <c r="A1542" s="35">
        <v>46008.920825925925</v>
      </c>
      <c r="B1542" s="22" t="s">
        <v>1994</v>
      </c>
      <c r="C1542" s="22" t="s">
        <v>489</v>
      </c>
      <c r="D1542" s="22" t="s">
        <v>492</v>
      </c>
      <c r="E1542" s="22" t="s">
        <v>1895</v>
      </c>
    </row>
    <row r="1543" spans="1:5" x14ac:dyDescent="0.25">
      <c r="A1543" s="35">
        <v>46008.920828888891</v>
      </c>
      <c r="B1543" s="22" t="s">
        <v>1995</v>
      </c>
      <c r="C1543" s="22" t="s">
        <v>489</v>
      </c>
      <c r="D1543" s="22" t="s">
        <v>492</v>
      </c>
      <c r="E1543" s="22" t="s">
        <v>1895</v>
      </c>
    </row>
    <row r="1544" spans="1:5" x14ac:dyDescent="0.25">
      <c r="A1544" s="35">
        <v>46008.920831747688</v>
      </c>
      <c r="B1544" s="22" t="s">
        <v>1996</v>
      </c>
      <c r="C1544" s="22" t="s">
        <v>489</v>
      </c>
      <c r="D1544" s="22" t="s">
        <v>492</v>
      </c>
      <c r="E1544" s="22" t="s">
        <v>1895</v>
      </c>
    </row>
    <row r="1545" spans="1:5" x14ac:dyDescent="0.25">
      <c r="A1545" s="35">
        <v>46008.920834745368</v>
      </c>
      <c r="B1545" s="22" t="s">
        <v>1997</v>
      </c>
      <c r="C1545" s="22" t="s">
        <v>489</v>
      </c>
      <c r="D1545" s="22" t="s">
        <v>492</v>
      </c>
      <c r="E1545" s="22" t="s">
        <v>1895</v>
      </c>
    </row>
    <row r="1546" spans="1:5" x14ac:dyDescent="0.25">
      <c r="A1546" s="35">
        <v>46008.920837754631</v>
      </c>
      <c r="B1546" s="22" t="s">
        <v>1998</v>
      </c>
      <c r="C1546" s="22" t="s">
        <v>489</v>
      </c>
      <c r="D1546" s="22" t="s">
        <v>492</v>
      </c>
      <c r="E1546" s="22" t="s">
        <v>1895</v>
      </c>
    </row>
    <row r="1547" spans="1:5" x14ac:dyDescent="0.25">
      <c r="A1547" s="35">
        <v>46008.921561203708</v>
      </c>
      <c r="B1547" s="22" t="s">
        <v>1966</v>
      </c>
      <c r="C1547" s="22" t="s">
        <v>492</v>
      </c>
      <c r="D1547" s="22" t="s">
        <v>450</v>
      </c>
      <c r="E1547" s="22" t="s">
        <v>1999</v>
      </c>
    </row>
    <row r="1548" spans="1:5" x14ac:dyDescent="0.25">
      <c r="A1548" s="35">
        <v>46008.922231562501</v>
      </c>
      <c r="B1548" s="22" t="s">
        <v>1947</v>
      </c>
      <c r="C1548" s="22" t="s">
        <v>492</v>
      </c>
      <c r="D1548" s="22" t="s">
        <v>450</v>
      </c>
      <c r="E1548" s="22" t="s">
        <v>1895</v>
      </c>
    </row>
    <row r="1549" spans="1:5" x14ac:dyDescent="0.25">
      <c r="A1549" s="35">
        <v>46008.922233240737</v>
      </c>
      <c r="B1549" s="22" t="s">
        <v>1948</v>
      </c>
      <c r="C1549" s="22" t="s">
        <v>492</v>
      </c>
      <c r="D1549" s="22" t="s">
        <v>450</v>
      </c>
      <c r="E1549" s="22" t="s">
        <v>1895</v>
      </c>
    </row>
    <row r="1550" spans="1:5" x14ac:dyDescent="0.25">
      <c r="A1550" s="35">
        <v>46008.922235115737</v>
      </c>
      <c r="B1550" s="22" t="s">
        <v>1949</v>
      </c>
      <c r="C1550" s="22" t="s">
        <v>492</v>
      </c>
      <c r="D1550" s="22" t="s">
        <v>450</v>
      </c>
      <c r="E1550" s="22" t="s">
        <v>1895</v>
      </c>
    </row>
    <row r="1551" spans="1:5" x14ac:dyDescent="0.25">
      <c r="A1551" s="35">
        <v>46008.922236886574</v>
      </c>
      <c r="B1551" s="22" t="s">
        <v>1950</v>
      </c>
      <c r="C1551" s="22" t="s">
        <v>492</v>
      </c>
      <c r="D1551" s="22" t="s">
        <v>450</v>
      </c>
      <c r="E1551" s="22" t="s">
        <v>1895</v>
      </c>
    </row>
    <row r="1552" spans="1:5" x14ac:dyDescent="0.25">
      <c r="A1552" s="35">
        <v>46008.922238460647</v>
      </c>
      <c r="B1552" s="22" t="s">
        <v>1951</v>
      </c>
      <c r="C1552" s="22" t="s">
        <v>492</v>
      </c>
      <c r="D1552" s="22" t="s">
        <v>450</v>
      </c>
      <c r="E1552" s="22" t="s">
        <v>1895</v>
      </c>
    </row>
    <row r="1553" spans="1:5" x14ac:dyDescent="0.25">
      <c r="A1553" s="35">
        <v>46008.922240254629</v>
      </c>
      <c r="B1553" s="22" t="s">
        <v>1952</v>
      </c>
      <c r="C1553" s="22" t="s">
        <v>492</v>
      </c>
      <c r="D1553" s="22" t="s">
        <v>450</v>
      </c>
      <c r="E1553" s="22" t="s">
        <v>1895</v>
      </c>
    </row>
    <row r="1554" spans="1:5" x14ac:dyDescent="0.25">
      <c r="A1554" s="35">
        <v>46008.922248622686</v>
      </c>
      <c r="B1554" s="22" t="s">
        <v>1953</v>
      </c>
      <c r="C1554" s="22" t="s">
        <v>492</v>
      </c>
      <c r="D1554" s="22" t="s">
        <v>450</v>
      </c>
      <c r="E1554" s="22" t="s">
        <v>1895</v>
      </c>
    </row>
    <row r="1555" spans="1:5" x14ac:dyDescent="0.25">
      <c r="A1555" s="35">
        <v>46008.922250208328</v>
      </c>
      <c r="B1555" s="22" t="s">
        <v>1954</v>
      </c>
      <c r="C1555" s="22" t="s">
        <v>492</v>
      </c>
      <c r="D1555" s="22" t="s">
        <v>450</v>
      </c>
      <c r="E1555" s="22" t="s">
        <v>1895</v>
      </c>
    </row>
    <row r="1556" spans="1:5" x14ac:dyDescent="0.25">
      <c r="A1556" s="35">
        <v>46008.92225181713</v>
      </c>
      <c r="B1556" s="22" t="s">
        <v>1955</v>
      </c>
      <c r="C1556" s="22" t="s">
        <v>492</v>
      </c>
      <c r="D1556" s="22" t="s">
        <v>450</v>
      </c>
      <c r="E1556" s="22" t="s">
        <v>1895</v>
      </c>
    </row>
    <row r="1557" spans="1:5" x14ac:dyDescent="0.25">
      <c r="A1557" s="35">
        <v>46008.922253402779</v>
      </c>
      <c r="B1557" s="22" t="s">
        <v>1956</v>
      </c>
      <c r="C1557" s="22" t="s">
        <v>492</v>
      </c>
      <c r="D1557" s="22" t="s">
        <v>450</v>
      </c>
      <c r="E1557" s="22" t="s">
        <v>1895</v>
      </c>
    </row>
    <row r="1558" spans="1:5" x14ac:dyDescent="0.25">
      <c r="A1558" s="35">
        <v>46008.922254999998</v>
      </c>
      <c r="B1558" s="22" t="s">
        <v>1957</v>
      </c>
      <c r="C1558" s="22" t="s">
        <v>492</v>
      </c>
      <c r="D1558" s="22" t="s">
        <v>450</v>
      </c>
      <c r="E1558" s="22" t="s">
        <v>1895</v>
      </c>
    </row>
    <row r="1559" spans="1:5" x14ac:dyDescent="0.25">
      <c r="A1559" s="35">
        <v>46008.922257060185</v>
      </c>
      <c r="B1559" s="22" t="s">
        <v>1958</v>
      </c>
      <c r="C1559" s="22" t="s">
        <v>492</v>
      </c>
      <c r="D1559" s="22" t="s">
        <v>450</v>
      </c>
      <c r="E1559" s="22" t="s">
        <v>1895</v>
      </c>
    </row>
    <row r="1560" spans="1:5" x14ac:dyDescent="0.25">
      <c r="A1560" s="35">
        <v>46008.922258784718</v>
      </c>
      <c r="B1560" s="22" t="s">
        <v>1959</v>
      </c>
      <c r="C1560" s="22" t="s">
        <v>492</v>
      </c>
      <c r="D1560" s="22" t="s">
        <v>450</v>
      </c>
      <c r="E1560" s="22" t="s">
        <v>1895</v>
      </c>
    </row>
    <row r="1561" spans="1:5" x14ac:dyDescent="0.25">
      <c r="A1561" s="35">
        <v>46008.922260462961</v>
      </c>
      <c r="B1561" s="22" t="s">
        <v>1960</v>
      </c>
      <c r="C1561" s="22" t="s">
        <v>492</v>
      </c>
      <c r="D1561" s="22" t="s">
        <v>450</v>
      </c>
      <c r="E1561" s="22" t="s">
        <v>1895</v>
      </c>
    </row>
    <row r="1562" spans="1:5" x14ac:dyDescent="0.25">
      <c r="A1562" s="35">
        <v>46008.922262233798</v>
      </c>
      <c r="B1562" s="22" t="s">
        <v>1961</v>
      </c>
      <c r="C1562" s="22" t="s">
        <v>492</v>
      </c>
      <c r="D1562" s="22" t="s">
        <v>450</v>
      </c>
      <c r="E1562" s="22" t="s">
        <v>1895</v>
      </c>
    </row>
    <row r="1563" spans="1:5" x14ac:dyDescent="0.25">
      <c r="A1563" s="35">
        <v>46008.922264687499</v>
      </c>
      <c r="B1563" s="22" t="s">
        <v>1962</v>
      </c>
      <c r="C1563" s="22" t="s">
        <v>492</v>
      </c>
      <c r="D1563" s="22" t="s">
        <v>450</v>
      </c>
      <c r="E1563" s="22" t="s">
        <v>1895</v>
      </c>
    </row>
    <row r="1564" spans="1:5" x14ac:dyDescent="0.25">
      <c r="A1564" s="35">
        <v>46008.922266319445</v>
      </c>
      <c r="B1564" s="22" t="s">
        <v>1963</v>
      </c>
      <c r="C1564" s="22" t="s">
        <v>492</v>
      </c>
      <c r="D1564" s="22" t="s">
        <v>450</v>
      </c>
      <c r="E1564" s="22" t="s">
        <v>1895</v>
      </c>
    </row>
    <row r="1565" spans="1:5" x14ac:dyDescent="0.25">
      <c r="A1565" s="35">
        <v>46008.922268113427</v>
      </c>
      <c r="B1565" s="22" t="s">
        <v>1964</v>
      </c>
      <c r="C1565" s="22" t="s">
        <v>492</v>
      </c>
      <c r="D1565" s="22" t="s">
        <v>450</v>
      </c>
      <c r="E1565" s="22" t="s">
        <v>1895</v>
      </c>
    </row>
    <row r="1566" spans="1:5" x14ac:dyDescent="0.25">
      <c r="A1566" s="35">
        <v>46008.922269571762</v>
      </c>
      <c r="B1566" s="22" t="s">
        <v>1980</v>
      </c>
      <c r="C1566" s="22" t="s">
        <v>492</v>
      </c>
      <c r="D1566" s="22" t="s">
        <v>450</v>
      </c>
      <c r="E1566" s="22" t="s">
        <v>1895</v>
      </c>
    </row>
    <row r="1567" spans="1:5" x14ac:dyDescent="0.25">
      <c r="A1567" s="35">
        <v>46008.922284479166</v>
      </c>
      <c r="B1567" s="22" t="s">
        <v>1981</v>
      </c>
      <c r="C1567" s="22" t="s">
        <v>492</v>
      </c>
      <c r="D1567" s="22" t="s">
        <v>450</v>
      </c>
      <c r="E1567" s="22" t="s">
        <v>1895</v>
      </c>
    </row>
    <row r="1568" spans="1:5" x14ac:dyDescent="0.25">
      <c r="A1568" s="35">
        <v>46008.922286354165</v>
      </c>
      <c r="B1568" s="22" t="s">
        <v>1982</v>
      </c>
      <c r="C1568" s="22" t="s">
        <v>492</v>
      </c>
      <c r="D1568" s="22" t="s">
        <v>450</v>
      </c>
      <c r="E1568" s="22" t="s">
        <v>1895</v>
      </c>
    </row>
    <row r="1569" spans="1:5" x14ac:dyDescent="0.25">
      <c r="A1569" s="35">
        <v>46008.922288148147</v>
      </c>
      <c r="B1569" s="22" t="s">
        <v>1983</v>
      </c>
      <c r="C1569" s="22" t="s">
        <v>492</v>
      </c>
      <c r="D1569" s="22" t="s">
        <v>450</v>
      </c>
      <c r="E1569" s="22" t="s">
        <v>1895</v>
      </c>
    </row>
    <row r="1570" spans="1:5" x14ac:dyDescent="0.25">
      <c r="A1570" s="35">
        <v>46008.922289745373</v>
      </c>
      <c r="B1570" s="22" t="s">
        <v>1984</v>
      </c>
      <c r="C1570" s="22" t="s">
        <v>492</v>
      </c>
      <c r="D1570" s="22" t="s">
        <v>450</v>
      </c>
      <c r="E1570" s="22" t="s">
        <v>1895</v>
      </c>
    </row>
    <row r="1571" spans="1:5" x14ac:dyDescent="0.25">
      <c r="A1571" s="35">
        <v>46008.922291631941</v>
      </c>
      <c r="B1571" s="22" t="s">
        <v>1985</v>
      </c>
      <c r="C1571" s="22" t="s">
        <v>492</v>
      </c>
      <c r="D1571" s="22" t="s">
        <v>450</v>
      </c>
      <c r="E1571" s="22" t="s">
        <v>1895</v>
      </c>
    </row>
    <row r="1572" spans="1:5" x14ac:dyDescent="0.25">
      <c r="A1572" s="35">
        <v>46008.922293333337</v>
      </c>
      <c r="B1572" s="22" t="s">
        <v>1986</v>
      </c>
      <c r="C1572" s="22" t="s">
        <v>492</v>
      </c>
      <c r="D1572" s="22" t="s">
        <v>450</v>
      </c>
      <c r="E1572" s="22" t="s">
        <v>1895</v>
      </c>
    </row>
    <row r="1573" spans="1:5" x14ac:dyDescent="0.25">
      <c r="A1573" s="35">
        <v>46008.922294884258</v>
      </c>
      <c r="B1573" s="22" t="s">
        <v>1987</v>
      </c>
      <c r="C1573" s="22" t="s">
        <v>492</v>
      </c>
      <c r="D1573" s="22" t="s">
        <v>450</v>
      </c>
      <c r="E1573" s="22" t="s">
        <v>1895</v>
      </c>
    </row>
    <row r="1574" spans="1:5" x14ac:dyDescent="0.25">
      <c r="A1574" s="35">
        <v>46008.922296400458</v>
      </c>
      <c r="B1574" s="22" t="s">
        <v>1988</v>
      </c>
      <c r="C1574" s="22" t="s">
        <v>492</v>
      </c>
      <c r="D1574" s="22" t="s">
        <v>450</v>
      </c>
      <c r="E1574" s="22" t="s">
        <v>1895</v>
      </c>
    </row>
    <row r="1575" spans="1:5" x14ac:dyDescent="0.25">
      <c r="A1575" s="35">
        <v>46008.922313113428</v>
      </c>
      <c r="B1575" s="22" t="s">
        <v>1989</v>
      </c>
      <c r="C1575" s="22" t="s">
        <v>492</v>
      </c>
      <c r="D1575" s="22" t="s">
        <v>450</v>
      </c>
      <c r="E1575" s="22" t="s">
        <v>1895</v>
      </c>
    </row>
    <row r="1576" spans="1:5" x14ac:dyDescent="0.25">
      <c r="A1576" s="35">
        <v>46008.922315891206</v>
      </c>
      <c r="B1576" s="22" t="s">
        <v>1990</v>
      </c>
      <c r="C1576" s="22" t="s">
        <v>492</v>
      </c>
      <c r="D1576" s="22" t="s">
        <v>450</v>
      </c>
      <c r="E1576" s="22" t="s">
        <v>1895</v>
      </c>
    </row>
    <row r="1577" spans="1:5" x14ac:dyDescent="0.25">
      <c r="A1577" s="35">
        <v>46008.92231756945</v>
      </c>
      <c r="B1577" s="22" t="s">
        <v>1991</v>
      </c>
      <c r="C1577" s="22" t="s">
        <v>492</v>
      </c>
      <c r="D1577" s="22" t="s">
        <v>450</v>
      </c>
      <c r="E1577" s="22" t="s">
        <v>1895</v>
      </c>
    </row>
    <row r="1578" spans="1:5" x14ac:dyDescent="0.25">
      <c r="A1578" s="35">
        <v>46008.922322141203</v>
      </c>
      <c r="B1578" s="22" t="s">
        <v>1992</v>
      </c>
      <c r="C1578" s="22" t="s">
        <v>492</v>
      </c>
      <c r="D1578" s="22" t="s">
        <v>450</v>
      </c>
      <c r="E1578" s="22" t="s">
        <v>1895</v>
      </c>
    </row>
    <row r="1579" spans="1:5" x14ac:dyDescent="0.25">
      <c r="A1579" s="35">
        <v>46008.922323761573</v>
      </c>
      <c r="B1579" s="22" t="s">
        <v>1993</v>
      </c>
      <c r="C1579" s="22" t="s">
        <v>492</v>
      </c>
      <c r="D1579" s="22" t="s">
        <v>450</v>
      </c>
      <c r="E1579" s="22" t="s">
        <v>1895</v>
      </c>
    </row>
    <row r="1580" spans="1:5" x14ac:dyDescent="0.25">
      <c r="A1580" s="35">
        <v>46008.922325648149</v>
      </c>
      <c r="B1580" s="22" t="s">
        <v>1994</v>
      </c>
      <c r="C1580" s="22" t="s">
        <v>492</v>
      </c>
      <c r="D1580" s="22" t="s">
        <v>450</v>
      </c>
      <c r="E1580" s="22" t="s">
        <v>1895</v>
      </c>
    </row>
    <row r="1581" spans="1:5" x14ac:dyDescent="0.25">
      <c r="A1581" s="35">
        <v>46008.922327395834</v>
      </c>
      <c r="B1581" s="22" t="s">
        <v>1995</v>
      </c>
      <c r="C1581" s="22" t="s">
        <v>492</v>
      </c>
      <c r="D1581" s="22" t="s">
        <v>450</v>
      </c>
      <c r="E1581" s="22" t="s">
        <v>1895</v>
      </c>
    </row>
    <row r="1582" spans="1:5" x14ac:dyDescent="0.25">
      <c r="A1582" s="35">
        <v>46008.922328865738</v>
      </c>
      <c r="B1582" s="22" t="s">
        <v>1996</v>
      </c>
      <c r="C1582" s="22" t="s">
        <v>492</v>
      </c>
      <c r="D1582" s="22" t="s">
        <v>450</v>
      </c>
      <c r="E1582" s="22" t="s">
        <v>1895</v>
      </c>
    </row>
    <row r="1583" spans="1:5" x14ac:dyDescent="0.25">
      <c r="A1583" s="35">
        <v>46008.922330428242</v>
      </c>
      <c r="B1583" s="22" t="s">
        <v>1997</v>
      </c>
      <c r="C1583" s="22" t="s">
        <v>492</v>
      </c>
      <c r="D1583" s="22" t="s">
        <v>450</v>
      </c>
      <c r="E1583" s="22" t="s">
        <v>1895</v>
      </c>
    </row>
    <row r="1584" spans="1:5" x14ac:dyDescent="0.25">
      <c r="A1584" s="35">
        <v>46008.92234075231</v>
      </c>
      <c r="B1584" s="22" t="s">
        <v>1998</v>
      </c>
      <c r="C1584" s="22" t="s">
        <v>492</v>
      </c>
      <c r="D1584" s="22" t="s">
        <v>450</v>
      </c>
      <c r="E1584" s="22" t="s">
        <v>1895</v>
      </c>
    </row>
    <row r="1585" spans="1:5" x14ac:dyDescent="0.25">
      <c r="A1585" s="35">
        <v>46008.924927083332</v>
      </c>
      <c r="B1585" s="22" t="s">
        <v>1980</v>
      </c>
      <c r="C1585" s="22" t="s">
        <v>450</v>
      </c>
      <c r="D1585" s="22" t="s">
        <v>492</v>
      </c>
      <c r="E1585" s="22" t="s">
        <v>1895</v>
      </c>
    </row>
    <row r="1586" spans="1:5" x14ac:dyDescent="0.25">
      <c r="A1586" s="35">
        <v>46008.924928819441</v>
      </c>
      <c r="B1586" s="22" t="s">
        <v>1981</v>
      </c>
      <c r="C1586" s="22" t="s">
        <v>450</v>
      </c>
      <c r="D1586" s="22" t="s">
        <v>492</v>
      </c>
      <c r="E1586" s="22" t="s">
        <v>1895</v>
      </c>
    </row>
    <row r="1587" spans="1:5" x14ac:dyDescent="0.25">
      <c r="A1587" s="35">
        <v>46008.924930462963</v>
      </c>
      <c r="B1587" s="22" t="s">
        <v>1982</v>
      </c>
      <c r="C1587" s="22" t="s">
        <v>450</v>
      </c>
      <c r="D1587" s="22" t="s">
        <v>492</v>
      </c>
      <c r="E1587" s="22" t="s">
        <v>1895</v>
      </c>
    </row>
    <row r="1588" spans="1:5" x14ac:dyDescent="0.25">
      <c r="A1588" s="35">
        <v>46008.924932048612</v>
      </c>
      <c r="B1588" s="22" t="s">
        <v>1983</v>
      </c>
      <c r="C1588" s="22" t="s">
        <v>450</v>
      </c>
      <c r="D1588" s="22" t="s">
        <v>492</v>
      </c>
      <c r="E1588" s="22" t="s">
        <v>1895</v>
      </c>
    </row>
    <row r="1589" spans="1:5" x14ac:dyDescent="0.25">
      <c r="A1589" s="35">
        <v>46008.92494409722</v>
      </c>
      <c r="B1589" s="22" t="s">
        <v>1984</v>
      </c>
      <c r="C1589" s="22" t="s">
        <v>450</v>
      </c>
      <c r="D1589" s="22" t="s">
        <v>492</v>
      </c>
      <c r="E1589" s="22" t="s">
        <v>1895</v>
      </c>
    </row>
    <row r="1590" spans="1:5" x14ac:dyDescent="0.25">
      <c r="A1590" s="35">
        <v>46008.92494582176</v>
      </c>
      <c r="B1590" s="22" t="s">
        <v>1985</v>
      </c>
      <c r="C1590" s="22" t="s">
        <v>450</v>
      </c>
      <c r="D1590" s="22" t="s">
        <v>492</v>
      </c>
      <c r="E1590" s="22" t="s">
        <v>1895</v>
      </c>
    </row>
    <row r="1591" spans="1:5" x14ac:dyDescent="0.25">
      <c r="A1591" s="35">
        <v>46008.924947754625</v>
      </c>
      <c r="B1591" s="22" t="s">
        <v>1986</v>
      </c>
      <c r="C1591" s="22" t="s">
        <v>450</v>
      </c>
      <c r="D1591" s="22" t="s">
        <v>492</v>
      </c>
      <c r="E1591" s="22" t="s">
        <v>1895</v>
      </c>
    </row>
    <row r="1592" spans="1:5" x14ac:dyDescent="0.25">
      <c r="A1592" s="35">
        <v>46008.924949340275</v>
      </c>
      <c r="B1592" s="22" t="s">
        <v>1987</v>
      </c>
      <c r="C1592" s="22" t="s">
        <v>450</v>
      </c>
      <c r="D1592" s="22" t="s">
        <v>492</v>
      </c>
      <c r="E1592" s="22" t="s">
        <v>1895</v>
      </c>
    </row>
    <row r="1593" spans="1:5" x14ac:dyDescent="0.25">
      <c r="A1593" s="35">
        <v>46008.924950972221</v>
      </c>
      <c r="B1593" s="22" t="s">
        <v>1988</v>
      </c>
      <c r="C1593" s="22" t="s">
        <v>450</v>
      </c>
      <c r="D1593" s="22" t="s">
        <v>492</v>
      </c>
      <c r="E1593" s="22" t="s">
        <v>1895</v>
      </c>
    </row>
    <row r="1594" spans="1:5" x14ac:dyDescent="0.25">
      <c r="A1594" s="35">
        <v>46008.924953668982</v>
      </c>
      <c r="B1594" s="22" t="s">
        <v>1989</v>
      </c>
      <c r="C1594" s="22" t="s">
        <v>450</v>
      </c>
      <c r="D1594" s="22" t="s">
        <v>492</v>
      </c>
      <c r="E1594" s="22" t="s">
        <v>1895</v>
      </c>
    </row>
    <row r="1595" spans="1:5" x14ac:dyDescent="0.25">
      <c r="A1595" s="35">
        <v>46008.924970902779</v>
      </c>
      <c r="B1595" s="22" t="s">
        <v>1990</v>
      </c>
      <c r="C1595" s="22" t="s">
        <v>450</v>
      </c>
      <c r="D1595" s="22" t="s">
        <v>492</v>
      </c>
      <c r="E1595" s="22" t="s">
        <v>1895</v>
      </c>
    </row>
    <row r="1596" spans="1:5" x14ac:dyDescent="0.25">
      <c r="A1596" s="35">
        <v>46008.924972395835</v>
      </c>
      <c r="B1596" s="22" t="s">
        <v>1991</v>
      </c>
      <c r="C1596" s="22" t="s">
        <v>450</v>
      </c>
      <c r="D1596" s="22" t="s">
        <v>492</v>
      </c>
      <c r="E1596" s="22" t="s">
        <v>1895</v>
      </c>
    </row>
    <row r="1597" spans="1:5" x14ac:dyDescent="0.25">
      <c r="A1597" s="35">
        <v>46008.924974050926</v>
      </c>
      <c r="B1597" s="22" t="s">
        <v>1992</v>
      </c>
      <c r="C1597" s="22" t="s">
        <v>450</v>
      </c>
      <c r="D1597" s="22" t="s">
        <v>492</v>
      </c>
      <c r="E1597" s="22" t="s">
        <v>1895</v>
      </c>
    </row>
    <row r="1598" spans="1:5" x14ac:dyDescent="0.25">
      <c r="A1598" s="35">
        <v>46008.924975601854</v>
      </c>
      <c r="B1598" s="22" t="s">
        <v>1993</v>
      </c>
      <c r="C1598" s="22" t="s">
        <v>450</v>
      </c>
      <c r="D1598" s="22" t="s">
        <v>492</v>
      </c>
      <c r="E1598" s="22" t="s">
        <v>1895</v>
      </c>
    </row>
    <row r="1599" spans="1:5" x14ac:dyDescent="0.25">
      <c r="A1599" s="35">
        <v>46008.92497709491</v>
      </c>
      <c r="B1599" s="22" t="s">
        <v>1994</v>
      </c>
      <c r="C1599" s="22" t="s">
        <v>450</v>
      </c>
      <c r="D1599" s="22" t="s">
        <v>492</v>
      </c>
      <c r="E1599" s="22" t="s">
        <v>1895</v>
      </c>
    </row>
    <row r="1600" spans="1:5" x14ac:dyDescent="0.25">
      <c r="A1600" s="35">
        <v>46008.92497871528</v>
      </c>
      <c r="B1600" s="22" t="s">
        <v>1995</v>
      </c>
      <c r="C1600" s="22" t="s">
        <v>450</v>
      </c>
      <c r="D1600" s="22" t="s">
        <v>492</v>
      </c>
      <c r="E1600" s="22" t="s">
        <v>1895</v>
      </c>
    </row>
    <row r="1601" spans="1:5" x14ac:dyDescent="0.25">
      <c r="A1601" s="35">
        <v>46008.924980555559</v>
      </c>
      <c r="B1601" s="22" t="s">
        <v>1996</v>
      </c>
      <c r="C1601" s="22" t="s">
        <v>450</v>
      </c>
      <c r="D1601" s="22" t="s">
        <v>492</v>
      </c>
      <c r="E1601" s="22" t="s">
        <v>1895</v>
      </c>
    </row>
    <row r="1602" spans="1:5" x14ac:dyDescent="0.25">
      <c r="A1602" s="35">
        <v>46008.924982974539</v>
      </c>
      <c r="B1602" s="22" t="s">
        <v>1997</v>
      </c>
      <c r="C1602" s="22" t="s">
        <v>450</v>
      </c>
      <c r="D1602" s="22" t="s">
        <v>492</v>
      </c>
      <c r="E1602" s="22" t="s">
        <v>1895</v>
      </c>
    </row>
    <row r="1603" spans="1:5" x14ac:dyDescent="0.25">
      <c r="A1603" s="35">
        <v>46008.924984675927</v>
      </c>
      <c r="B1603" s="22" t="s">
        <v>1998</v>
      </c>
      <c r="C1603" s="22" t="s">
        <v>450</v>
      </c>
      <c r="D1603" s="22" t="s">
        <v>492</v>
      </c>
      <c r="E1603" s="22" t="s">
        <v>1895</v>
      </c>
    </row>
    <row r="1604" spans="1:5" x14ac:dyDescent="0.25">
      <c r="A1604" s="35">
        <v>46008.925358703702</v>
      </c>
      <c r="B1604" s="22" t="s">
        <v>1998</v>
      </c>
      <c r="C1604" s="22" t="s">
        <v>492</v>
      </c>
      <c r="D1604" s="22" t="s">
        <v>450</v>
      </c>
      <c r="E1604" s="22" t="s">
        <v>1999</v>
      </c>
    </row>
    <row r="1605" spans="1:5" x14ac:dyDescent="0.25">
      <c r="A1605" s="35">
        <v>46008.926045092594</v>
      </c>
      <c r="B1605" s="22" t="s">
        <v>1947</v>
      </c>
      <c r="C1605" s="22" t="s">
        <v>489</v>
      </c>
      <c r="D1605" s="22" t="s">
        <v>450</v>
      </c>
      <c r="E1605" s="22" t="s">
        <v>1895</v>
      </c>
    </row>
    <row r="1606" spans="1:5" x14ac:dyDescent="0.25">
      <c r="A1606" s="35">
        <v>46008.926047777779</v>
      </c>
      <c r="B1606" s="22" t="s">
        <v>1948</v>
      </c>
      <c r="C1606" s="22" t="s">
        <v>489</v>
      </c>
      <c r="D1606" s="22" t="s">
        <v>450</v>
      </c>
      <c r="E1606" s="22" t="s">
        <v>1895</v>
      </c>
    </row>
    <row r="1607" spans="1:5" x14ac:dyDescent="0.25">
      <c r="A1607" s="35">
        <v>46008.926049699076</v>
      </c>
      <c r="B1607" s="22" t="s">
        <v>1949</v>
      </c>
      <c r="C1607" s="22" t="s">
        <v>489</v>
      </c>
      <c r="D1607" s="22" t="s">
        <v>450</v>
      </c>
      <c r="E1607" s="22" t="s">
        <v>1895</v>
      </c>
    </row>
    <row r="1608" spans="1:5" x14ac:dyDescent="0.25">
      <c r="A1608" s="35">
        <v>46008.926051539354</v>
      </c>
      <c r="B1608" s="22" t="s">
        <v>1950</v>
      </c>
      <c r="C1608" s="22" t="s">
        <v>489</v>
      </c>
      <c r="D1608" s="22" t="s">
        <v>450</v>
      </c>
      <c r="E1608" s="22" t="s">
        <v>1895</v>
      </c>
    </row>
    <row r="1609" spans="1:5" x14ac:dyDescent="0.25">
      <c r="A1609" s="35">
        <v>46008.926053599542</v>
      </c>
      <c r="B1609" s="22" t="s">
        <v>1951</v>
      </c>
      <c r="C1609" s="22" t="s">
        <v>489</v>
      </c>
      <c r="D1609" s="22" t="s">
        <v>450</v>
      </c>
      <c r="E1609" s="22" t="s">
        <v>1895</v>
      </c>
    </row>
    <row r="1610" spans="1:5" x14ac:dyDescent="0.25">
      <c r="A1610" s="35">
        <v>46008.92605642361</v>
      </c>
      <c r="B1610" s="22" t="s">
        <v>2000</v>
      </c>
      <c r="C1610" s="22" t="s">
        <v>489</v>
      </c>
      <c r="D1610" s="22" t="s">
        <v>450</v>
      </c>
      <c r="E1610" s="22" t="s">
        <v>1895</v>
      </c>
    </row>
    <row r="1611" spans="1:5" x14ac:dyDescent="0.25">
      <c r="A1611" s="35">
        <v>46008.926058483798</v>
      </c>
      <c r="B1611" s="22" t="s">
        <v>1952</v>
      </c>
      <c r="C1611" s="22" t="s">
        <v>489</v>
      </c>
      <c r="D1611" s="22" t="s">
        <v>450</v>
      </c>
      <c r="E1611" s="22" t="s">
        <v>1895</v>
      </c>
    </row>
    <row r="1612" spans="1:5" x14ac:dyDescent="0.25">
      <c r="A1612" s="35">
        <v>46008.926066840279</v>
      </c>
      <c r="B1612" s="22" t="s">
        <v>1953</v>
      </c>
      <c r="C1612" s="22" t="s">
        <v>489</v>
      </c>
      <c r="D1612" s="22" t="s">
        <v>450</v>
      </c>
      <c r="E1612" s="22" t="s">
        <v>1895</v>
      </c>
    </row>
    <row r="1613" spans="1:5" x14ac:dyDescent="0.25">
      <c r="A1613" s="35">
        <v>46008.926074976851</v>
      </c>
      <c r="B1613" s="22" t="s">
        <v>1954</v>
      </c>
      <c r="C1613" s="22" t="s">
        <v>489</v>
      </c>
      <c r="D1613" s="22" t="s">
        <v>450</v>
      </c>
      <c r="E1613" s="22" t="s">
        <v>1895</v>
      </c>
    </row>
    <row r="1614" spans="1:5" x14ac:dyDescent="0.25">
      <c r="A1614" s="35">
        <v>46008.92607700231</v>
      </c>
      <c r="B1614" s="22" t="s">
        <v>1955</v>
      </c>
      <c r="C1614" s="22" t="s">
        <v>489</v>
      </c>
      <c r="D1614" s="22" t="s">
        <v>450</v>
      </c>
      <c r="E1614" s="22" t="s">
        <v>1895</v>
      </c>
    </row>
    <row r="1615" spans="1:5" x14ac:dyDescent="0.25">
      <c r="A1615" s="35">
        <v>46008.926079189812</v>
      </c>
      <c r="B1615" s="22" t="s">
        <v>1956</v>
      </c>
      <c r="C1615" s="22" t="s">
        <v>489</v>
      </c>
      <c r="D1615" s="22" t="s">
        <v>450</v>
      </c>
      <c r="E1615" s="22" t="s">
        <v>1895</v>
      </c>
    </row>
    <row r="1616" spans="1:5" x14ac:dyDescent="0.25">
      <c r="A1616" s="35">
        <v>46008.926081412035</v>
      </c>
      <c r="B1616" s="22" t="s">
        <v>1957</v>
      </c>
      <c r="C1616" s="22" t="s">
        <v>489</v>
      </c>
      <c r="D1616" s="22" t="s">
        <v>450</v>
      </c>
      <c r="E1616" s="22" t="s">
        <v>1895</v>
      </c>
    </row>
    <row r="1617" spans="1:5" x14ac:dyDescent="0.25">
      <c r="A1617" s="35">
        <v>46008.926083668979</v>
      </c>
      <c r="B1617" s="22" t="s">
        <v>1958</v>
      </c>
      <c r="C1617" s="22" t="s">
        <v>489</v>
      </c>
      <c r="D1617" s="22" t="s">
        <v>450</v>
      </c>
      <c r="E1617" s="22" t="s">
        <v>1895</v>
      </c>
    </row>
    <row r="1618" spans="1:5" x14ac:dyDescent="0.25">
      <c r="A1618" s="35">
        <v>46008.926085601852</v>
      </c>
      <c r="B1618" s="22" t="s">
        <v>1959</v>
      </c>
      <c r="C1618" s="22" t="s">
        <v>489</v>
      </c>
      <c r="D1618" s="22" t="s">
        <v>450</v>
      </c>
      <c r="E1618" s="22" t="s">
        <v>1895</v>
      </c>
    </row>
    <row r="1619" spans="1:5" x14ac:dyDescent="0.25">
      <c r="A1619" s="35">
        <v>46008.926087523148</v>
      </c>
      <c r="B1619" s="22" t="s">
        <v>1960</v>
      </c>
      <c r="C1619" s="22" t="s">
        <v>489</v>
      </c>
      <c r="D1619" s="22" t="s">
        <v>450</v>
      </c>
      <c r="E1619" s="22" t="s">
        <v>1895</v>
      </c>
    </row>
    <row r="1620" spans="1:5" x14ac:dyDescent="0.25">
      <c r="A1620" s="35">
        <v>46008.926089409724</v>
      </c>
      <c r="B1620" s="22" t="s">
        <v>1961</v>
      </c>
      <c r="C1620" s="22" t="s">
        <v>489</v>
      </c>
      <c r="D1620" s="22" t="s">
        <v>450</v>
      </c>
      <c r="E1620" s="22" t="s">
        <v>1895</v>
      </c>
    </row>
    <row r="1621" spans="1:5" x14ac:dyDescent="0.25">
      <c r="A1621" s="35">
        <v>46008.926686018516</v>
      </c>
      <c r="B1621" s="22" t="s">
        <v>1962</v>
      </c>
      <c r="C1621" s="22" t="s">
        <v>489</v>
      </c>
      <c r="D1621" s="22" t="s">
        <v>450</v>
      </c>
      <c r="E1621" s="22" t="s">
        <v>1895</v>
      </c>
    </row>
    <row r="1622" spans="1:5" x14ac:dyDescent="0.25">
      <c r="A1622" s="35">
        <v>46008.926688958338</v>
      </c>
      <c r="B1622" s="22" t="s">
        <v>1963</v>
      </c>
      <c r="C1622" s="22" t="s">
        <v>489</v>
      </c>
      <c r="D1622" s="22" t="s">
        <v>450</v>
      </c>
      <c r="E1622" s="22" t="s">
        <v>1895</v>
      </c>
    </row>
    <row r="1623" spans="1:5" x14ac:dyDescent="0.25">
      <c r="A1623" s="35">
        <v>46008.926696388888</v>
      </c>
      <c r="B1623" s="22" t="s">
        <v>1964</v>
      </c>
      <c r="C1623" s="22" t="s">
        <v>489</v>
      </c>
      <c r="D1623" s="22" t="s">
        <v>450</v>
      </c>
      <c r="E1623" s="22" t="s">
        <v>1895</v>
      </c>
    </row>
    <row r="1624" spans="1:5" x14ac:dyDescent="0.25">
      <c r="A1624" s="35">
        <v>46008.92669818287</v>
      </c>
      <c r="B1624" s="22" t="s">
        <v>2001</v>
      </c>
      <c r="C1624" s="22" t="s">
        <v>489</v>
      </c>
      <c r="D1624" s="22" t="s">
        <v>450</v>
      </c>
      <c r="E1624" s="22" t="s">
        <v>1895</v>
      </c>
    </row>
    <row r="1625" spans="1:5" x14ac:dyDescent="0.25">
      <c r="A1625" s="35">
        <v>46008.926700023148</v>
      </c>
      <c r="B1625" s="22" t="s">
        <v>2002</v>
      </c>
      <c r="C1625" s="22" t="s">
        <v>489</v>
      </c>
      <c r="D1625" s="22" t="s">
        <v>450</v>
      </c>
      <c r="E1625" s="22" t="s">
        <v>1895</v>
      </c>
    </row>
    <row r="1626" spans="1:5" x14ac:dyDescent="0.25">
      <c r="A1626" s="35">
        <v>46008.926701759265</v>
      </c>
      <c r="B1626" s="22" t="s">
        <v>2003</v>
      </c>
      <c r="C1626" s="22" t="s">
        <v>489</v>
      </c>
      <c r="D1626" s="22" t="s">
        <v>450</v>
      </c>
      <c r="E1626" s="22" t="s">
        <v>1895</v>
      </c>
    </row>
    <row r="1627" spans="1:5" x14ac:dyDescent="0.25">
      <c r="A1627" s="35">
        <v>46008.926703483798</v>
      </c>
      <c r="B1627" s="22" t="s">
        <v>2004</v>
      </c>
      <c r="C1627" s="22" t="s">
        <v>489</v>
      </c>
      <c r="D1627" s="22" t="s">
        <v>450</v>
      </c>
      <c r="E1627" s="22" t="s">
        <v>1895</v>
      </c>
    </row>
    <row r="1628" spans="1:5" x14ac:dyDescent="0.25">
      <c r="A1628" s="35">
        <v>46008.926705069447</v>
      </c>
      <c r="B1628" s="22" t="s">
        <v>2005</v>
      </c>
      <c r="C1628" s="22" t="s">
        <v>489</v>
      </c>
      <c r="D1628" s="22" t="s">
        <v>450</v>
      </c>
      <c r="E1628" s="22" t="s">
        <v>1895</v>
      </c>
    </row>
    <row r="1629" spans="1:5" x14ac:dyDescent="0.25">
      <c r="A1629" s="35">
        <v>46008.926706759259</v>
      </c>
      <c r="B1629" s="22" t="s">
        <v>2006</v>
      </c>
      <c r="C1629" s="22" t="s">
        <v>489</v>
      </c>
      <c r="D1629" s="22" t="s">
        <v>450</v>
      </c>
      <c r="E1629" s="22" t="s">
        <v>1895</v>
      </c>
    </row>
    <row r="1630" spans="1:5" x14ac:dyDescent="0.25">
      <c r="A1630" s="35">
        <v>46008.926708611107</v>
      </c>
      <c r="B1630" s="22" t="s">
        <v>2007</v>
      </c>
      <c r="C1630" s="22" t="s">
        <v>489</v>
      </c>
      <c r="D1630" s="22" t="s">
        <v>450</v>
      </c>
      <c r="E1630" s="22" t="s">
        <v>1895</v>
      </c>
    </row>
    <row r="1631" spans="1:5" x14ac:dyDescent="0.25">
      <c r="A1631" s="35">
        <v>46008.926710567132</v>
      </c>
      <c r="B1631" s="22" t="s">
        <v>2008</v>
      </c>
      <c r="C1631" s="22" t="s">
        <v>489</v>
      </c>
      <c r="D1631" s="22" t="s">
        <v>450</v>
      </c>
      <c r="E1631" s="22" t="s">
        <v>1895</v>
      </c>
    </row>
    <row r="1632" spans="1:5" x14ac:dyDescent="0.25">
      <c r="A1632" s="35">
        <v>46008.926890219911</v>
      </c>
      <c r="B1632" s="22" t="s">
        <v>2009</v>
      </c>
      <c r="C1632" s="22" t="s">
        <v>489</v>
      </c>
      <c r="D1632" s="22" t="s">
        <v>450</v>
      </c>
      <c r="E1632" s="22" t="s">
        <v>1999</v>
      </c>
    </row>
    <row r="1633" spans="1:5" x14ac:dyDescent="0.25">
      <c r="A1633" s="35">
        <v>46008.926982557867</v>
      </c>
      <c r="B1633" s="22" t="s">
        <v>2010</v>
      </c>
      <c r="C1633" s="22" t="s">
        <v>489</v>
      </c>
      <c r="D1633" s="22" t="s">
        <v>450</v>
      </c>
      <c r="E1633" s="22" t="s">
        <v>1999</v>
      </c>
    </row>
    <row r="1634" spans="1:5" x14ac:dyDescent="0.25">
      <c r="A1634" s="35">
        <v>46008.927043796299</v>
      </c>
      <c r="B1634" s="22" t="s">
        <v>2011</v>
      </c>
      <c r="C1634" s="22" t="s">
        <v>489</v>
      </c>
      <c r="D1634" s="22" t="s">
        <v>450</v>
      </c>
      <c r="E1634" s="22" t="s">
        <v>1999</v>
      </c>
    </row>
    <row r="1635" spans="1:5" x14ac:dyDescent="0.25">
      <c r="A1635" s="35">
        <v>46008.928322997686</v>
      </c>
      <c r="B1635" s="22" t="s">
        <v>2012</v>
      </c>
      <c r="C1635" s="22" t="s">
        <v>489</v>
      </c>
      <c r="D1635" s="22" t="s">
        <v>450</v>
      </c>
      <c r="E1635" s="22" t="s">
        <v>1895</v>
      </c>
    </row>
    <row r="1636" spans="1:5" x14ac:dyDescent="0.25">
      <c r="A1636" s="35">
        <v>46008.928325138884</v>
      </c>
      <c r="B1636" s="22" t="s">
        <v>2013</v>
      </c>
      <c r="C1636" s="22" t="s">
        <v>489</v>
      </c>
      <c r="D1636" s="22" t="s">
        <v>450</v>
      </c>
      <c r="E1636" s="22" t="s">
        <v>1895</v>
      </c>
    </row>
    <row r="1637" spans="1:5" x14ac:dyDescent="0.25">
      <c r="A1637" s="35">
        <v>46008.928327037036</v>
      </c>
      <c r="B1637" s="22" t="s">
        <v>2014</v>
      </c>
      <c r="C1637" s="22" t="s">
        <v>489</v>
      </c>
      <c r="D1637" s="22" t="s">
        <v>450</v>
      </c>
      <c r="E1637" s="22" t="s">
        <v>1895</v>
      </c>
    </row>
    <row r="1638" spans="1:5" x14ac:dyDescent="0.25">
      <c r="A1638" s="35">
        <v>46008.92833224537</v>
      </c>
      <c r="B1638" s="22" t="s">
        <v>2015</v>
      </c>
      <c r="C1638" s="22" t="s">
        <v>489</v>
      </c>
      <c r="D1638" s="22" t="s">
        <v>450</v>
      </c>
      <c r="E1638" s="22" t="s">
        <v>1895</v>
      </c>
    </row>
    <row r="1639" spans="1:5" x14ac:dyDescent="0.25">
      <c r="A1639" s="35">
        <v>46008.92834322917</v>
      </c>
      <c r="B1639" s="22" t="s">
        <v>2016</v>
      </c>
      <c r="C1639" s="22" t="s">
        <v>489</v>
      </c>
      <c r="D1639" s="22" t="s">
        <v>450</v>
      </c>
      <c r="E1639" s="22" t="s">
        <v>1895</v>
      </c>
    </row>
    <row r="1640" spans="1:5" x14ac:dyDescent="0.25">
      <c r="A1640" s="35">
        <v>46008.928345243054</v>
      </c>
      <c r="B1640" s="22" t="s">
        <v>2017</v>
      </c>
      <c r="C1640" s="22" t="s">
        <v>489</v>
      </c>
      <c r="D1640" s="22" t="s">
        <v>450</v>
      </c>
      <c r="E1640" s="22" t="s">
        <v>1895</v>
      </c>
    </row>
    <row r="1641" spans="1:5" x14ac:dyDescent="0.25">
      <c r="A1641" s="35">
        <v>46008.92834716435</v>
      </c>
      <c r="B1641" s="22" t="s">
        <v>2018</v>
      </c>
      <c r="C1641" s="22" t="s">
        <v>489</v>
      </c>
      <c r="D1641" s="22" t="s">
        <v>450</v>
      </c>
      <c r="E1641" s="22" t="s">
        <v>1895</v>
      </c>
    </row>
    <row r="1642" spans="1:5" x14ac:dyDescent="0.25">
      <c r="A1642" s="35">
        <v>46008.928348946763</v>
      </c>
      <c r="B1642" s="22" t="s">
        <v>2019</v>
      </c>
      <c r="C1642" s="22" t="s">
        <v>489</v>
      </c>
      <c r="D1642" s="22" t="s">
        <v>450</v>
      </c>
      <c r="E1642" s="22" t="s">
        <v>1895</v>
      </c>
    </row>
    <row r="1643" spans="1:5" x14ac:dyDescent="0.25">
      <c r="A1643" s="35">
        <v>46008.928350752314</v>
      </c>
      <c r="B1643" s="22" t="s">
        <v>2020</v>
      </c>
      <c r="C1643" s="22" t="s">
        <v>489</v>
      </c>
      <c r="D1643" s="22" t="s">
        <v>450</v>
      </c>
      <c r="E1643" s="22" t="s">
        <v>1895</v>
      </c>
    </row>
    <row r="1644" spans="1:5" x14ac:dyDescent="0.25">
      <c r="A1644" s="35">
        <v>46008.928352858798</v>
      </c>
      <c r="B1644" s="22" t="s">
        <v>2021</v>
      </c>
      <c r="C1644" s="22" t="s">
        <v>489</v>
      </c>
      <c r="D1644" s="22" t="s">
        <v>450</v>
      </c>
      <c r="E1644" s="22" t="s">
        <v>1895</v>
      </c>
    </row>
    <row r="1645" spans="1:5" x14ac:dyDescent="0.25">
      <c r="A1645" s="35">
        <v>46008.928354826392</v>
      </c>
      <c r="B1645" s="22" t="s">
        <v>2022</v>
      </c>
      <c r="C1645" s="22" t="s">
        <v>489</v>
      </c>
      <c r="D1645" s="22" t="s">
        <v>450</v>
      </c>
      <c r="E1645" s="22" t="s">
        <v>1895</v>
      </c>
    </row>
    <row r="1646" spans="1:5" x14ac:dyDescent="0.25">
      <c r="A1646" s="35">
        <v>46008.928356840275</v>
      </c>
      <c r="B1646" s="22" t="s">
        <v>2023</v>
      </c>
      <c r="C1646" s="22" t="s">
        <v>489</v>
      </c>
      <c r="D1646" s="22" t="s">
        <v>450</v>
      </c>
      <c r="E1646" s="22" t="s">
        <v>1895</v>
      </c>
    </row>
    <row r="1647" spans="1:5" x14ac:dyDescent="0.25">
      <c r="A1647" s="35">
        <v>46008.928358703706</v>
      </c>
      <c r="B1647" s="22" t="s">
        <v>2024</v>
      </c>
      <c r="C1647" s="22" t="s">
        <v>489</v>
      </c>
      <c r="D1647" s="22" t="s">
        <v>450</v>
      </c>
      <c r="E1647" s="22" t="s">
        <v>1895</v>
      </c>
    </row>
    <row r="1648" spans="1:5" x14ac:dyDescent="0.25">
      <c r="A1648" s="35">
        <v>46008.928360740741</v>
      </c>
      <c r="B1648" s="22" t="s">
        <v>2025</v>
      </c>
      <c r="C1648" s="22" t="s">
        <v>489</v>
      </c>
      <c r="D1648" s="22" t="s">
        <v>450</v>
      </c>
      <c r="E1648" s="22" t="s">
        <v>1895</v>
      </c>
    </row>
    <row r="1649" spans="1:5" x14ac:dyDescent="0.25">
      <c r="A1649" s="35">
        <v>46008.928362557868</v>
      </c>
      <c r="B1649" s="22" t="s">
        <v>2026</v>
      </c>
      <c r="C1649" s="22" t="s">
        <v>489</v>
      </c>
      <c r="D1649" s="22" t="s">
        <v>450</v>
      </c>
      <c r="E1649" s="22" t="s">
        <v>1895</v>
      </c>
    </row>
    <row r="1650" spans="1:5" x14ac:dyDescent="0.25">
      <c r="A1650" s="35">
        <v>46008.928364548614</v>
      </c>
      <c r="B1650" s="22" t="s">
        <v>2027</v>
      </c>
      <c r="C1650" s="22" t="s">
        <v>489</v>
      </c>
      <c r="D1650" s="22" t="s">
        <v>450</v>
      </c>
      <c r="E1650" s="22" t="s">
        <v>1895</v>
      </c>
    </row>
    <row r="1651" spans="1:5" x14ac:dyDescent="0.25">
      <c r="A1651" s="35">
        <v>46008.928366597218</v>
      </c>
      <c r="B1651" s="22" t="s">
        <v>2028</v>
      </c>
      <c r="C1651" s="22" t="s">
        <v>489</v>
      </c>
      <c r="D1651" s="22" t="s">
        <v>450</v>
      </c>
      <c r="E1651" s="22" t="s">
        <v>1895</v>
      </c>
    </row>
    <row r="1652" spans="1:5" x14ac:dyDescent="0.25">
      <c r="A1652" s="35">
        <v>46008.928368472218</v>
      </c>
      <c r="B1652" s="22" t="s">
        <v>2029</v>
      </c>
      <c r="C1652" s="22" t="s">
        <v>489</v>
      </c>
      <c r="D1652" s="22" t="s">
        <v>450</v>
      </c>
      <c r="E1652" s="22" t="s">
        <v>1895</v>
      </c>
    </row>
    <row r="1653" spans="1:5" x14ac:dyDescent="0.25">
      <c r="A1653" s="35">
        <v>46008.928370497684</v>
      </c>
      <c r="B1653" s="22" t="s">
        <v>2030</v>
      </c>
      <c r="C1653" s="22" t="s">
        <v>489</v>
      </c>
      <c r="D1653" s="22" t="s">
        <v>450</v>
      </c>
      <c r="E1653" s="22" t="s">
        <v>1895</v>
      </c>
    </row>
    <row r="1654" spans="1:5" x14ac:dyDescent="0.25">
      <c r="A1654" s="35">
        <v>46008.928372407405</v>
      </c>
      <c r="B1654" s="22" t="s">
        <v>2031</v>
      </c>
      <c r="C1654" s="22" t="s">
        <v>489</v>
      </c>
      <c r="D1654" s="22" t="s">
        <v>450</v>
      </c>
      <c r="E1654" s="22" t="s">
        <v>1895</v>
      </c>
    </row>
    <row r="1655" spans="1:5" x14ac:dyDescent="0.25">
      <c r="A1655" s="35">
        <v>46008.928374282405</v>
      </c>
      <c r="B1655" s="22" t="s">
        <v>2032</v>
      </c>
      <c r="C1655" s="22" t="s">
        <v>489</v>
      </c>
      <c r="D1655" s="22" t="s">
        <v>450</v>
      </c>
      <c r="E1655" s="22" t="s">
        <v>1895</v>
      </c>
    </row>
    <row r="1656" spans="1:5" x14ac:dyDescent="0.25">
      <c r="A1656" s="35">
        <v>46008.928376238429</v>
      </c>
      <c r="B1656" s="22" t="s">
        <v>2033</v>
      </c>
      <c r="C1656" s="22" t="s">
        <v>489</v>
      </c>
      <c r="D1656" s="22" t="s">
        <v>450</v>
      </c>
      <c r="E1656" s="22" t="s">
        <v>1895</v>
      </c>
    </row>
    <row r="1657" spans="1:5" x14ac:dyDescent="0.25">
      <c r="A1657" s="35">
        <v>46008.928378483797</v>
      </c>
      <c r="B1657" s="22" t="s">
        <v>2034</v>
      </c>
      <c r="C1657" s="22" t="s">
        <v>489</v>
      </c>
      <c r="D1657" s="22" t="s">
        <v>450</v>
      </c>
      <c r="E1657" s="22" t="s">
        <v>1895</v>
      </c>
    </row>
    <row r="1658" spans="1:5" x14ac:dyDescent="0.25">
      <c r="A1658" s="35">
        <v>46008.928380625002</v>
      </c>
      <c r="B1658" s="22" t="s">
        <v>2035</v>
      </c>
      <c r="C1658" s="22" t="s">
        <v>489</v>
      </c>
      <c r="D1658" s="22" t="s">
        <v>450</v>
      </c>
      <c r="E1658" s="22" t="s">
        <v>1895</v>
      </c>
    </row>
    <row r="1659" spans="1:5" x14ac:dyDescent="0.25">
      <c r="A1659" s="35">
        <v>46008.928387905093</v>
      </c>
      <c r="B1659" s="22" t="s">
        <v>2036</v>
      </c>
      <c r="C1659" s="22" t="s">
        <v>489</v>
      </c>
      <c r="D1659" s="22" t="s">
        <v>450</v>
      </c>
      <c r="E1659" s="22" t="s">
        <v>1895</v>
      </c>
    </row>
    <row r="1660" spans="1:5" x14ac:dyDescent="0.25">
      <c r="A1660" s="35">
        <v>46008.928389976849</v>
      </c>
      <c r="B1660" s="22" t="s">
        <v>2037</v>
      </c>
      <c r="C1660" s="22" t="s">
        <v>489</v>
      </c>
      <c r="D1660" s="22" t="s">
        <v>450</v>
      </c>
      <c r="E1660" s="22" t="s">
        <v>1895</v>
      </c>
    </row>
    <row r="1661" spans="1:5" x14ac:dyDescent="0.25">
      <c r="A1661" s="35">
        <v>46008.928391956018</v>
      </c>
      <c r="B1661" s="22" t="s">
        <v>2038</v>
      </c>
      <c r="C1661" s="22" t="s">
        <v>489</v>
      </c>
      <c r="D1661" s="22" t="s">
        <v>450</v>
      </c>
      <c r="E1661" s="22" t="s">
        <v>1895</v>
      </c>
    </row>
    <row r="1662" spans="1:5" x14ac:dyDescent="0.25">
      <c r="A1662" s="35">
        <v>46008.928396134259</v>
      </c>
      <c r="B1662" s="22" t="s">
        <v>2039</v>
      </c>
      <c r="C1662" s="22" t="s">
        <v>489</v>
      </c>
      <c r="D1662" s="22" t="s">
        <v>450</v>
      </c>
      <c r="E1662" s="22" t="s">
        <v>1895</v>
      </c>
    </row>
    <row r="1663" spans="1:5" x14ac:dyDescent="0.25">
      <c r="A1663" s="35">
        <v>46008.928407175925</v>
      </c>
      <c r="B1663" s="22" t="s">
        <v>2040</v>
      </c>
      <c r="C1663" s="22" t="s">
        <v>489</v>
      </c>
      <c r="D1663" s="22" t="s">
        <v>450</v>
      </c>
      <c r="E1663" s="22" t="s">
        <v>1895</v>
      </c>
    </row>
    <row r="1664" spans="1:5" x14ac:dyDescent="0.25">
      <c r="A1664" s="35">
        <v>46008.928409131942</v>
      </c>
      <c r="B1664" s="22" t="s">
        <v>2041</v>
      </c>
      <c r="C1664" s="22" t="s">
        <v>489</v>
      </c>
      <c r="D1664" s="22" t="s">
        <v>450</v>
      </c>
      <c r="E1664" s="22" t="s">
        <v>1895</v>
      </c>
    </row>
    <row r="1665" spans="1:5" x14ac:dyDescent="0.25">
      <c r="A1665" s="35">
        <v>46008.928411053239</v>
      </c>
      <c r="B1665" s="22" t="s">
        <v>2042</v>
      </c>
      <c r="C1665" s="22" t="s">
        <v>489</v>
      </c>
      <c r="D1665" s="22" t="s">
        <v>450</v>
      </c>
      <c r="E1665" s="22" t="s">
        <v>1895</v>
      </c>
    </row>
    <row r="1666" spans="1:5" x14ac:dyDescent="0.25">
      <c r="A1666" s="35">
        <v>46008.928413055561</v>
      </c>
      <c r="B1666" s="22" t="s">
        <v>2043</v>
      </c>
      <c r="C1666" s="22" t="s">
        <v>489</v>
      </c>
      <c r="D1666" s="22" t="s">
        <v>450</v>
      </c>
      <c r="E1666" s="22" t="s">
        <v>1895</v>
      </c>
    </row>
    <row r="1667" spans="1:5" x14ac:dyDescent="0.25">
      <c r="A1667" s="35">
        <v>46008.928415023147</v>
      </c>
      <c r="B1667" s="22" t="s">
        <v>2044</v>
      </c>
      <c r="C1667" s="22" t="s">
        <v>489</v>
      </c>
      <c r="D1667" s="22" t="s">
        <v>450</v>
      </c>
      <c r="E1667" s="22" t="s">
        <v>1895</v>
      </c>
    </row>
    <row r="1668" spans="1:5" x14ac:dyDescent="0.25">
      <c r="A1668" s="35">
        <v>46008.928417129631</v>
      </c>
      <c r="B1668" s="22" t="s">
        <v>2045</v>
      </c>
      <c r="C1668" s="22" t="s">
        <v>489</v>
      </c>
      <c r="D1668" s="22" t="s">
        <v>450</v>
      </c>
      <c r="E1668" s="22" t="s">
        <v>1895</v>
      </c>
    </row>
    <row r="1669" spans="1:5" x14ac:dyDescent="0.25">
      <c r="A1669" s="35">
        <v>46008.928419097225</v>
      </c>
      <c r="B1669" s="22" t="s">
        <v>2046</v>
      </c>
      <c r="C1669" s="22" t="s">
        <v>489</v>
      </c>
      <c r="D1669" s="22" t="s">
        <v>450</v>
      </c>
      <c r="E1669" s="22" t="s">
        <v>1895</v>
      </c>
    </row>
    <row r="1670" spans="1:5" x14ac:dyDescent="0.25">
      <c r="A1670" s="35">
        <v>46008.92842142361</v>
      </c>
      <c r="B1670" s="22" t="s">
        <v>2047</v>
      </c>
      <c r="C1670" s="22" t="s">
        <v>489</v>
      </c>
      <c r="D1670" s="22" t="s">
        <v>450</v>
      </c>
      <c r="E1670" s="22" t="s">
        <v>1895</v>
      </c>
    </row>
    <row r="1671" spans="1:5" x14ac:dyDescent="0.25">
      <c r="A1671" s="35">
        <v>46008.928423240737</v>
      </c>
      <c r="B1671" s="22" t="s">
        <v>2048</v>
      </c>
      <c r="C1671" s="22" t="s">
        <v>489</v>
      </c>
      <c r="D1671" s="22" t="s">
        <v>450</v>
      </c>
      <c r="E1671" s="22" t="s">
        <v>1895</v>
      </c>
    </row>
    <row r="1672" spans="1:5" x14ac:dyDescent="0.25">
      <c r="A1672" s="35">
        <v>46008.929369641206</v>
      </c>
      <c r="B1672" s="22" t="s">
        <v>2049</v>
      </c>
      <c r="C1672" s="22" t="s">
        <v>489</v>
      </c>
      <c r="D1672" s="22" t="s">
        <v>450</v>
      </c>
      <c r="E1672" s="22" t="s">
        <v>1895</v>
      </c>
    </row>
    <row r="1673" spans="1:5" x14ac:dyDescent="0.25">
      <c r="A1673" s="35">
        <v>46008.929371261576</v>
      </c>
      <c r="B1673" s="22" t="s">
        <v>2050</v>
      </c>
      <c r="C1673" s="22" t="s">
        <v>489</v>
      </c>
      <c r="D1673" s="22" t="s">
        <v>450</v>
      </c>
      <c r="E1673" s="22" t="s">
        <v>1895</v>
      </c>
    </row>
    <row r="1674" spans="1:5" x14ac:dyDescent="0.25">
      <c r="A1674" s="35">
        <v>46008.929374050931</v>
      </c>
      <c r="B1674" s="22" t="s">
        <v>2051</v>
      </c>
      <c r="C1674" s="22" t="s">
        <v>489</v>
      </c>
      <c r="D1674" s="22" t="s">
        <v>450</v>
      </c>
      <c r="E1674" s="22" t="s">
        <v>1895</v>
      </c>
    </row>
    <row r="1675" spans="1:5" x14ac:dyDescent="0.25">
      <c r="A1675" s="35">
        <v>46008.929375590276</v>
      </c>
      <c r="B1675" s="22" t="s">
        <v>2052</v>
      </c>
      <c r="C1675" s="22" t="s">
        <v>489</v>
      </c>
      <c r="D1675" s="22" t="s">
        <v>450</v>
      </c>
      <c r="E1675" s="22" t="s">
        <v>1895</v>
      </c>
    </row>
    <row r="1676" spans="1:5" x14ac:dyDescent="0.25">
      <c r="A1676" s="35">
        <v>46008.929377395834</v>
      </c>
      <c r="B1676" s="22" t="s">
        <v>2053</v>
      </c>
      <c r="C1676" s="22" t="s">
        <v>489</v>
      </c>
      <c r="D1676" s="22" t="s">
        <v>450</v>
      </c>
      <c r="E1676" s="22" t="s">
        <v>1895</v>
      </c>
    </row>
    <row r="1677" spans="1:5" x14ac:dyDescent="0.25">
      <c r="A1677" s="35">
        <v>46008.929379004629</v>
      </c>
      <c r="B1677" s="22" t="s">
        <v>2054</v>
      </c>
      <c r="C1677" s="22" t="s">
        <v>489</v>
      </c>
      <c r="D1677" s="22" t="s">
        <v>450</v>
      </c>
      <c r="E1677" s="22" t="s">
        <v>1895</v>
      </c>
    </row>
    <row r="1678" spans="1:5" x14ac:dyDescent="0.25">
      <c r="A1678" s="35">
        <v>46008.929380590278</v>
      </c>
      <c r="B1678" s="22" t="s">
        <v>2055</v>
      </c>
      <c r="C1678" s="22" t="s">
        <v>489</v>
      </c>
      <c r="D1678" s="22" t="s">
        <v>450</v>
      </c>
      <c r="E1678" s="22" t="s">
        <v>1895</v>
      </c>
    </row>
    <row r="1679" spans="1:5" x14ac:dyDescent="0.25">
      <c r="A1679" s="35">
        <v>46008.929382407412</v>
      </c>
      <c r="B1679" s="22" t="s">
        <v>2056</v>
      </c>
      <c r="C1679" s="22" t="s">
        <v>489</v>
      </c>
      <c r="D1679" s="22" t="s">
        <v>450</v>
      </c>
      <c r="E1679" s="22" t="s">
        <v>1895</v>
      </c>
    </row>
    <row r="1680" spans="1:5" x14ac:dyDescent="0.25">
      <c r="A1680" s="35">
        <v>46008.929384525458</v>
      </c>
      <c r="B1680" s="22" t="s">
        <v>2057</v>
      </c>
      <c r="C1680" s="22" t="s">
        <v>489</v>
      </c>
      <c r="D1680" s="22" t="s">
        <v>450</v>
      </c>
      <c r="E1680" s="22" t="s">
        <v>1895</v>
      </c>
    </row>
    <row r="1681" spans="1:5" x14ac:dyDescent="0.25">
      <c r="A1681" s="35">
        <v>46008.929386203701</v>
      </c>
      <c r="B1681" s="22" t="s">
        <v>2058</v>
      </c>
      <c r="C1681" s="22" t="s">
        <v>489</v>
      </c>
      <c r="D1681" s="22" t="s">
        <v>450</v>
      </c>
      <c r="E1681" s="22" t="s">
        <v>1895</v>
      </c>
    </row>
    <row r="1682" spans="1:5" x14ac:dyDescent="0.25">
      <c r="A1682" s="35">
        <v>46008.929388078701</v>
      </c>
      <c r="B1682" s="22" t="s">
        <v>2059</v>
      </c>
      <c r="C1682" s="22" t="s">
        <v>489</v>
      </c>
      <c r="D1682" s="22" t="s">
        <v>450</v>
      </c>
      <c r="E1682" s="22" t="s">
        <v>1895</v>
      </c>
    </row>
    <row r="1683" spans="1:5" x14ac:dyDescent="0.25">
      <c r="A1683" s="35">
        <v>46008.929389606477</v>
      </c>
      <c r="B1683" s="22" t="s">
        <v>2060</v>
      </c>
      <c r="C1683" s="22" t="s">
        <v>489</v>
      </c>
      <c r="D1683" s="22" t="s">
        <v>450</v>
      </c>
      <c r="E1683" s="22" t="s">
        <v>1895</v>
      </c>
    </row>
    <row r="1684" spans="1:5" x14ac:dyDescent="0.25">
      <c r="A1684" s="35">
        <v>46008.929391238431</v>
      </c>
      <c r="B1684" s="22" t="s">
        <v>2061</v>
      </c>
      <c r="C1684" s="22" t="s">
        <v>489</v>
      </c>
      <c r="D1684" s="22" t="s">
        <v>450</v>
      </c>
      <c r="E1684" s="22" t="s">
        <v>1895</v>
      </c>
    </row>
    <row r="1685" spans="1:5" x14ac:dyDescent="0.25">
      <c r="A1685" s="35">
        <v>46008.929392835649</v>
      </c>
      <c r="B1685" s="22" t="s">
        <v>2062</v>
      </c>
      <c r="C1685" s="22" t="s">
        <v>489</v>
      </c>
      <c r="D1685" s="22" t="s">
        <v>450</v>
      </c>
      <c r="E1685" s="22" t="s">
        <v>1895</v>
      </c>
    </row>
    <row r="1686" spans="1:5" x14ac:dyDescent="0.25">
      <c r="A1686" s="35">
        <v>46008.92939424768</v>
      </c>
      <c r="B1686" s="22" t="s">
        <v>2063</v>
      </c>
      <c r="C1686" s="22" t="s">
        <v>489</v>
      </c>
      <c r="D1686" s="22" t="s">
        <v>450</v>
      </c>
      <c r="E1686" s="22" t="s">
        <v>1895</v>
      </c>
    </row>
    <row r="1687" spans="1:5" x14ac:dyDescent="0.25">
      <c r="A1687" s="35">
        <v>46008.929395775463</v>
      </c>
      <c r="B1687" s="22" t="s">
        <v>2064</v>
      </c>
      <c r="C1687" s="22" t="s">
        <v>489</v>
      </c>
      <c r="D1687" s="22" t="s">
        <v>450</v>
      </c>
      <c r="E1687" s="22" t="s">
        <v>1895</v>
      </c>
    </row>
    <row r="1688" spans="1:5" x14ac:dyDescent="0.25">
      <c r="A1688" s="35">
        <v>46008.929408738426</v>
      </c>
      <c r="B1688" s="22" t="s">
        <v>2065</v>
      </c>
      <c r="C1688" s="22" t="s">
        <v>489</v>
      </c>
      <c r="D1688" s="22" t="s">
        <v>450</v>
      </c>
      <c r="E1688" s="22" t="s">
        <v>1895</v>
      </c>
    </row>
    <row r="1689" spans="1:5" x14ac:dyDescent="0.25">
      <c r="A1689" s="35">
        <v>46008.929410462966</v>
      </c>
      <c r="B1689" s="22" t="s">
        <v>2066</v>
      </c>
      <c r="C1689" s="22" t="s">
        <v>489</v>
      </c>
      <c r="D1689" s="22" t="s">
        <v>450</v>
      </c>
      <c r="E1689" s="22" t="s">
        <v>1895</v>
      </c>
    </row>
    <row r="1690" spans="1:5" x14ac:dyDescent="0.25">
      <c r="A1690" s="35">
        <v>46008.929413206017</v>
      </c>
      <c r="B1690" s="22" t="s">
        <v>2067</v>
      </c>
      <c r="C1690" s="22" t="s">
        <v>489</v>
      </c>
      <c r="D1690" s="22" t="s">
        <v>450</v>
      </c>
      <c r="E1690" s="22" t="s">
        <v>1895</v>
      </c>
    </row>
    <row r="1691" spans="1:5" x14ac:dyDescent="0.25">
      <c r="A1691" s="35">
        <v>46008.929414664351</v>
      </c>
      <c r="B1691" s="22" t="s">
        <v>2068</v>
      </c>
      <c r="C1691" s="22" t="s">
        <v>489</v>
      </c>
      <c r="D1691" s="22" t="s">
        <v>450</v>
      </c>
      <c r="E1691" s="22" t="s">
        <v>1895</v>
      </c>
    </row>
    <row r="1692" spans="1:5" x14ac:dyDescent="0.25">
      <c r="A1692" s="35">
        <v>46008.929416168983</v>
      </c>
      <c r="B1692" s="22" t="s">
        <v>2069</v>
      </c>
      <c r="C1692" s="22" t="s">
        <v>489</v>
      </c>
      <c r="D1692" s="22" t="s">
        <v>450</v>
      </c>
      <c r="E1692" s="22" t="s">
        <v>1895</v>
      </c>
    </row>
    <row r="1693" spans="1:5" x14ac:dyDescent="0.25">
      <c r="A1693" s="35">
        <v>46008.929418032407</v>
      </c>
      <c r="B1693" s="22" t="s">
        <v>2070</v>
      </c>
      <c r="C1693" s="22" t="s">
        <v>489</v>
      </c>
      <c r="D1693" s="22" t="s">
        <v>450</v>
      </c>
      <c r="E1693" s="22" t="s">
        <v>1895</v>
      </c>
    </row>
    <row r="1694" spans="1:5" x14ac:dyDescent="0.25">
      <c r="A1694" s="35">
        <v>46008.929419641208</v>
      </c>
      <c r="B1694" s="22" t="s">
        <v>2071</v>
      </c>
      <c r="C1694" s="22" t="s">
        <v>489</v>
      </c>
      <c r="D1694" s="22" t="s">
        <v>450</v>
      </c>
      <c r="E1694" s="22" t="s">
        <v>1895</v>
      </c>
    </row>
    <row r="1695" spans="1:5" x14ac:dyDescent="0.25">
      <c r="A1695" s="35">
        <v>46008.929432881945</v>
      </c>
      <c r="B1695" s="22" t="s">
        <v>2072</v>
      </c>
      <c r="C1695" s="22" t="s">
        <v>489</v>
      </c>
      <c r="D1695" s="22" t="s">
        <v>450</v>
      </c>
      <c r="E1695" s="22" t="s">
        <v>1895</v>
      </c>
    </row>
    <row r="1696" spans="1:5" x14ac:dyDescent="0.25">
      <c r="A1696" s="35">
        <v>46008.929434537036</v>
      </c>
      <c r="B1696" s="22" t="s">
        <v>2073</v>
      </c>
      <c r="C1696" s="22" t="s">
        <v>489</v>
      </c>
      <c r="D1696" s="22" t="s">
        <v>450</v>
      </c>
      <c r="E1696" s="22" t="s">
        <v>1895</v>
      </c>
    </row>
    <row r="1697" spans="1:5" x14ac:dyDescent="0.25">
      <c r="A1697" s="35">
        <v>46008.929436030092</v>
      </c>
      <c r="B1697" s="22" t="s">
        <v>2074</v>
      </c>
      <c r="C1697" s="22" t="s">
        <v>489</v>
      </c>
      <c r="D1697" s="22" t="s">
        <v>450</v>
      </c>
      <c r="E1697" s="22" t="s">
        <v>1895</v>
      </c>
    </row>
    <row r="1698" spans="1:5" x14ac:dyDescent="0.25">
      <c r="A1698" s="35">
        <v>46008.929437615741</v>
      </c>
      <c r="B1698" s="22" t="s">
        <v>2075</v>
      </c>
      <c r="C1698" s="22" t="s">
        <v>489</v>
      </c>
      <c r="D1698" s="22" t="s">
        <v>450</v>
      </c>
      <c r="E1698" s="22" t="s">
        <v>1895</v>
      </c>
    </row>
    <row r="1699" spans="1:5" x14ac:dyDescent="0.25">
      <c r="A1699" s="35">
        <v>46008.929439166663</v>
      </c>
      <c r="B1699" s="22" t="s">
        <v>2076</v>
      </c>
      <c r="C1699" s="22" t="s">
        <v>489</v>
      </c>
      <c r="D1699" s="22" t="s">
        <v>450</v>
      </c>
      <c r="E1699" s="22" t="s">
        <v>1895</v>
      </c>
    </row>
    <row r="1700" spans="1:5" x14ac:dyDescent="0.25">
      <c r="A1700" s="35">
        <v>46008.929440671302</v>
      </c>
      <c r="B1700" s="22" t="s">
        <v>2077</v>
      </c>
      <c r="C1700" s="22" t="s">
        <v>489</v>
      </c>
      <c r="D1700" s="22" t="s">
        <v>450</v>
      </c>
      <c r="E1700" s="22" t="s">
        <v>1895</v>
      </c>
    </row>
    <row r="1701" spans="1:5" x14ac:dyDescent="0.25">
      <c r="A1701" s="35">
        <v>46008.929455694444</v>
      </c>
      <c r="B1701" s="22" t="s">
        <v>2078</v>
      </c>
      <c r="C1701" s="22" t="s">
        <v>489</v>
      </c>
      <c r="D1701" s="22" t="s">
        <v>450</v>
      </c>
      <c r="E1701" s="22" t="s">
        <v>1895</v>
      </c>
    </row>
    <row r="1702" spans="1:5" x14ac:dyDescent="0.25">
      <c r="A1702" s="35">
        <v>46008.930311099539</v>
      </c>
      <c r="B1702" s="22" t="s">
        <v>2079</v>
      </c>
      <c r="C1702" s="22" t="s">
        <v>489</v>
      </c>
      <c r="D1702" s="22" t="s">
        <v>450</v>
      </c>
      <c r="E1702" s="22" t="s">
        <v>1895</v>
      </c>
    </row>
    <row r="1703" spans="1:5" x14ac:dyDescent="0.25">
      <c r="A1703" s="35">
        <v>46008.930312615739</v>
      </c>
      <c r="B1703" s="22" t="s">
        <v>2080</v>
      </c>
      <c r="C1703" s="22" t="s">
        <v>489</v>
      </c>
      <c r="D1703" s="22" t="s">
        <v>450</v>
      </c>
      <c r="E1703" s="22" t="s">
        <v>1895</v>
      </c>
    </row>
    <row r="1704" spans="1:5" x14ac:dyDescent="0.25">
      <c r="A1704" s="35">
        <v>46008.930317094906</v>
      </c>
      <c r="B1704" s="22" t="s">
        <v>2081</v>
      </c>
      <c r="C1704" s="22" t="s">
        <v>489</v>
      </c>
      <c r="D1704" s="22" t="s">
        <v>450</v>
      </c>
      <c r="E1704" s="22" t="s">
        <v>1895</v>
      </c>
    </row>
    <row r="1705" spans="1:5" x14ac:dyDescent="0.25">
      <c r="A1705" s="35">
        <v>46008.930318750005</v>
      </c>
      <c r="B1705" s="22" t="s">
        <v>2082</v>
      </c>
      <c r="C1705" s="22" t="s">
        <v>489</v>
      </c>
      <c r="D1705" s="22" t="s">
        <v>450</v>
      </c>
      <c r="E1705" s="22" t="s">
        <v>1895</v>
      </c>
    </row>
    <row r="1706" spans="1:5" x14ac:dyDescent="0.25">
      <c r="A1706" s="35">
        <v>46008.930338009261</v>
      </c>
      <c r="B1706" s="22" t="s">
        <v>2083</v>
      </c>
      <c r="C1706" s="22" t="s">
        <v>489</v>
      </c>
      <c r="D1706" s="22" t="s">
        <v>450</v>
      </c>
      <c r="E1706" s="22" t="s">
        <v>1895</v>
      </c>
    </row>
    <row r="1707" spans="1:5" x14ac:dyDescent="0.25">
      <c r="A1707" s="35">
        <v>46008.930339710649</v>
      </c>
      <c r="B1707" s="22" t="s">
        <v>2084</v>
      </c>
      <c r="C1707" s="22" t="s">
        <v>489</v>
      </c>
      <c r="D1707" s="22" t="s">
        <v>450</v>
      </c>
      <c r="E1707" s="22" t="s">
        <v>1895</v>
      </c>
    </row>
    <row r="1708" spans="1:5" x14ac:dyDescent="0.25">
      <c r="A1708" s="35">
        <v>46008.930341481479</v>
      </c>
      <c r="B1708" s="22" t="s">
        <v>2085</v>
      </c>
      <c r="C1708" s="22" t="s">
        <v>489</v>
      </c>
      <c r="D1708" s="22" t="s">
        <v>450</v>
      </c>
      <c r="E1708" s="22" t="s">
        <v>1895</v>
      </c>
    </row>
    <row r="1709" spans="1:5" x14ac:dyDescent="0.25">
      <c r="A1709" s="35">
        <v>46008.930343148153</v>
      </c>
      <c r="B1709" s="22" t="s">
        <v>2086</v>
      </c>
      <c r="C1709" s="22" t="s">
        <v>489</v>
      </c>
      <c r="D1709" s="22" t="s">
        <v>450</v>
      </c>
      <c r="E1709" s="22" t="s">
        <v>1895</v>
      </c>
    </row>
    <row r="1710" spans="1:5" x14ac:dyDescent="0.25">
      <c r="A1710" s="35">
        <v>46008.930344907407</v>
      </c>
      <c r="B1710" s="22" t="s">
        <v>2087</v>
      </c>
      <c r="C1710" s="22" t="s">
        <v>489</v>
      </c>
      <c r="D1710" s="22" t="s">
        <v>450</v>
      </c>
      <c r="E1710" s="22" t="s">
        <v>1895</v>
      </c>
    </row>
    <row r="1711" spans="1:5" x14ac:dyDescent="0.25">
      <c r="A1711" s="35">
        <v>46008.930346678244</v>
      </c>
      <c r="B1711" s="22" t="s">
        <v>2088</v>
      </c>
      <c r="C1711" s="22" t="s">
        <v>489</v>
      </c>
      <c r="D1711" s="22" t="s">
        <v>450</v>
      </c>
      <c r="E1711" s="22" t="s">
        <v>1895</v>
      </c>
    </row>
    <row r="1712" spans="1:5" x14ac:dyDescent="0.25">
      <c r="A1712" s="35">
        <v>46008.930348263893</v>
      </c>
      <c r="B1712" s="22" t="s">
        <v>2089</v>
      </c>
      <c r="C1712" s="22" t="s">
        <v>489</v>
      </c>
      <c r="D1712" s="22" t="s">
        <v>450</v>
      </c>
      <c r="E1712" s="22" t="s">
        <v>1895</v>
      </c>
    </row>
    <row r="1713" spans="1:5" x14ac:dyDescent="0.25">
      <c r="A1713" s="35">
        <v>46008.93034983796</v>
      </c>
      <c r="B1713" s="22" t="s">
        <v>2090</v>
      </c>
      <c r="C1713" s="22" t="s">
        <v>489</v>
      </c>
      <c r="D1713" s="22" t="s">
        <v>450</v>
      </c>
      <c r="E1713" s="22" t="s">
        <v>1895</v>
      </c>
    </row>
    <row r="1714" spans="1:5" x14ac:dyDescent="0.25">
      <c r="A1714" s="35">
        <v>46008.930351331015</v>
      </c>
      <c r="B1714" s="22" t="s">
        <v>2091</v>
      </c>
      <c r="C1714" s="22" t="s">
        <v>489</v>
      </c>
      <c r="D1714" s="22" t="s">
        <v>450</v>
      </c>
      <c r="E1714" s="22" t="s">
        <v>1895</v>
      </c>
    </row>
    <row r="1715" spans="1:5" x14ac:dyDescent="0.25">
      <c r="A1715" s="35">
        <v>46008.930352916665</v>
      </c>
      <c r="B1715" s="22" t="s">
        <v>2092</v>
      </c>
      <c r="C1715" s="22" t="s">
        <v>489</v>
      </c>
      <c r="D1715" s="22" t="s">
        <v>450</v>
      </c>
      <c r="E1715" s="22" t="s">
        <v>1895</v>
      </c>
    </row>
    <row r="1716" spans="1:5" x14ac:dyDescent="0.25">
      <c r="A1716" s="35">
        <v>46008.930354814816</v>
      </c>
      <c r="B1716" s="22" t="s">
        <v>2093</v>
      </c>
      <c r="C1716" s="22" t="s">
        <v>489</v>
      </c>
      <c r="D1716" s="22" t="s">
        <v>450</v>
      </c>
      <c r="E1716" s="22" t="s">
        <v>1895</v>
      </c>
    </row>
    <row r="1717" spans="1:5" x14ac:dyDescent="0.25">
      <c r="A1717" s="35">
        <v>46008.930356504628</v>
      </c>
      <c r="B1717" s="22" t="s">
        <v>2094</v>
      </c>
      <c r="C1717" s="22" t="s">
        <v>489</v>
      </c>
      <c r="D1717" s="22" t="s">
        <v>450</v>
      </c>
      <c r="E1717" s="22" t="s">
        <v>1895</v>
      </c>
    </row>
    <row r="1718" spans="1:5" x14ac:dyDescent="0.25">
      <c r="A1718" s="35">
        <v>46008.930358229161</v>
      </c>
      <c r="B1718" s="22" t="s">
        <v>2095</v>
      </c>
      <c r="C1718" s="22" t="s">
        <v>489</v>
      </c>
      <c r="D1718" s="22" t="s">
        <v>450</v>
      </c>
      <c r="E1718" s="22" t="s">
        <v>1895</v>
      </c>
    </row>
    <row r="1719" spans="1:5" x14ac:dyDescent="0.25">
      <c r="A1719" s="35">
        <v>46008.930359756945</v>
      </c>
      <c r="B1719" s="22" t="s">
        <v>2096</v>
      </c>
      <c r="C1719" s="22" t="s">
        <v>489</v>
      </c>
      <c r="D1719" s="22" t="s">
        <v>450</v>
      </c>
      <c r="E1719" s="22" t="s">
        <v>1895</v>
      </c>
    </row>
    <row r="1720" spans="1:5" x14ac:dyDescent="0.25">
      <c r="A1720" s="35">
        <v>46008.930361273146</v>
      </c>
      <c r="B1720" s="22" t="s">
        <v>2097</v>
      </c>
      <c r="C1720" s="22" t="s">
        <v>489</v>
      </c>
      <c r="D1720" s="22" t="s">
        <v>450</v>
      </c>
      <c r="E1720" s="22" t="s">
        <v>1895</v>
      </c>
    </row>
    <row r="1721" spans="1:5" x14ac:dyDescent="0.25">
      <c r="A1721" s="35">
        <v>46008.930362812505</v>
      </c>
      <c r="B1721" s="22" t="s">
        <v>2098</v>
      </c>
      <c r="C1721" s="22" t="s">
        <v>489</v>
      </c>
      <c r="D1721" s="22" t="s">
        <v>450</v>
      </c>
      <c r="E1721" s="22" t="s">
        <v>1895</v>
      </c>
    </row>
    <row r="1722" spans="1:5" x14ac:dyDescent="0.25">
      <c r="A1722" s="35">
        <v>46008.930364305561</v>
      </c>
      <c r="B1722" s="22" t="s">
        <v>2099</v>
      </c>
      <c r="C1722" s="22" t="s">
        <v>489</v>
      </c>
      <c r="D1722" s="22" t="s">
        <v>450</v>
      </c>
      <c r="E1722" s="22" t="s">
        <v>1895</v>
      </c>
    </row>
    <row r="1723" spans="1:5" x14ac:dyDescent="0.25">
      <c r="A1723" s="35">
        <v>46008.930365740744</v>
      </c>
      <c r="B1723" s="22" t="s">
        <v>2100</v>
      </c>
      <c r="C1723" s="22" t="s">
        <v>489</v>
      </c>
      <c r="D1723" s="22" t="s">
        <v>450</v>
      </c>
      <c r="E1723" s="22" t="s">
        <v>1895</v>
      </c>
    </row>
    <row r="1724" spans="1:5" x14ac:dyDescent="0.25">
      <c r="A1724" s="35">
        <v>46008.931354803237</v>
      </c>
      <c r="B1724" s="22" t="s">
        <v>2101</v>
      </c>
      <c r="C1724" s="22" t="s">
        <v>489</v>
      </c>
      <c r="D1724" s="22" t="s">
        <v>450</v>
      </c>
      <c r="E1724" s="22" t="s">
        <v>1895</v>
      </c>
    </row>
    <row r="1725" spans="1:5" x14ac:dyDescent="0.25">
      <c r="A1725" s="35">
        <v>46008.931356990739</v>
      </c>
      <c r="B1725" s="22" t="s">
        <v>2102</v>
      </c>
      <c r="C1725" s="22" t="s">
        <v>489</v>
      </c>
      <c r="D1725" s="22" t="s">
        <v>450</v>
      </c>
      <c r="E1725" s="22" t="s">
        <v>1895</v>
      </c>
    </row>
    <row r="1726" spans="1:5" x14ac:dyDescent="0.25">
      <c r="A1726" s="35">
        <v>46008.931358958333</v>
      </c>
      <c r="B1726" s="22" t="s">
        <v>2103</v>
      </c>
      <c r="C1726" s="22" t="s">
        <v>489</v>
      </c>
      <c r="D1726" s="22" t="s">
        <v>450</v>
      </c>
      <c r="E1726" s="22" t="s">
        <v>1895</v>
      </c>
    </row>
    <row r="1727" spans="1:5" x14ac:dyDescent="0.25">
      <c r="A1727" s="35">
        <v>46008.931361076393</v>
      </c>
      <c r="B1727" s="22" t="s">
        <v>2104</v>
      </c>
      <c r="C1727" s="22" t="s">
        <v>489</v>
      </c>
      <c r="D1727" s="22" t="s">
        <v>450</v>
      </c>
      <c r="E1727" s="22" t="s">
        <v>1895</v>
      </c>
    </row>
    <row r="1728" spans="1:5" x14ac:dyDescent="0.25">
      <c r="A1728" s="35">
        <v>46008.931363391202</v>
      </c>
      <c r="B1728" s="22" t="s">
        <v>2105</v>
      </c>
      <c r="C1728" s="22" t="s">
        <v>489</v>
      </c>
      <c r="D1728" s="22" t="s">
        <v>450</v>
      </c>
      <c r="E1728" s="22" t="s">
        <v>1895</v>
      </c>
    </row>
    <row r="1729" spans="1:5" x14ac:dyDescent="0.25">
      <c r="A1729" s="35">
        <v>46008.931365358796</v>
      </c>
      <c r="B1729" s="22" t="s">
        <v>2106</v>
      </c>
      <c r="C1729" s="22" t="s">
        <v>489</v>
      </c>
      <c r="D1729" s="22" t="s">
        <v>450</v>
      </c>
      <c r="E1729" s="22" t="s">
        <v>1895</v>
      </c>
    </row>
    <row r="1730" spans="1:5" x14ac:dyDescent="0.25">
      <c r="A1730" s="35">
        <v>46008.93136732639</v>
      </c>
      <c r="B1730" s="22" t="s">
        <v>2107</v>
      </c>
      <c r="C1730" s="22" t="s">
        <v>489</v>
      </c>
      <c r="D1730" s="22" t="s">
        <v>450</v>
      </c>
      <c r="E1730" s="22" t="s">
        <v>1895</v>
      </c>
    </row>
    <row r="1731" spans="1:5" x14ac:dyDescent="0.25">
      <c r="A1731" s="35">
        <v>46008.931369560189</v>
      </c>
      <c r="B1731" s="22" t="s">
        <v>2108</v>
      </c>
      <c r="C1731" s="22" t="s">
        <v>489</v>
      </c>
      <c r="D1731" s="22" t="s">
        <v>450</v>
      </c>
      <c r="E1731" s="22" t="s">
        <v>1895</v>
      </c>
    </row>
    <row r="1732" spans="1:5" x14ac:dyDescent="0.25">
      <c r="A1732" s="35">
        <v>46008.931380196758</v>
      </c>
      <c r="B1732" s="22" t="s">
        <v>2109</v>
      </c>
      <c r="C1732" s="22" t="s">
        <v>489</v>
      </c>
      <c r="D1732" s="22" t="s">
        <v>450</v>
      </c>
      <c r="E1732" s="22" t="s">
        <v>1895</v>
      </c>
    </row>
    <row r="1733" spans="1:5" x14ac:dyDescent="0.25">
      <c r="A1733" s="35">
        <v>46008.931382372684</v>
      </c>
      <c r="B1733" s="22" t="s">
        <v>2110</v>
      </c>
      <c r="C1733" s="22" t="s">
        <v>489</v>
      </c>
      <c r="D1733" s="22" t="s">
        <v>450</v>
      </c>
      <c r="E1733" s="22" t="s">
        <v>1895</v>
      </c>
    </row>
    <row r="1734" spans="1:5" x14ac:dyDescent="0.25">
      <c r="A1734" s="35">
        <v>46008.931384398151</v>
      </c>
      <c r="B1734" s="22" t="s">
        <v>2111</v>
      </c>
      <c r="C1734" s="22" t="s">
        <v>489</v>
      </c>
      <c r="D1734" s="22" t="s">
        <v>450</v>
      </c>
      <c r="E1734" s="22" t="s">
        <v>1895</v>
      </c>
    </row>
    <row r="1735" spans="1:5" x14ac:dyDescent="0.25">
      <c r="A1735" s="35">
        <v>46008.93138652778</v>
      </c>
      <c r="B1735" s="22" t="s">
        <v>2112</v>
      </c>
      <c r="C1735" s="22" t="s">
        <v>489</v>
      </c>
      <c r="D1735" s="22" t="s">
        <v>450</v>
      </c>
      <c r="E1735" s="22" t="s">
        <v>1895</v>
      </c>
    </row>
    <row r="1736" spans="1:5" x14ac:dyDescent="0.25">
      <c r="A1736" s="35">
        <v>46008.931388553239</v>
      </c>
      <c r="B1736" s="22" t="s">
        <v>2113</v>
      </c>
      <c r="C1736" s="22" t="s">
        <v>489</v>
      </c>
      <c r="D1736" s="22" t="s">
        <v>450</v>
      </c>
      <c r="E1736" s="22" t="s">
        <v>1895</v>
      </c>
    </row>
    <row r="1737" spans="1:5" x14ac:dyDescent="0.25">
      <c r="A1737" s="35">
        <v>46008.931390671292</v>
      </c>
      <c r="B1737" s="22" t="s">
        <v>2114</v>
      </c>
      <c r="C1737" s="22" t="s">
        <v>489</v>
      </c>
      <c r="D1737" s="22" t="s">
        <v>450</v>
      </c>
      <c r="E1737" s="22" t="s">
        <v>1895</v>
      </c>
    </row>
    <row r="1738" spans="1:5" x14ac:dyDescent="0.25">
      <c r="A1738" s="35">
        <v>46008.931392800921</v>
      </c>
      <c r="B1738" s="22" t="s">
        <v>2115</v>
      </c>
      <c r="C1738" s="22" t="s">
        <v>489</v>
      </c>
      <c r="D1738" s="22" t="s">
        <v>450</v>
      </c>
      <c r="E1738" s="22" t="s">
        <v>1895</v>
      </c>
    </row>
    <row r="1739" spans="1:5" x14ac:dyDescent="0.25">
      <c r="A1739" s="35">
        <v>46008.931394861109</v>
      </c>
      <c r="B1739" s="22" t="s">
        <v>2116</v>
      </c>
      <c r="C1739" s="22" t="s">
        <v>489</v>
      </c>
      <c r="D1739" s="22" t="s">
        <v>450</v>
      </c>
      <c r="E1739" s="22" t="s">
        <v>1895</v>
      </c>
    </row>
    <row r="1740" spans="1:5" x14ac:dyDescent="0.25">
      <c r="A1740" s="35">
        <v>46008.931396990738</v>
      </c>
      <c r="B1740" s="22" t="s">
        <v>2117</v>
      </c>
      <c r="C1740" s="22" t="s">
        <v>489</v>
      </c>
      <c r="D1740" s="22" t="s">
        <v>450</v>
      </c>
      <c r="E1740" s="22" t="s">
        <v>1895</v>
      </c>
    </row>
    <row r="1741" spans="1:5" x14ac:dyDescent="0.25">
      <c r="A1741" s="35">
        <v>46008.931399224537</v>
      </c>
      <c r="B1741" s="22" t="s">
        <v>2118</v>
      </c>
      <c r="C1741" s="22" t="s">
        <v>489</v>
      </c>
      <c r="D1741" s="22" t="s">
        <v>450</v>
      </c>
      <c r="E1741" s="22" t="s">
        <v>1895</v>
      </c>
    </row>
    <row r="1742" spans="1:5" x14ac:dyDescent="0.25">
      <c r="A1742" s="35">
        <v>46008.93140134259</v>
      </c>
      <c r="B1742" s="22" t="s">
        <v>2119</v>
      </c>
      <c r="C1742" s="22" t="s">
        <v>489</v>
      </c>
      <c r="D1742" s="22" t="s">
        <v>450</v>
      </c>
      <c r="E1742" s="22" t="s">
        <v>1895</v>
      </c>
    </row>
    <row r="1743" spans="1:5" x14ac:dyDescent="0.25">
      <c r="A1743" s="35">
        <v>46008.931408125005</v>
      </c>
      <c r="B1743" s="22" t="s">
        <v>2120</v>
      </c>
      <c r="C1743" s="22" t="s">
        <v>489</v>
      </c>
      <c r="D1743" s="22" t="s">
        <v>450</v>
      </c>
      <c r="E1743" s="22" t="s">
        <v>1895</v>
      </c>
    </row>
    <row r="1744" spans="1:5" x14ac:dyDescent="0.25">
      <c r="A1744" s="35">
        <v>46008.931410266203</v>
      </c>
      <c r="B1744" s="22" t="s">
        <v>2121</v>
      </c>
      <c r="C1744" s="22" t="s">
        <v>489</v>
      </c>
      <c r="D1744" s="22" t="s">
        <v>450</v>
      </c>
      <c r="E1744" s="22" t="s">
        <v>1895</v>
      </c>
    </row>
    <row r="1745" spans="1:5" x14ac:dyDescent="0.25">
      <c r="A1745" s="35">
        <v>46008.93141237268</v>
      </c>
      <c r="B1745" s="22" t="s">
        <v>2122</v>
      </c>
      <c r="C1745" s="22" t="s">
        <v>489</v>
      </c>
      <c r="D1745" s="22" t="s">
        <v>450</v>
      </c>
      <c r="E1745" s="22" t="s">
        <v>1895</v>
      </c>
    </row>
    <row r="1746" spans="1:5" x14ac:dyDescent="0.25">
      <c r="A1746" s="35">
        <v>46008.931414386578</v>
      </c>
      <c r="B1746" s="22" t="s">
        <v>2123</v>
      </c>
      <c r="C1746" s="22" t="s">
        <v>489</v>
      </c>
      <c r="D1746" s="22" t="s">
        <v>450</v>
      </c>
      <c r="E1746" s="22" t="s">
        <v>1895</v>
      </c>
    </row>
    <row r="1747" spans="1:5" x14ac:dyDescent="0.25">
      <c r="A1747" s="35">
        <v>46008.931416388892</v>
      </c>
      <c r="B1747" s="22" t="s">
        <v>2124</v>
      </c>
      <c r="C1747" s="22" t="s">
        <v>489</v>
      </c>
      <c r="D1747" s="22" t="s">
        <v>450</v>
      </c>
      <c r="E1747" s="22" t="s">
        <v>1895</v>
      </c>
    </row>
    <row r="1748" spans="1:5" x14ac:dyDescent="0.25">
      <c r="A1748" s="35">
        <v>46008.932480902775</v>
      </c>
      <c r="B1748" s="22" t="s">
        <v>2125</v>
      </c>
      <c r="C1748" s="22" t="s">
        <v>489</v>
      </c>
      <c r="D1748" s="22" t="s">
        <v>450</v>
      </c>
      <c r="E1748" s="22" t="s">
        <v>1895</v>
      </c>
    </row>
    <row r="1749" spans="1:5" x14ac:dyDescent="0.25">
      <c r="A1749" s="35">
        <v>46008.932494189816</v>
      </c>
      <c r="B1749" s="22" t="s">
        <v>2126</v>
      </c>
      <c r="C1749" s="22" t="s">
        <v>489</v>
      </c>
      <c r="D1749" s="22" t="s">
        <v>450</v>
      </c>
      <c r="E1749" s="22" t="s">
        <v>1895</v>
      </c>
    </row>
    <row r="1750" spans="1:5" x14ac:dyDescent="0.25">
      <c r="A1750" s="35">
        <v>46008.932495787041</v>
      </c>
      <c r="B1750" s="22" t="s">
        <v>2127</v>
      </c>
      <c r="C1750" s="22" t="s">
        <v>489</v>
      </c>
      <c r="D1750" s="22" t="s">
        <v>450</v>
      </c>
      <c r="E1750" s="22" t="s">
        <v>1895</v>
      </c>
    </row>
    <row r="1751" spans="1:5" x14ac:dyDescent="0.25">
      <c r="A1751" s="35">
        <v>46008.932497372683</v>
      </c>
      <c r="B1751" s="22" t="s">
        <v>2128</v>
      </c>
      <c r="C1751" s="22" t="s">
        <v>489</v>
      </c>
      <c r="D1751" s="22" t="s">
        <v>450</v>
      </c>
      <c r="E1751" s="22" t="s">
        <v>1895</v>
      </c>
    </row>
    <row r="1752" spans="1:5" x14ac:dyDescent="0.25">
      <c r="A1752" s="35">
        <v>46008.93249900463</v>
      </c>
      <c r="B1752" s="22" t="s">
        <v>2129</v>
      </c>
      <c r="C1752" s="22" t="s">
        <v>489</v>
      </c>
      <c r="D1752" s="22" t="s">
        <v>450</v>
      </c>
      <c r="E1752" s="22" t="s">
        <v>1895</v>
      </c>
    </row>
    <row r="1753" spans="1:5" x14ac:dyDescent="0.25">
      <c r="A1753" s="35">
        <v>46008.932500636569</v>
      </c>
      <c r="B1753" s="22" t="s">
        <v>2130</v>
      </c>
      <c r="C1753" s="22" t="s">
        <v>489</v>
      </c>
      <c r="D1753" s="22" t="s">
        <v>450</v>
      </c>
      <c r="E1753" s="22" t="s">
        <v>1895</v>
      </c>
    </row>
    <row r="1754" spans="1:5" x14ac:dyDescent="0.25">
      <c r="A1754" s="35">
        <v>46008.932502962962</v>
      </c>
      <c r="B1754" s="22" t="s">
        <v>2131</v>
      </c>
      <c r="C1754" s="22" t="s">
        <v>489</v>
      </c>
      <c r="D1754" s="22" t="s">
        <v>450</v>
      </c>
      <c r="E1754" s="22" t="s">
        <v>1895</v>
      </c>
    </row>
    <row r="1755" spans="1:5" x14ac:dyDescent="0.25">
      <c r="A1755" s="35">
        <v>46008.932504594908</v>
      </c>
      <c r="B1755" s="22" t="s">
        <v>2132</v>
      </c>
      <c r="C1755" s="22" t="s">
        <v>489</v>
      </c>
      <c r="D1755" s="22" t="s">
        <v>450</v>
      </c>
      <c r="E1755" s="22" t="s">
        <v>1895</v>
      </c>
    </row>
    <row r="1756" spans="1:5" x14ac:dyDescent="0.25">
      <c r="A1756" s="35">
        <v>46008.932512523148</v>
      </c>
      <c r="B1756" s="22" t="s">
        <v>2133</v>
      </c>
      <c r="C1756" s="22" t="s">
        <v>489</v>
      </c>
      <c r="D1756" s="22" t="s">
        <v>450</v>
      </c>
      <c r="E1756" s="22" t="s">
        <v>1895</v>
      </c>
    </row>
    <row r="1757" spans="1:5" x14ac:dyDescent="0.25">
      <c r="A1757" s="35">
        <v>46008.932514305554</v>
      </c>
      <c r="B1757" s="22" t="s">
        <v>2134</v>
      </c>
      <c r="C1757" s="22" t="s">
        <v>489</v>
      </c>
      <c r="D1757" s="22" t="s">
        <v>450</v>
      </c>
      <c r="E1757" s="22" t="s">
        <v>1895</v>
      </c>
    </row>
    <row r="1758" spans="1:5" x14ac:dyDescent="0.25">
      <c r="A1758" s="35">
        <v>46008.932516122688</v>
      </c>
      <c r="B1758" s="22" t="s">
        <v>2135</v>
      </c>
      <c r="C1758" s="22" t="s">
        <v>489</v>
      </c>
      <c r="D1758" s="22" t="s">
        <v>450</v>
      </c>
      <c r="E1758" s="22" t="s">
        <v>1895</v>
      </c>
    </row>
    <row r="1759" spans="1:5" x14ac:dyDescent="0.25">
      <c r="A1759" s="35">
        <v>46008.932517800931</v>
      </c>
      <c r="B1759" s="22" t="s">
        <v>2136</v>
      </c>
      <c r="C1759" s="22" t="s">
        <v>489</v>
      </c>
      <c r="D1759" s="22" t="s">
        <v>450</v>
      </c>
      <c r="E1759" s="22" t="s">
        <v>1895</v>
      </c>
    </row>
    <row r="1760" spans="1:5" x14ac:dyDescent="0.25">
      <c r="A1760" s="35">
        <v>46008.932525173615</v>
      </c>
      <c r="B1760" s="22" t="s">
        <v>2137</v>
      </c>
      <c r="C1760" s="22" t="s">
        <v>489</v>
      </c>
      <c r="D1760" s="22" t="s">
        <v>450</v>
      </c>
      <c r="E1760" s="22" t="s">
        <v>1895</v>
      </c>
    </row>
    <row r="1761" spans="1:5" x14ac:dyDescent="0.25">
      <c r="A1761" s="35">
        <v>46008.93256671296</v>
      </c>
      <c r="B1761" s="22" t="s">
        <v>2138</v>
      </c>
      <c r="C1761" s="22" t="s">
        <v>489</v>
      </c>
      <c r="D1761" s="22" t="s">
        <v>450</v>
      </c>
      <c r="E1761" s="22" t="s">
        <v>1895</v>
      </c>
    </row>
    <row r="1762" spans="1:5" x14ac:dyDescent="0.25">
      <c r="A1762" s="35">
        <v>46008.932570740741</v>
      </c>
      <c r="B1762" s="22" t="s">
        <v>2139</v>
      </c>
      <c r="C1762" s="22" t="s">
        <v>489</v>
      </c>
      <c r="D1762" s="22" t="s">
        <v>450</v>
      </c>
      <c r="E1762" s="22" t="s">
        <v>1895</v>
      </c>
    </row>
    <row r="1763" spans="1:5" x14ac:dyDescent="0.25">
      <c r="A1763" s="35">
        <v>46008.932574131948</v>
      </c>
      <c r="B1763" s="22" t="s">
        <v>2140</v>
      </c>
      <c r="C1763" s="22" t="s">
        <v>489</v>
      </c>
      <c r="D1763" s="22" t="s">
        <v>450</v>
      </c>
      <c r="E1763" s="22" t="s">
        <v>1895</v>
      </c>
    </row>
    <row r="1764" spans="1:5" x14ac:dyDescent="0.25">
      <c r="A1764" s="35">
        <v>46008.932577164349</v>
      </c>
      <c r="B1764" s="22" t="s">
        <v>2141</v>
      </c>
      <c r="C1764" s="22" t="s">
        <v>489</v>
      </c>
      <c r="D1764" s="22" t="s">
        <v>450</v>
      </c>
      <c r="E1764" s="22" t="s">
        <v>1895</v>
      </c>
    </row>
    <row r="1765" spans="1:5" x14ac:dyDescent="0.25">
      <c r="A1765" s="35">
        <v>46008.932579120374</v>
      </c>
      <c r="B1765" s="22" t="s">
        <v>2142</v>
      </c>
      <c r="C1765" s="22" t="s">
        <v>489</v>
      </c>
      <c r="D1765" s="22" t="s">
        <v>450</v>
      </c>
      <c r="E1765" s="22" t="s">
        <v>1895</v>
      </c>
    </row>
    <row r="1766" spans="1:5" x14ac:dyDescent="0.25">
      <c r="A1766" s="35">
        <v>46008.932594317128</v>
      </c>
      <c r="B1766" s="22" t="s">
        <v>2143</v>
      </c>
      <c r="C1766" s="22" t="s">
        <v>489</v>
      </c>
      <c r="D1766" s="22" t="s">
        <v>450</v>
      </c>
      <c r="E1766" s="22" t="s">
        <v>1895</v>
      </c>
    </row>
    <row r="1767" spans="1:5" x14ac:dyDescent="0.25">
      <c r="A1767" s="35">
        <v>46008.932596018523</v>
      </c>
      <c r="B1767" s="22" t="s">
        <v>2144</v>
      </c>
      <c r="C1767" s="22" t="s">
        <v>489</v>
      </c>
      <c r="D1767" s="22" t="s">
        <v>450</v>
      </c>
      <c r="E1767" s="22" t="s">
        <v>1895</v>
      </c>
    </row>
    <row r="1768" spans="1:5" x14ac:dyDescent="0.25">
      <c r="A1768" s="35">
        <v>46008.932597974534</v>
      </c>
      <c r="B1768" s="22" t="s">
        <v>2145</v>
      </c>
      <c r="C1768" s="22" t="s">
        <v>489</v>
      </c>
      <c r="D1768" s="22" t="s">
        <v>450</v>
      </c>
      <c r="E1768" s="22" t="s">
        <v>1895</v>
      </c>
    </row>
    <row r="1769" spans="1:5" x14ac:dyDescent="0.25">
      <c r="A1769" s="35">
        <v>46008.932599826388</v>
      </c>
      <c r="B1769" s="22" t="s">
        <v>2146</v>
      </c>
      <c r="C1769" s="22" t="s">
        <v>489</v>
      </c>
      <c r="D1769" s="22" t="s">
        <v>450</v>
      </c>
      <c r="E1769" s="22" t="s">
        <v>1895</v>
      </c>
    </row>
    <row r="1770" spans="1:5" x14ac:dyDescent="0.25">
      <c r="A1770" s="35">
        <v>46008.932601666667</v>
      </c>
      <c r="B1770" s="22" t="s">
        <v>2147</v>
      </c>
      <c r="C1770" s="22" t="s">
        <v>489</v>
      </c>
      <c r="D1770" s="22" t="s">
        <v>450</v>
      </c>
      <c r="E1770" s="22" t="s">
        <v>1895</v>
      </c>
    </row>
    <row r="1771" spans="1:5" x14ac:dyDescent="0.25">
      <c r="A1771" s="35">
        <v>46008.93260349537</v>
      </c>
      <c r="B1771" s="22" t="s">
        <v>2148</v>
      </c>
      <c r="C1771" s="22" t="s">
        <v>489</v>
      </c>
      <c r="D1771" s="22" t="s">
        <v>450</v>
      </c>
      <c r="E1771" s="22" t="s">
        <v>1895</v>
      </c>
    </row>
    <row r="1772" spans="1:5" x14ac:dyDescent="0.25">
      <c r="A1772" s="35">
        <v>46008.932605243055</v>
      </c>
      <c r="B1772" s="22" t="s">
        <v>2149</v>
      </c>
      <c r="C1772" s="22" t="s">
        <v>489</v>
      </c>
      <c r="D1772" s="22" t="s">
        <v>450</v>
      </c>
      <c r="E1772" s="22" t="s">
        <v>1895</v>
      </c>
    </row>
    <row r="1773" spans="1:5" x14ac:dyDescent="0.25">
      <c r="A1773" s="35">
        <v>46008.933386770834</v>
      </c>
      <c r="B1773" s="22" t="s">
        <v>2150</v>
      </c>
      <c r="C1773" s="22" t="s">
        <v>489</v>
      </c>
      <c r="D1773" s="22" t="s">
        <v>582</v>
      </c>
      <c r="E1773" s="22" t="s">
        <v>1895</v>
      </c>
    </row>
    <row r="1774" spans="1:5" x14ac:dyDescent="0.25">
      <c r="A1774" s="35">
        <v>46008.933388807869</v>
      </c>
      <c r="B1774" s="22" t="s">
        <v>2151</v>
      </c>
      <c r="C1774" s="22" t="s">
        <v>489</v>
      </c>
      <c r="D1774" s="22" t="s">
        <v>582</v>
      </c>
      <c r="E1774" s="22" t="s">
        <v>1895</v>
      </c>
    </row>
    <row r="1775" spans="1:5" x14ac:dyDescent="0.25">
      <c r="A1775" s="35">
        <v>46008.933390902777</v>
      </c>
      <c r="B1775" s="22" t="s">
        <v>2152</v>
      </c>
      <c r="C1775" s="22" t="s">
        <v>489</v>
      </c>
      <c r="D1775" s="22" t="s">
        <v>582</v>
      </c>
      <c r="E1775" s="22" t="s">
        <v>1895</v>
      </c>
    </row>
    <row r="1776" spans="1:5" x14ac:dyDescent="0.25">
      <c r="A1776" s="35">
        <v>46008.933393032406</v>
      </c>
      <c r="B1776" s="22" t="s">
        <v>2153</v>
      </c>
      <c r="C1776" s="22" t="s">
        <v>489</v>
      </c>
      <c r="D1776" s="22" t="s">
        <v>582</v>
      </c>
      <c r="E1776" s="22" t="s">
        <v>1895</v>
      </c>
    </row>
    <row r="1777" spans="1:5" x14ac:dyDescent="0.25">
      <c r="A1777" s="35">
        <v>46008.933395150467</v>
      </c>
      <c r="B1777" s="22" t="s">
        <v>2154</v>
      </c>
      <c r="C1777" s="22" t="s">
        <v>489</v>
      </c>
      <c r="D1777" s="22" t="s">
        <v>582</v>
      </c>
      <c r="E1777" s="22" t="s">
        <v>1895</v>
      </c>
    </row>
    <row r="1778" spans="1:5" x14ac:dyDescent="0.25">
      <c r="A1778" s="35">
        <v>46008.933397384259</v>
      </c>
      <c r="B1778" s="22" t="s">
        <v>2155</v>
      </c>
      <c r="C1778" s="22" t="s">
        <v>489</v>
      </c>
      <c r="D1778" s="22" t="s">
        <v>582</v>
      </c>
      <c r="E1778" s="22" t="s">
        <v>1895</v>
      </c>
    </row>
    <row r="1779" spans="1:5" x14ac:dyDescent="0.25">
      <c r="A1779" s="35">
        <v>46008.933406261574</v>
      </c>
      <c r="B1779" s="22" t="s">
        <v>2156</v>
      </c>
      <c r="C1779" s="22" t="s">
        <v>489</v>
      </c>
      <c r="D1779" s="22" t="s">
        <v>582</v>
      </c>
      <c r="E1779" s="22" t="s">
        <v>1895</v>
      </c>
    </row>
    <row r="1780" spans="1:5" x14ac:dyDescent="0.25">
      <c r="A1780" s="35">
        <v>46008.933408460653</v>
      </c>
      <c r="B1780" s="22" t="s">
        <v>2157</v>
      </c>
      <c r="C1780" s="22" t="s">
        <v>489</v>
      </c>
      <c r="D1780" s="22" t="s">
        <v>582</v>
      </c>
      <c r="E1780" s="22" t="s">
        <v>1895</v>
      </c>
    </row>
    <row r="1781" spans="1:5" x14ac:dyDescent="0.25">
      <c r="A1781" s="35">
        <v>46008.933410625003</v>
      </c>
      <c r="B1781" s="22" t="s">
        <v>2158</v>
      </c>
      <c r="C1781" s="22" t="s">
        <v>489</v>
      </c>
      <c r="D1781" s="22" t="s">
        <v>582</v>
      </c>
      <c r="E1781" s="22" t="s">
        <v>1895</v>
      </c>
    </row>
    <row r="1782" spans="1:5" x14ac:dyDescent="0.25">
      <c r="A1782" s="35">
        <v>46008.933412754632</v>
      </c>
      <c r="B1782" s="22" t="s">
        <v>2159</v>
      </c>
      <c r="C1782" s="22" t="s">
        <v>489</v>
      </c>
      <c r="D1782" s="22" t="s">
        <v>582</v>
      </c>
      <c r="E1782" s="22" t="s">
        <v>1895</v>
      </c>
    </row>
    <row r="1783" spans="1:5" x14ac:dyDescent="0.25">
      <c r="A1783" s="35">
        <v>46008.933414918982</v>
      </c>
      <c r="B1783" s="22" t="s">
        <v>2160</v>
      </c>
      <c r="C1783" s="22" t="s">
        <v>489</v>
      </c>
      <c r="D1783" s="22" t="s">
        <v>582</v>
      </c>
      <c r="E1783" s="22" t="s">
        <v>1895</v>
      </c>
    </row>
    <row r="1784" spans="1:5" x14ac:dyDescent="0.25">
      <c r="A1784" s="35">
        <v>46008.933417002314</v>
      </c>
      <c r="B1784" s="22" t="s">
        <v>2161</v>
      </c>
      <c r="C1784" s="22" t="s">
        <v>489</v>
      </c>
      <c r="D1784" s="22" t="s">
        <v>582</v>
      </c>
      <c r="E1784" s="22" t="s">
        <v>1895</v>
      </c>
    </row>
    <row r="1785" spans="1:5" x14ac:dyDescent="0.25">
      <c r="A1785" s="35">
        <v>46008.933418946763</v>
      </c>
      <c r="B1785" s="22" t="s">
        <v>2162</v>
      </c>
      <c r="C1785" s="22" t="s">
        <v>489</v>
      </c>
      <c r="D1785" s="22" t="s">
        <v>582</v>
      </c>
      <c r="E1785" s="22" t="s">
        <v>1895</v>
      </c>
    </row>
    <row r="1786" spans="1:5" x14ac:dyDescent="0.25">
      <c r="A1786" s="35">
        <v>46008.93342134259</v>
      </c>
      <c r="B1786" s="22" t="s">
        <v>2163</v>
      </c>
      <c r="C1786" s="22" t="s">
        <v>489</v>
      </c>
      <c r="D1786" s="22" t="s">
        <v>582</v>
      </c>
      <c r="E1786" s="22" t="s">
        <v>1895</v>
      </c>
    </row>
    <row r="1787" spans="1:5" x14ac:dyDescent="0.25">
      <c r="A1787" s="35">
        <v>46008.93342912037</v>
      </c>
      <c r="B1787" s="22" t="s">
        <v>2164</v>
      </c>
      <c r="C1787" s="22" t="s">
        <v>489</v>
      </c>
      <c r="D1787" s="22" t="s">
        <v>582</v>
      </c>
      <c r="E1787" s="22" t="s">
        <v>1895</v>
      </c>
    </row>
    <row r="1788" spans="1:5" x14ac:dyDescent="0.25">
      <c r="A1788" s="35">
        <v>46009.320550208329</v>
      </c>
      <c r="B1788" s="22" t="s">
        <v>2165</v>
      </c>
      <c r="C1788" s="22" t="s">
        <v>489</v>
      </c>
      <c r="D1788" s="22" t="s">
        <v>470</v>
      </c>
      <c r="E1788" s="22" t="s">
        <v>1895</v>
      </c>
    </row>
    <row r="1789" spans="1:5" x14ac:dyDescent="0.25">
      <c r="A1789" s="35">
        <v>46009.320558148145</v>
      </c>
      <c r="B1789" s="22" t="s">
        <v>2166</v>
      </c>
      <c r="C1789" s="22" t="s">
        <v>489</v>
      </c>
      <c r="D1789" s="22" t="s">
        <v>470</v>
      </c>
      <c r="E1789" s="22" t="s">
        <v>1895</v>
      </c>
    </row>
    <row r="1790" spans="1:5" x14ac:dyDescent="0.25">
      <c r="A1790" s="35">
        <v>46009.320560775464</v>
      </c>
      <c r="B1790" s="22" t="s">
        <v>2167</v>
      </c>
      <c r="C1790" s="22" t="s">
        <v>489</v>
      </c>
      <c r="D1790" s="22" t="s">
        <v>470</v>
      </c>
      <c r="E1790" s="22" t="s">
        <v>1895</v>
      </c>
    </row>
    <row r="1791" spans="1:5" x14ac:dyDescent="0.25">
      <c r="A1791" s="35">
        <v>46009.320563692134</v>
      </c>
      <c r="B1791" s="22" t="s">
        <v>2168</v>
      </c>
      <c r="C1791" s="22" t="s">
        <v>489</v>
      </c>
      <c r="D1791" s="22" t="s">
        <v>470</v>
      </c>
      <c r="E1791" s="22" t="s">
        <v>1895</v>
      </c>
    </row>
    <row r="1792" spans="1:5" x14ac:dyDescent="0.25">
      <c r="A1792" s="35">
        <v>46009.320566296301</v>
      </c>
      <c r="B1792" s="22" t="s">
        <v>2169</v>
      </c>
      <c r="C1792" s="22" t="s">
        <v>489</v>
      </c>
      <c r="D1792" s="22" t="s">
        <v>470</v>
      </c>
      <c r="E1792" s="22" t="s">
        <v>1895</v>
      </c>
    </row>
    <row r="1793" spans="1:5" x14ac:dyDescent="0.25">
      <c r="A1793" s="35">
        <v>46009.320568854164</v>
      </c>
      <c r="B1793" s="22" t="s">
        <v>2170</v>
      </c>
      <c r="C1793" s="22" t="s">
        <v>489</v>
      </c>
      <c r="D1793" s="22" t="s">
        <v>470</v>
      </c>
      <c r="E1793" s="22" t="s">
        <v>1895</v>
      </c>
    </row>
    <row r="1794" spans="1:5" x14ac:dyDescent="0.25">
      <c r="A1794" s="35">
        <v>46009.320571562501</v>
      </c>
      <c r="B1794" s="22" t="s">
        <v>2171</v>
      </c>
      <c r="C1794" s="22" t="s">
        <v>489</v>
      </c>
      <c r="D1794" s="22" t="s">
        <v>470</v>
      </c>
      <c r="E1794" s="22" t="s">
        <v>1895</v>
      </c>
    </row>
    <row r="1795" spans="1:5" x14ac:dyDescent="0.25">
      <c r="A1795" s="35">
        <v>46009.32057408565</v>
      </c>
      <c r="B1795" s="22" t="s">
        <v>2172</v>
      </c>
      <c r="C1795" s="22" t="s">
        <v>489</v>
      </c>
      <c r="D1795" s="22" t="s">
        <v>470</v>
      </c>
      <c r="E1795" s="22" t="s">
        <v>1895</v>
      </c>
    </row>
    <row r="1796" spans="1:5" x14ac:dyDescent="0.25">
      <c r="A1796" s="35">
        <v>46009.32057650463</v>
      </c>
      <c r="B1796" s="22" t="s">
        <v>2173</v>
      </c>
      <c r="C1796" s="22" t="s">
        <v>489</v>
      </c>
      <c r="D1796" s="22" t="s">
        <v>470</v>
      </c>
      <c r="E1796" s="22" t="s">
        <v>1895</v>
      </c>
    </row>
    <row r="1797" spans="1:5" x14ac:dyDescent="0.25">
      <c r="A1797" s="35">
        <v>46009.320578819446</v>
      </c>
      <c r="B1797" s="22" t="s">
        <v>2174</v>
      </c>
      <c r="C1797" s="22" t="s">
        <v>489</v>
      </c>
      <c r="D1797" s="22" t="s">
        <v>470</v>
      </c>
      <c r="E1797" s="22" t="s">
        <v>1895</v>
      </c>
    </row>
    <row r="1798" spans="1:5" x14ac:dyDescent="0.25">
      <c r="A1798" s="35">
        <v>46009.320581643522</v>
      </c>
      <c r="B1798" s="22" t="s">
        <v>2175</v>
      </c>
      <c r="C1798" s="22" t="s">
        <v>489</v>
      </c>
      <c r="D1798" s="22" t="s">
        <v>470</v>
      </c>
      <c r="E1798" s="22" t="s">
        <v>1895</v>
      </c>
    </row>
    <row r="1799" spans="1:5" x14ac:dyDescent="0.25">
      <c r="A1799" s="35">
        <v>46009.320584351852</v>
      </c>
      <c r="B1799" s="22" t="s">
        <v>2176</v>
      </c>
      <c r="C1799" s="22" t="s">
        <v>489</v>
      </c>
      <c r="D1799" s="22" t="s">
        <v>470</v>
      </c>
      <c r="E1799" s="22" t="s">
        <v>1895</v>
      </c>
    </row>
    <row r="1800" spans="1:5" x14ac:dyDescent="0.25">
      <c r="A1800" s="35">
        <v>46009.320587025461</v>
      </c>
      <c r="B1800" s="22" t="s">
        <v>2177</v>
      </c>
      <c r="C1800" s="22" t="s">
        <v>489</v>
      </c>
      <c r="D1800" s="22" t="s">
        <v>470</v>
      </c>
      <c r="E1800" s="22" t="s">
        <v>1895</v>
      </c>
    </row>
    <row r="1801" spans="1:5" x14ac:dyDescent="0.25">
      <c r="A1801" s="35">
        <v>46009.320589618059</v>
      </c>
      <c r="B1801" s="22" t="s">
        <v>2178</v>
      </c>
      <c r="C1801" s="22" t="s">
        <v>489</v>
      </c>
      <c r="D1801" s="22" t="s">
        <v>470</v>
      </c>
      <c r="E1801" s="22" t="s">
        <v>1895</v>
      </c>
    </row>
    <row r="1802" spans="1:5" x14ac:dyDescent="0.25">
      <c r="A1802" s="35">
        <v>46009.320592164353</v>
      </c>
      <c r="B1802" s="22" t="s">
        <v>2179</v>
      </c>
      <c r="C1802" s="22" t="s">
        <v>489</v>
      </c>
      <c r="D1802" s="22" t="s">
        <v>470</v>
      </c>
      <c r="E1802" s="22" t="s">
        <v>1895</v>
      </c>
    </row>
    <row r="1803" spans="1:5" x14ac:dyDescent="0.25">
      <c r="A1803" s="35">
        <v>46009.320594652774</v>
      </c>
      <c r="B1803" s="22" t="s">
        <v>2180</v>
      </c>
      <c r="C1803" s="22" t="s">
        <v>489</v>
      </c>
      <c r="D1803" s="22" t="s">
        <v>470</v>
      </c>
      <c r="E1803" s="22" t="s">
        <v>1895</v>
      </c>
    </row>
    <row r="1804" spans="1:5" x14ac:dyDescent="0.25">
      <c r="A1804" s="35">
        <v>46009.320597152779</v>
      </c>
      <c r="B1804" s="22" t="s">
        <v>2181</v>
      </c>
      <c r="C1804" s="22" t="s">
        <v>489</v>
      </c>
      <c r="D1804" s="22" t="s">
        <v>470</v>
      </c>
      <c r="E1804" s="22" t="s">
        <v>1895</v>
      </c>
    </row>
    <row r="1805" spans="1:5" x14ac:dyDescent="0.25">
      <c r="A1805" s="35">
        <v>46009.320600231484</v>
      </c>
      <c r="B1805" s="22" t="s">
        <v>2182</v>
      </c>
      <c r="C1805" s="22" t="s">
        <v>489</v>
      </c>
      <c r="D1805" s="22" t="s">
        <v>470</v>
      </c>
      <c r="E1805" s="22" t="s">
        <v>1895</v>
      </c>
    </row>
    <row r="1806" spans="1:5" x14ac:dyDescent="0.25">
      <c r="A1806" s="35">
        <v>46009.320602743057</v>
      </c>
      <c r="B1806" s="22" t="s">
        <v>2183</v>
      </c>
      <c r="C1806" s="22" t="s">
        <v>489</v>
      </c>
      <c r="D1806" s="22" t="s">
        <v>470</v>
      </c>
      <c r="E1806" s="22" t="s">
        <v>1895</v>
      </c>
    </row>
    <row r="1807" spans="1:5" x14ac:dyDescent="0.25">
      <c r="A1807" s="35">
        <v>46009.320605937501</v>
      </c>
      <c r="B1807" s="22" t="s">
        <v>2184</v>
      </c>
      <c r="C1807" s="22" t="s">
        <v>489</v>
      </c>
      <c r="D1807" s="22" t="s">
        <v>470</v>
      </c>
      <c r="E1807" s="22" t="s">
        <v>1895</v>
      </c>
    </row>
    <row r="1808" spans="1:5" x14ac:dyDescent="0.25">
      <c r="A1808" s="35">
        <v>46009.326263738425</v>
      </c>
      <c r="B1808" s="22" t="s">
        <v>2185</v>
      </c>
      <c r="C1808" s="22" t="s">
        <v>489</v>
      </c>
      <c r="D1808" s="22" t="s">
        <v>450</v>
      </c>
      <c r="E1808" s="22" t="s">
        <v>1895</v>
      </c>
    </row>
    <row r="1809" spans="1:5" x14ac:dyDescent="0.25">
      <c r="A1809" s="35">
        <v>46009.32626538194</v>
      </c>
      <c r="B1809" s="22" t="s">
        <v>2186</v>
      </c>
      <c r="C1809" s="22" t="s">
        <v>489</v>
      </c>
      <c r="D1809" s="22" t="s">
        <v>450</v>
      </c>
      <c r="E1809" s="22" t="s">
        <v>1895</v>
      </c>
    </row>
    <row r="1810" spans="1:5" x14ac:dyDescent="0.25">
      <c r="A1810" s="35">
        <v>46009.326267152777</v>
      </c>
      <c r="B1810" s="22" t="s">
        <v>2187</v>
      </c>
      <c r="C1810" s="22" t="s">
        <v>489</v>
      </c>
      <c r="D1810" s="22" t="s">
        <v>450</v>
      </c>
      <c r="E1810" s="22" t="s">
        <v>1895</v>
      </c>
    </row>
    <row r="1811" spans="1:5" x14ac:dyDescent="0.25">
      <c r="A1811" s="35">
        <v>46009.326268888894</v>
      </c>
      <c r="B1811" s="22" t="s">
        <v>2188</v>
      </c>
      <c r="C1811" s="22" t="s">
        <v>489</v>
      </c>
      <c r="D1811" s="22" t="s">
        <v>450</v>
      </c>
      <c r="E1811" s="22" t="s">
        <v>1895</v>
      </c>
    </row>
    <row r="1812" spans="1:5" x14ac:dyDescent="0.25">
      <c r="A1812" s="35">
        <v>46009.326270590274</v>
      </c>
      <c r="B1812" s="22" t="s">
        <v>2189</v>
      </c>
      <c r="C1812" s="22" t="s">
        <v>489</v>
      </c>
      <c r="D1812" s="22" t="s">
        <v>450</v>
      </c>
      <c r="E1812" s="22" t="s">
        <v>1895</v>
      </c>
    </row>
    <row r="1813" spans="1:5" x14ac:dyDescent="0.25">
      <c r="A1813" s="35">
        <v>46009.326272337959</v>
      </c>
      <c r="B1813" s="22" t="s">
        <v>2190</v>
      </c>
      <c r="C1813" s="22" t="s">
        <v>489</v>
      </c>
      <c r="D1813" s="22" t="s">
        <v>450</v>
      </c>
      <c r="E1813" s="22" t="s">
        <v>1895</v>
      </c>
    </row>
    <row r="1814" spans="1:5" x14ac:dyDescent="0.25">
      <c r="A1814" s="35">
        <v>46009.326273993051</v>
      </c>
      <c r="B1814" s="22" t="s">
        <v>2191</v>
      </c>
      <c r="C1814" s="22" t="s">
        <v>489</v>
      </c>
      <c r="D1814" s="22" t="s">
        <v>450</v>
      </c>
      <c r="E1814" s="22" t="s">
        <v>1895</v>
      </c>
    </row>
    <row r="1815" spans="1:5" x14ac:dyDescent="0.25">
      <c r="A1815" s="35">
        <v>46009.326275844913</v>
      </c>
      <c r="B1815" s="22" t="s">
        <v>2192</v>
      </c>
      <c r="C1815" s="22" t="s">
        <v>489</v>
      </c>
      <c r="D1815" s="22" t="s">
        <v>450</v>
      </c>
      <c r="E1815" s="22" t="s">
        <v>1895</v>
      </c>
    </row>
    <row r="1816" spans="1:5" x14ac:dyDescent="0.25">
      <c r="A1816" s="35">
        <v>46009.326277511573</v>
      </c>
      <c r="B1816" s="22" t="s">
        <v>2193</v>
      </c>
      <c r="C1816" s="22" t="s">
        <v>489</v>
      </c>
      <c r="D1816" s="22" t="s">
        <v>450</v>
      </c>
      <c r="E1816" s="22" t="s">
        <v>1895</v>
      </c>
    </row>
    <row r="1817" spans="1:5" x14ac:dyDescent="0.25">
      <c r="A1817" s="35">
        <v>46009.326279942128</v>
      </c>
      <c r="B1817" s="22" t="s">
        <v>2194</v>
      </c>
      <c r="C1817" s="22" t="s">
        <v>489</v>
      </c>
      <c r="D1817" s="22" t="s">
        <v>450</v>
      </c>
      <c r="E1817" s="22" t="s">
        <v>1895</v>
      </c>
    </row>
    <row r="1818" spans="1:5" x14ac:dyDescent="0.25">
      <c r="A1818" s="35">
        <v>46009.326281666668</v>
      </c>
      <c r="B1818" s="22" t="s">
        <v>2195</v>
      </c>
      <c r="C1818" s="22" t="s">
        <v>489</v>
      </c>
      <c r="D1818" s="22" t="s">
        <v>450</v>
      </c>
      <c r="E1818" s="22" t="s">
        <v>1895</v>
      </c>
    </row>
    <row r="1819" spans="1:5" x14ac:dyDescent="0.25">
      <c r="A1819" s="35">
        <v>46009.326283518516</v>
      </c>
      <c r="B1819" s="22" t="s">
        <v>2196</v>
      </c>
      <c r="C1819" s="22" t="s">
        <v>489</v>
      </c>
      <c r="D1819" s="22" t="s">
        <v>450</v>
      </c>
      <c r="E1819" s="22" t="s">
        <v>1895</v>
      </c>
    </row>
    <row r="1820" spans="1:5" x14ac:dyDescent="0.25">
      <c r="A1820" s="35">
        <v>46009.32628523148</v>
      </c>
      <c r="B1820" s="22" t="s">
        <v>2197</v>
      </c>
      <c r="C1820" s="22" t="s">
        <v>489</v>
      </c>
      <c r="D1820" s="22" t="s">
        <v>450</v>
      </c>
      <c r="E1820" s="22" t="s">
        <v>1895</v>
      </c>
    </row>
    <row r="1821" spans="1:5" x14ac:dyDescent="0.25">
      <c r="A1821" s="35">
        <v>46009.326287245371</v>
      </c>
      <c r="B1821" s="22" t="s">
        <v>2198</v>
      </c>
      <c r="C1821" s="22" t="s">
        <v>489</v>
      </c>
      <c r="D1821" s="22" t="s">
        <v>450</v>
      </c>
      <c r="E1821" s="22" t="s">
        <v>1895</v>
      </c>
    </row>
    <row r="1822" spans="1:5" x14ac:dyDescent="0.25">
      <c r="A1822" s="35">
        <v>46009.326288946759</v>
      </c>
      <c r="B1822" s="22" t="s">
        <v>2199</v>
      </c>
      <c r="C1822" s="22" t="s">
        <v>489</v>
      </c>
      <c r="D1822" s="22" t="s">
        <v>450</v>
      </c>
      <c r="E1822" s="22" t="s">
        <v>1895</v>
      </c>
    </row>
    <row r="1823" spans="1:5" x14ac:dyDescent="0.25">
      <c r="A1823" s="35">
        <v>46009.326290972225</v>
      </c>
      <c r="B1823" s="22" t="s">
        <v>2200</v>
      </c>
      <c r="C1823" s="22" t="s">
        <v>489</v>
      </c>
      <c r="D1823" s="22" t="s">
        <v>450</v>
      </c>
      <c r="E1823" s="22" t="s">
        <v>1895</v>
      </c>
    </row>
    <row r="1824" spans="1:5" x14ac:dyDescent="0.25">
      <c r="A1824" s="35">
        <v>46009.32629261574</v>
      </c>
      <c r="B1824" s="22" t="s">
        <v>2201</v>
      </c>
      <c r="C1824" s="22" t="s">
        <v>489</v>
      </c>
      <c r="D1824" s="22" t="s">
        <v>450</v>
      </c>
      <c r="E1824" s="22" t="s">
        <v>1895</v>
      </c>
    </row>
    <row r="1825" spans="1:5" x14ac:dyDescent="0.25">
      <c r="A1825" s="35">
        <v>46009.326294236111</v>
      </c>
      <c r="B1825" s="22" t="s">
        <v>2202</v>
      </c>
      <c r="C1825" s="22" t="s">
        <v>489</v>
      </c>
      <c r="D1825" s="22" t="s">
        <v>450</v>
      </c>
      <c r="E1825" s="22" t="s">
        <v>1895</v>
      </c>
    </row>
    <row r="1826" spans="1:5" x14ac:dyDescent="0.25">
      <c r="A1826" s="35">
        <v>46009.326296099534</v>
      </c>
      <c r="B1826" s="22" t="s">
        <v>2203</v>
      </c>
      <c r="C1826" s="22" t="s">
        <v>489</v>
      </c>
      <c r="D1826" s="22" t="s">
        <v>450</v>
      </c>
      <c r="E1826" s="22" t="s">
        <v>1895</v>
      </c>
    </row>
    <row r="1827" spans="1:5" x14ac:dyDescent="0.25">
      <c r="A1827" s="35">
        <v>46009.326297812499</v>
      </c>
      <c r="B1827" s="22" t="s">
        <v>2204</v>
      </c>
      <c r="C1827" s="22" t="s">
        <v>489</v>
      </c>
      <c r="D1827" s="22" t="s">
        <v>450</v>
      </c>
      <c r="E1827" s="22" t="s">
        <v>1895</v>
      </c>
    </row>
    <row r="1828" spans="1:5" x14ac:dyDescent="0.25">
      <c r="A1828" s="35">
        <v>46009.326299432869</v>
      </c>
      <c r="B1828" s="22" t="s">
        <v>2205</v>
      </c>
      <c r="C1828" s="22" t="s">
        <v>489</v>
      </c>
      <c r="D1828" s="22" t="s">
        <v>450</v>
      </c>
      <c r="E1828" s="22" t="s">
        <v>1895</v>
      </c>
    </row>
    <row r="1829" spans="1:5" x14ac:dyDescent="0.25">
      <c r="A1829" s="35">
        <v>46009.326301064815</v>
      </c>
      <c r="B1829" s="22" t="s">
        <v>2206</v>
      </c>
      <c r="C1829" s="22" t="s">
        <v>489</v>
      </c>
      <c r="D1829" s="22" t="s">
        <v>450</v>
      </c>
      <c r="E1829" s="22" t="s">
        <v>1895</v>
      </c>
    </row>
    <row r="1830" spans="1:5" x14ac:dyDescent="0.25">
      <c r="A1830" s="35">
        <v>46009.326302858797</v>
      </c>
      <c r="B1830" s="22" t="s">
        <v>2207</v>
      </c>
      <c r="C1830" s="22" t="s">
        <v>489</v>
      </c>
      <c r="D1830" s="22" t="s">
        <v>450</v>
      </c>
      <c r="E1830" s="22" t="s">
        <v>1895</v>
      </c>
    </row>
    <row r="1831" spans="1:5" x14ac:dyDescent="0.25">
      <c r="A1831" s="35">
        <v>46009.326304606482</v>
      </c>
      <c r="B1831" s="22" t="s">
        <v>2208</v>
      </c>
      <c r="C1831" s="22" t="s">
        <v>489</v>
      </c>
      <c r="D1831" s="22" t="s">
        <v>450</v>
      </c>
      <c r="E1831" s="22" t="s">
        <v>1895</v>
      </c>
    </row>
    <row r="1832" spans="1:5" x14ac:dyDescent="0.25">
      <c r="A1832" s="35">
        <v>46009.326306469906</v>
      </c>
      <c r="B1832" s="22" t="s">
        <v>2209</v>
      </c>
      <c r="C1832" s="22" t="s">
        <v>489</v>
      </c>
      <c r="D1832" s="22" t="s">
        <v>450</v>
      </c>
      <c r="E1832" s="22" t="s">
        <v>1895</v>
      </c>
    </row>
    <row r="1833" spans="1:5" x14ac:dyDescent="0.25">
      <c r="A1833" s="35">
        <v>46009.32631167824</v>
      </c>
      <c r="B1833" s="22" t="s">
        <v>2210</v>
      </c>
      <c r="C1833" s="22" t="s">
        <v>489</v>
      </c>
      <c r="D1833" s="22" t="s">
        <v>450</v>
      </c>
      <c r="E1833" s="22" t="s">
        <v>1895</v>
      </c>
    </row>
    <row r="1834" spans="1:5" x14ac:dyDescent="0.25">
      <c r="A1834" s="35">
        <v>46009.326313518519</v>
      </c>
      <c r="B1834" s="22" t="s">
        <v>2211</v>
      </c>
      <c r="C1834" s="22" t="s">
        <v>489</v>
      </c>
      <c r="D1834" s="22" t="s">
        <v>450</v>
      </c>
      <c r="E1834" s="22" t="s">
        <v>1895</v>
      </c>
    </row>
    <row r="1835" spans="1:5" x14ac:dyDescent="0.25">
      <c r="A1835" s="35">
        <v>46009.326323414352</v>
      </c>
      <c r="B1835" s="22" t="s">
        <v>2212</v>
      </c>
      <c r="C1835" s="22" t="s">
        <v>489</v>
      </c>
      <c r="D1835" s="22" t="s">
        <v>450</v>
      </c>
      <c r="E1835" s="22" t="s">
        <v>1895</v>
      </c>
    </row>
    <row r="1836" spans="1:5" x14ac:dyDescent="0.25">
      <c r="A1836" s="35">
        <v>46009.326325150461</v>
      </c>
      <c r="B1836" s="22" t="s">
        <v>2213</v>
      </c>
      <c r="C1836" s="22" t="s">
        <v>489</v>
      </c>
      <c r="D1836" s="22" t="s">
        <v>450</v>
      </c>
      <c r="E1836" s="22" t="s">
        <v>1895</v>
      </c>
    </row>
    <row r="1837" spans="1:5" x14ac:dyDescent="0.25">
      <c r="A1837" s="35">
        <v>46009.326326898146</v>
      </c>
      <c r="B1837" s="22" t="s">
        <v>2214</v>
      </c>
      <c r="C1837" s="22" t="s">
        <v>489</v>
      </c>
      <c r="D1837" s="22" t="s">
        <v>450</v>
      </c>
      <c r="E1837" s="22" t="s">
        <v>1895</v>
      </c>
    </row>
    <row r="1838" spans="1:5" x14ac:dyDescent="0.25">
      <c r="A1838" s="35">
        <v>46009.326328622687</v>
      </c>
      <c r="B1838" s="22" t="s">
        <v>2215</v>
      </c>
      <c r="C1838" s="22" t="s">
        <v>489</v>
      </c>
      <c r="D1838" s="22" t="s">
        <v>450</v>
      </c>
      <c r="E1838" s="22" t="s">
        <v>1895</v>
      </c>
    </row>
    <row r="1839" spans="1:5" x14ac:dyDescent="0.25">
      <c r="A1839" s="35">
        <v>46009.326330243057</v>
      </c>
      <c r="B1839" s="22" t="s">
        <v>2216</v>
      </c>
      <c r="C1839" s="22" t="s">
        <v>489</v>
      </c>
      <c r="D1839" s="22" t="s">
        <v>450</v>
      </c>
      <c r="E1839" s="22" t="s">
        <v>1895</v>
      </c>
    </row>
    <row r="1840" spans="1:5" x14ac:dyDescent="0.25">
      <c r="A1840" s="35">
        <v>46009.326332013894</v>
      </c>
      <c r="B1840" s="22" t="s">
        <v>2217</v>
      </c>
      <c r="C1840" s="22" t="s">
        <v>489</v>
      </c>
      <c r="D1840" s="22" t="s">
        <v>450</v>
      </c>
      <c r="E1840" s="22" t="s">
        <v>1895</v>
      </c>
    </row>
    <row r="1841" spans="1:5" x14ac:dyDescent="0.25">
      <c r="A1841" s="35">
        <v>46009.326334328704</v>
      </c>
      <c r="B1841" s="22" t="s">
        <v>2218</v>
      </c>
      <c r="C1841" s="22" t="s">
        <v>489</v>
      </c>
      <c r="D1841" s="22" t="s">
        <v>450</v>
      </c>
      <c r="E1841" s="22" t="s">
        <v>1895</v>
      </c>
    </row>
    <row r="1842" spans="1:5" x14ac:dyDescent="0.25">
      <c r="A1842" s="35">
        <v>46009.326335925929</v>
      </c>
      <c r="B1842" s="22" t="s">
        <v>2219</v>
      </c>
      <c r="C1842" s="22" t="s">
        <v>489</v>
      </c>
      <c r="D1842" s="22" t="s">
        <v>450</v>
      </c>
      <c r="E1842" s="22" t="s">
        <v>1895</v>
      </c>
    </row>
    <row r="1843" spans="1:5" x14ac:dyDescent="0.25">
      <c r="A1843" s="35">
        <v>46009.32633747685</v>
      </c>
      <c r="B1843" s="22" t="s">
        <v>2220</v>
      </c>
      <c r="C1843" s="22" t="s">
        <v>489</v>
      </c>
      <c r="D1843" s="22" t="s">
        <v>450</v>
      </c>
      <c r="E1843" s="22" t="s">
        <v>1895</v>
      </c>
    </row>
    <row r="1844" spans="1:5" x14ac:dyDescent="0.25">
      <c r="A1844" s="35">
        <v>46009.326339340274</v>
      </c>
      <c r="B1844" s="22" t="s">
        <v>2221</v>
      </c>
      <c r="C1844" s="22" t="s">
        <v>489</v>
      </c>
      <c r="D1844" s="22" t="s">
        <v>450</v>
      </c>
      <c r="E1844" s="22" t="s">
        <v>1895</v>
      </c>
    </row>
    <row r="1845" spans="1:5" x14ac:dyDescent="0.25">
      <c r="A1845" s="35">
        <v>46009.32634107639</v>
      </c>
      <c r="B1845" s="22" t="s">
        <v>2222</v>
      </c>
      <c r="C1845" s="22" t="s">
        <v>489</v>
      </c>
      <c r="D1845" s="22" t="s">
        <v>450</v>
      </c>
      <c r="E1845" s="22" t="s">
        <v>1895</v>
      </c>
    </row>
    <row r="1846" spans="1:5" x14ac:dyDescent="0.25">
      <c r="A1846" s="35">
        <v>46009.326347025461</v>
      </c>
      <c r="B1846" s="22" t="s">
        <v>2223</v>
      </c>
      <c r="C1846" s="22" t="s">
        <v>489</v>
      </c>
      <c r="D1846" s="22" t="s">
        <v>450</v>
      </c>
      <c r="E1846" s="22" t="s">
        <v>1895</v>
      </c>
    </row>
    <row r="1847" spans="1:5" x14ac:dyDescent="0.25">
      <c r="A1847" s="35">
        <v>46009.326348657407</v>
      </c>
      <c r="B1847" s="22" t="s">
        <v>2224</v>
      </c>
      <c r="C1847" s="22" t="s">
        <v>489</v>
      </c>
      <c r="D1847" s="22" t="s">
        <v>450</v>
      </c>
      <c r="E1847" s="22" t="s">
        <v>1895</v>
      </c>
    </row>
    <row r="1848" spans="1:5" x14ac:dyDescent="0.25">
      <c r="A1848" s="35">
        <v>46009.326350312505</v>
      </c>
      <c r="B1848" s="22" t="s">
        <v>2225</v>
      </c>
      <c r="C1848" s="22" t="s">
        <v>489</v>
      </c>
      <c r="D1848" s="22" t="s">
        <v>450</v>
      </c>
      <c r="E1848" s="22" t="s">
        <v>1895</v>
      </c>
    </row>
    <row r="1849" spans="1:5" x14ac:dyDescent="0.25">
      <c r="A1849" s="35">
        <v>46009.326352002317</v>
      </c>
      <c r="B1849" s="22" t="s">
        <v>2226</v>
      </c>
      <c r="C1849" s="22" t="s">
        <v>489</v>
      </c>
      <c r="D1849" s="22" t="s">
        <v>450</v>
      </c>
      <c r="E1849" s="22" t="s">
        <v>1895</v>
      </c>
    </row>
    <row r="1850" spans="1:5" x14ac:dyDescent="0.25">
      <c r="A1850" s="35">
        <v>46009.326353657409</v>
      </c>
      <c r="B1850" s="22" t="s">
        <v>2227</v>
      </c>
      <c r="C1850" s="22" t="s">
        <v>489</v>
      </c>
      <c r="D1850" s="22" t="s">
        <v>450</v>
      </c>
      <c r="E1850" s="22" t="s">
        <v>1895</v>
      </c>
    </row>
    <row r="1851" spans="1:5" x14ac:dyDescent="0.25">
      <c r="A1851" s="35">
        <v>46009.326355393518</v>
      </c>
      <c r="B1851" s="22" t="s">
        <v>2228</v>
      </c>
      <c r="C1851" s="22" t="s">
        <v>489</v>
      </c>
      <c r="D1851" s="22" t="s">
        <v>450</v>
      </c>
      <c r="E1851" s="22" t="s">
        <v>1895</v>
      </c>
    </row>
    <row r="1852" spans="1:5" x14ac:dyDescent="0.25">
      <c r="A1852" s="35">
        <v>46009.326357025464</v>
      </c>
      <c r="B1852" s="22" t="s">
        <v>2229</v>
      </c>
      <c r="C1852" s="22" t="s">
        <v>489</v>
      </c>
      <c r="D1852" s="22" t="s">
        <v>450</v>
      </c>
      <c r="E1852" s="22" t="s">
        <v>1895</v>
      </c>
    </row>
    <row r="1853" spans="1:5" x14ac:dyDescent="0.25">
      <c r="A1853" s="35">
        <v>46009.326358738428</v>
      </c>
      <c r="B1853" s="22" t="s">
        <v>2230</v>
      </c>
      <c r="C1853" s="22" t="s">
        <v>489</v>
      </c>
      <c r="D1853" s="22" t="s">
        <v>450</v>
      </c>
      <c r="E1853" s="22" t="s">
        <v>1895</v>
      </c>
    </row>
    <row r="1854" spans="1:5" x14ac:dyDescent="0.25">
      <c r="A1854" s="35">
        <v>46009.326367453701</v>
      </c>
      <c r="B1854" s="22" t="s">
        <v>2231</v>
      </c>
      <c r="C1854" s="22" t="s">
        <v>489</v>
      </c>
      <c r="D1854" s="22" t="s">
        <v>450</v>
      </c>
      <c r="E1854" s="22" t="s">
        <v>1895</v>
      </c>
    </row>
    <row r="1855" spans="1:5" x14ac:dyDescent="0.25">
      <c r="A1855" s="35">
        <v>46009.326371736111</v>
      </c>
      <c r="B1855" s="22" t="s">
        <v>2232</v>
      </c>
      <c r="C1855" s="22" t="s">
        <v>489</v>
      </c>
      <c r="D1855" s="22" t="s">
        <v>450</v>
      </c>
      <c r="E1855" s="22" t="s">
        <v>1895</v>
      </c>
    </row>
    <row r="1856" spans="1:5" x14ac:dyDescent="0.25">
      <c r="A1856" s="35">
        <v>46009.326373391203</v>
      </c>
      <c r="B1856" s="22" t="s">
        <v>2233</v>
      </c>
      <c r="C1856" s="22" t="s">
        <v>489</v>
      </c>
      <c r="D1856" s="22" t="s">
        <v>450</v>
      </c>
      <c r="E1856" s="22" t="s">
        <v>1895</v>
      </c>
    </row>
    <row r="1857" spans="1:5" x14ac:dyDescent="0.25">
      <c r="A1857" s="35">
        <v>46009.326383449079</v>
      </c>
      <c r="B1857" s="22" t="s">
        <v>2234</v>
      </c>
      <c r="C1857" s="22" t="s">
        <v>489</v>
      </c>
      <c r="D1857" s="22" t="s">
        <v>450</v>
      </c>
      <c r="E1857" s="22" t="s">
        <v>1895</v>
      </c>
    </row>
    <row r="1858" spans="1:5" x14ac:dyDescent="0.25">
      <c r="A1858" s="35">
        <v>46009.326385173612</v>
      </c>
      <c r="B1858" s="22" t="s">
        <v>2235</v>
      </c>
      <c r="C1858" s="22" t="s">
        <v>489</v>
      </c>
      <c r="D1858" s="22" t="s">
        <v>450</v>
      </c>
      <c r="E1858" s="22" t="s">
        <v>1895</v>
      </c>
    </row>
    <row r="1859" spans="1:5" x14ac:dyDescent="0.25">
      <c r="A1859" s="35">
        <v>46009.326386932866</v>
      </c>
      <c r="B1859" s="22" t="s">
        <v>2236</v>
      </c>
      <c r="C1859" s="22" t="s">
        <v>489</v>
      </c>
      <c r="D1859" s="22" t="s">
        <v>450</v>
      </c>
      <c r="E1859" s="22" t="s">
        <v>1895</v>
      </c>
    </row>
    <row r="1860" spans="1:5" x14ac:dyDescent="0.25">
      <c r="A1860" s="35">
        <v>46009.32638859954</v>
      </c>
      <c r="B1860" s="22" t="s">
        <v>2237</v>
      </c>
      <c r="C1860" s="22" t="s">
        <v>489</v>
      </c>
      <c r="D1860" s="22" t="s">
        <v>450</v>
      </c>
      <c r="E1860" s="22" t="s">
        <v>1895</v>
      </c>
    </row>
    <row r="1861" spans="1:5" x14ac:dyDescent="0.25">
      <c r="A1861" s="35">
        <v>46009.326390486109</v>
      </c>
      <c r="B1861" s="22" t="s">
        <v>2238</v>
      </c>
      <c r="C1861" s="22" t="s">
        <v>489</v>
      </c>
      <c r="D1861" s="22" t="s">
        <v>450</v>
      </c>
      <c r="E1861" s="22" t="s">
        <v>1895</v>
      </c>
    </row>
    <row r="1862" spans="1:5" x14ac:dyDescent="0.25">
      <c r="A1862" s="35">
        <v>46009.326392164352</v>
      </c>
      <c r="B1862" s="22" t="s">
        <v>2239</v>
      </c>
      <c r="C1862" s="22" t="s">
        <v>489</v>
      </c>
      <c r="D1862" s="22" t="s">
        <v>450</v>
      </c>
      <c r="E1862" s="22" t="s">
        <v>1895</v>
      </c>
    </row>
    <row r="1863" spans="1:5" x14ac:dyDescent="0.25">
      <c r="A1863" s="35">
        <v>46009.32639376157</v>
      </c>
      <c r="B1863" s="22" t="s">
        <v>2240</v>
      </c>
      <c r="C1863" s="22" t="s">
        <v>489</v>
      </c>
      <c r="D1863" s="22" t="s">
        <v>450</v>
      </c>
      <c r="E1863" s="22" t="s">
        <v>1895</v>
      </c>
    </row>
    <row r="1864" spans="1:5" x14ac:dyDescent="0.25">
      <c r="A1864" s="35">
        <v>46009.326395462966</v>
      </c>
      <c r="B1864" s="22" t="s">
        <v>2241</v>
      </c>
      <c r="C1864" s="22" t="s">
        <v>489</v>
      </c>
      <c r="D1864" s="22" t="s">
        <v>450</v>
      </c>
      <c r="E1864" s="22" t="s">
        <v>1895</v>
      </c>
    </row>
    <row r="1865" spans="1:5" x14ac:dyDescent="0.25">
      <c r="A1865" s="35">
        <v>46009.326397210651</v>
      </c>
      <c r="B1865" s="22" t="s">
        <v>2242</v>
      </c>
      <c r="C1865" s="22" t="s">
        <v>489</v>
      </c>
      <c r="D1865" s="22" t="s">
        <v>450</v>
      </c>
      <c r="E1865" s="22" t="s">
        <v>1895</v>
      </c>
    </row>
    <row r="1866" spans="1:5" x14ac:dyDescent="0.25">
      <c r="A1866" s="35">
        <v>46009.326399074074</v>
      </c>
      <c r="B1866" s="22" t="s">
        <v>2243</v>
      </c>
      <c r="C1866" s="22" t="s">
        <v>489</v>
      </c>
      <c r="D1866" s="22" t="s">
        <v>450</v>
      </c>
      <c r="E1866" s="22" t="s">
        <v>1895</v>
      </c>
    </row>
    <row r="1867" spans="1:5" x14ac:dyDescent="0.25">
      <c r="A1867" s="35">
        <v>46009.326400763894</v>
      </c>
      <c r="B1867" s="22" t="s">
        <v>2244</v>
      </c>
      <c r="C1867" s="22" t="s">
        <v>489</v>
      </c>
      <c r="D1867" s="22" t="s">
        <v>450</v>
      </c>
      <c r="E1867" s="22" t="s">
        <v>1895</v>
      </c>
    </row>
    <row r="1868" spans="1:5" x14ac:dyDescent="0.25">
      <c r="A1868" s="35">
        <v>46009.32640247685</v>
      </c>
      <c r="B1868" s="22" t="s">
        <v>2245</v>
      </c>
      <c r="C1868" s="22" t="s">
        <v>489</v>
      </c>
      <c r="D1868" s="22" t="s">
        <v>450</v>
      </c>
      <c r="E1868" s="22" t="s">
        <v>1895</v>
      </c>
    </row>
    <row r="1869" spans="1:5" x14ac:dyDescent="0.25">
      <c r="A1869" s="35">
        <v>46009.326404212959</v>
      </c>
      <c r="B1869" s="22" t="s">
        <v>2246</v>
      </c>
      <c r="C1869" s="22" t="s">
        <v>489</v>
      </c>
      <c r="D1869" s="22" t="s">
        <v>450</v>
      </c>
      <c r="E1869" s="22" t="s">
        <v>1895</v>
      </c>
    </row>
    <row r="1870" spans="1:5" x14ac:dyDescent="0.25">
      <c r="A1870" s="35">
        <v>46009.326405995365</v>
      </c>
      <c r="B1870" s="22" t="s">
        <v>2247</v>
      </c>
      <c r="C1870" s="22" t="s">
        <v>489</v>
      </c>
      <c r="D1870" s="22" t="s">
        <v>450</v>
      </c>
      <c r="E1870" s="22" t="s">
        <v>1895</v>
      </c>
    </row>
    <row r="1871" spans="1:5" x14ac:dyDescent="0.25">
      <c r="A1871" s="35">
        <v>46009.326410277776</v>
      </c>
      <c r="B1871" s="22" t="s">
        <v>2248</v>
      </c>
      <c r="C1871" s="22" t="s">
        <v>489</v>
      </c>
      <c r="D1871" s="22" t="s">
        <v>450</v>
      </c>
      <c r="E1871" s="22" t="s">
        <v>1895</v>
      </c>
    </row>
    <row r="1872" spans="1:5" x14ac:dyDescent="0.25">
      <c r="A1872" s="35">
        <v>46009.32641199074</v>
      </c>
      <c r="B1872" s="22" t="s">
        <v>2249</v>
      </c>
      <c r="C1872" s="22" t="s">
        <v>489</v>
      </c>
      <c r="D1872" s="22" t="s">
        <v>450</v>
      </c>
      <c r="E1872" s="22" t="s">
        <v>1895</v>
      </c>
    </row>
    <row r="1873" spans="1:5" x14ac:dyDescent="0.25">
      <c r="A1873" s="35">
        <v>46009.326413692128</v>
      </c>
      <c r="B1873" s="22" t="s">
        <v>2250</v>
      </c>
      <c r="C1873" s="22" t="s">
        <v>489</v>
      </c>
      <c r="D1873" s="22" t="s">
        <v>450</v>
      </c>
      <c r="E1873" s="22" t="s">
        <v>1895</v>
      </c>
    </row>
    <row r="1874" spans="1:5" x14ac:dyDescent="0.25">
      <c r="A1874" s="35">
        <v>46009.326415381947</v>
      </c>
      <c r="B1874" s="22" t="s">
        <v>2251</v>
      </c>
      <c r="C1874" s="22" t="s">
        <v>489</v>
      </c>
      <c r="D1874" s="22" t="s">
        <v>450</v>
      </c>
      <c r="E1874" s="22" t="s">
        <v>1895</v>
      </c>
    </row>
    <row r="1875" spans="1:5" x14ac:dyDescent="0.25">
      <c r="A1875" s="35">
        <v>46009.326416990742</v>
      </c>
      <c r="B1875" s="22" t="s">
        <v>2252</v>
      </c>
      <c r="C1875" s="22" t="s">
        <v>489</v>
      </c>
      <c r="D1875" s="22" t="s">
        <v>450</v>
      </c>
      <c r="E1875" s="22" t="s">
        <v>1895</v>
      </c>
    </row>
    <row r="1876" spans="1:5" x14ac:dyDescent="0.25">
      <c r="A1876" s="35">
        <v>46009.32641869213</v>
      </c>
      <c r="B1876" s="22" t="s">
        <v>2253</v>
      </c>
      <c r="C1876" s="22" t="s">
        <v>489</v>
      </c>
      <c r="D1876" s="22" t="s">
        <v>450</v>
      </c>
      <c r="E1876" s="22" t="s">
        <v>1895</v>
      </c>
    </row>
    <row r="1877" spans="1:5" x14ac:dyDescent="0.25">
      <c r="A1877" s="35">
        <v>46009.326420393518</v>
      </c>
      <c r="B1877" s="22" t="s">
        <v>2254</v>
      </c>
      <c r="C1877" s="22" t="s">
        <v>489</v>
      </c>
      <c r="D1877" s="22" t="s">
        <v>450</v>
      </c>
      <c r="E1877" s="22" t="s">
        <v>1895</v>
      </c>
    </row>
    <row r="1878" spans="1:5" x14ac:dyDescent="0.25">
      <c r="A1878" s="35">
        <v>46009.326422129627</v>
      </c>
      <c r="B1878" s="22" t="s">
        <v>2255</v>
      </c>
      <c r="C1878" s="22" t="s">
        <v>489</v>
      </c>
      <c r="D1878" s="22" t="s">
        <v>450</v>
      </c>
      <c r="E1878" s="22" t="s">
        <v>1895</v>
      </c>
    </row>
    <row r="1879" spans="1:5" x14ac:dyDescent="0.25">
      <c r="A1879" s="35">
        <v>46009.326423796301</v>
      </c>
      <c r="B1879" s="22" t="s">
        <v>2256</v>
      </c>
      <c r="C1879" s="22" t="s">
        <v>489</v>
      </c>
      <c r="D1879" s="22" t="s">
        <v>450</v>
      </c>
      <c r="E1879" s="22" t="s">
        <v>1895</v>
      </c>
    </row>
    <row r="1880" spans="1:5" x14ac:dyDescent="0.25">
      <c r="A1880" s="35">
        <v>46009.326425578707</v>
      </c>
      <c r="B1880" s="22" t="s">
        <v>2257</v>
      </c>
      <c r="C1880" s="22" t="s">
        <v>489</v>
      </c>
      <c r="D1880" s="22" t="s">
        <v>450</v>
      </c>
      <c r="E1880" s="22" t="s">
        <v>1895</v>
      </c>
    </row>
    <row r="1881" spans="1:5" x14ac:dyDescent="0.25">
      <c r="A1881" s="35">
        <v>46009.326427314816</v>
      </c>
      <c r="B1881" s="22" t="s">
        <v>2258</v>
      </c>
      <c r="C1881" s="22" t="s">
        <v>489</v>
      </c>
      <c r="D1881" s="22" t="s">
        <v>450</v>
      </c>
      <c r="E1881" s="22" t="s">
        <v>1895</v>
      </c>
    </row>
    <row r="1882" spans="1:5" x14ac:dyDescent="0.25">
      <c r="A1882" s="35">
        <v>46009.326429120367</v>
      </c>
      <c r="B1882" s="22" t="s">
        <v>2259</v>
      </c>
      <c r="C1882" s="22" t="s">
        <v>489</v>
      </c>
      <c r="D1882" s="22" t="s">
        <v>450</v>
      </c>
      <c r="E1882" s="22" t="s">
        <v>1895</v>
      </c>
    </row>
    <row r="1883" spans="1:5" x14ac:dyDescent="0.25">
      <c r="A1883" s="35">
        <v>46009.326430740737</v>
      </c>
      <c r="B1883" s="22" t="s">
        <v>2260</v>
      </c>
      <c r="C1883" s="22" t="s">
        <v>489</v>
      </c>
      <c r="D1883" s="22" t="s">
        <v>450</v>
      </c>
      <c r="E1883" s="22" t="s">
        <v>1895</v>
      </c>
    </row>
    <row r="1884" spans="1:5" x14ac:dyDescent="0.25">
      <c r="A1884" s="35">
        <v>46009.326432268514</v>
      </c>
      <c r="B1884" s="22" t="s">
        <v>2261</v>
      </c>
      <c r="C1884" s="22" t="s">
        <v>489</v>
      </c>
      <c r="D1884" s="22" t="s">
        <v>450</v>
      </c>
      <c r="E1884" s="22" t="s">
        <v>1895</v>
      </c>
    </row>
    <row r="1885" spans="1:5" x14ac:dyDescent="0.25">
      <c r="A1885" s="35">
        <v>46009.326438518518</v>
      </c>
      <c r="B1885" s="22" t="s">
        <v>2262</v>
      </c>
      <c r="C1885" s="22" t="s">
        <v>489</v>
      </c>
      <c r="D1885" s="22" t="s">
        <v>450</v>
      </c>
      <c r="E1885" s="22" t="s">
        <v>1895</v>
      </c>
    </row>
    <row r="1886" spans="1:5" x14ac:dyDescent="0.25">
      <c r="A1886" s="35">
        <v>46009.326446597217</v>
      </c>
      <c r="B1886" s="22" t="s">
        <v>2263</v>
      </c>
      <c r="C1886" s="22" t="s">
        <v>489</v>
      </c>
      <c r="D1886" s="22" t="s">
        <v>450</v>
      </c>
      <c r="E1886" s="22" t="s">
        <v>1895</v>
      </c>
    </row>
    <row r="1887" spans="1:5" x14ac:dyDescent="0.25">
      <c r="A1887" s="35">
        <v>46009.32645226852</v>
      </c>
      <c r="B1887" s="22" t="s">
        <v>2264</v>
      </c>
      <c r="C1887" s="22" t="s">
        <v>489</v>
      </c>
      <c r="D1887" s="22" t="s">
        <v>450</v>
      </c>
      <c r="E1887" s="22" t="s">
        <v>1895</v>
      </c>
    </row>
    <row r="1888" spans="1:5" x14ac:dyDescent="0.25">
      <c r="A1888" s="35">
        <v>46009.326455057875</v>
      </c>
      <c r="B1888" s="22" t="s">
        <v>2265</v>
      </c>
      <c r="C1888" s="22" t="s">
        <v>489</v>
      </c>
      <c r="D1888" s="22" t="s">
        <v>450</v>
      </c>
      <c r="E1888" s="22" t="s">
        <v>1895</v>
      </c>
    </row>
    <row r="1889" spans="1:5" x14ac:dyDescent="0.25">
      <c r="A1889" s="35">
        <v>46009.326456770832</v>
      </c>
      <c r="B1889" s="22" t="s">
        <v>2266</v>
      </c>
      <c r="C1889" s="22" t="s">
        <v>489</v>
      </c>
      <c r="D1889" s="22" t="s">
        <v>450</v>
      </c>
      <c r="E1889" s="22" t="s">
        <v>1895</v>
      </c>
    </row>
    <row r="1890" spans="1:5" x14ac:dyDescent="0.25">
      <c r="A1890" s="35">
        <v>46009.326468356478</v>
      </c>
      <c r="B1890" s="22" t="s">
        <v>2267</v>
      </c>
      <c r="C1890" s="22" t="s">
        <v>489</v>
      </c>
      <c r="D1890" s="22" t="s">
        <v>450</v>
      </c>
      <c r="E1890" s="22" t="s">
        <v>1895</v>
      </c>
    </row>
    <row r="1891" spans="1:5" x14ac:dyDescent="0.25">
      <c r="A1891" s="35">
        <v>46009.326469930558</v>
      </c>
      <c r="B1891" s="22" t="s">
        <v>2268</v>
      </c>
      <c r="C1891" s="22" t="s">
        <v>489</v>
      </c>
      <c r="D1891" s="22" t="s">
        <v>450</v>
      </c>
      <c r="E1891" s="22" t="s">
        <v>1895</v>
      </c>
    </row>
    <row r="1892" spans="1:5" x14ac:dyDescent="0.25">
      <c r="A1892" s="35">
        <v>46009.326471805558</v>
      </c>
      <c r="B1892" s="22" t="s">
        <v>2269</v>
      </c>
      <c r="C1892" s="22" t="s">
        <v>489</v>
      </c>
      <c r="D1892" s="22" t="s">
        <v>450</v>
      </c>
      <c r="E1892" s="22" t="s">
        <v>1895</v>
      </c>
    </row>
    <row r="1893" spans="1:5" x14ac:dyDescent="0.25">
      <c r="A1893" s="35">
        <v>46009.326473611116</v>
      </c>
      <c r="B1893" s="22" t="s">
        <v>2270</v>
      </c>
      <c r="C1893" s="22" t="s">
        <v>489</v>
      </c>
      <c r="D1893" s="22" t="s">
        <v>450</v>
      </c>
      <c r="E1893" s="22" t="s">
        <v>1895</v>
      </c>
    </row>
    <row r="1894" spans="1:5" x14ac:dyDescent="0.25">
      <c r="A1894" s="35">
        <v>46009.326475520837</v>
      </c>
      <c r="B1894" s="22" t="s">
        <v>2271</v>
      </c>
      <c r="C1894" s="22" t="s">
        <v>489</v>
      </c>
      <c r="D1894" s="22" t="s">
        <v>450</v>
      </c>
      <c r="E1894" s="22" t="s">
        <v>1895</v>
      </c>
    </row>
    <row r="1895" spans="1:5" x14ac:dyDescent="0.25">
      <c r="A1895" s="35">
        <v>46009.326477233801</v>
      </c>
      <c r="B1895" s="22" t="s">
        <v>2272</v>
      </c>
      <c r="C1895" s="22" t="s">
        <v>489</v>
      </c>
      <c r="D1895" s="22" t="s">
        <v>450</v>
      </c>
      <c r="E1895" s="22" t="s">
        <v>1895</v>
      </c>
    </row>
    <row r="1896" spans="1:5" x14ac:dyDescent="0.25">
      <c r="A1896" s="35">
        <v>46009.326479178242</v>
      </c>
      <c r="B1896" s="22" t="s">
        <v>2273</v>
      </c>
      <c r="C1896" s="22" t="s">
        <v>489</v>
      </c>
      <c r="D1896" s="22" t="s">
        <v>450</v>
      </c>
      <c r="E1896" s="22" t="s">
        <v>1895</v>
      </c>
    </row>
    <row r="1897" spans="1:5" x14ac:dyDescent="0.25">
      <c r="A1897" s="35">
        <v>46009.326481145836</v>
      </c>
      <c r="B1897" s="22" t="s">
        <v>2274</v>
      </c>
      <c r="C1897" s="22" t="s">
        <v>489</v>
      </c>
      <c r="D1897" s="22" t="s">
        <v>450</v>
      </c>
      <c r="E1897" s="22" t="s">
        <v>1895</v>
      </c>
    </row>
    <row r="1898" spans="1:5" x14ac:dyDescent="0.25">
      <c r="A1898" s="35">
        <v>46009.32648304398</v>
      </c>
      <c r="B1898" s="22" t="s">
        <v>2275</v>
      </c>
      <c r="C1898" s="22" t="s">
        <v>489</v>
      </c>
      <c r="D1898" s="22" t="s">
        <v>450</v>
      </c>
      <c r="E1898" s="22" t="s">
        <v>1895</v>
      </c>
    </row>
    <row r="1899" spans="1:5" x14ac:dyDescent="0.25">
      <c r="A1899" s="35">
        <v>46009.32648481481</v>
      </c>
      <c r="B1899" s="22" t="s">
        <v>2276</v>
      </c>
      <c r="C1899" s="22" t="s">
        <v>489</v>
      </c>
      <c r="D1899" s="22" t="s">
        <v>450</v>
      </c>
      <c r="E1899" s="22" t="s">
        <v>1895</v>
      </c>
    </row>
    <row r="1900" spans="1:5" x14ac:dyDescent="0.25">
      <c r="A1900" s="35">
        <v>46009.326490370368</v>
      </c>
      <c r="B1900" s="22" t="s">
        <v>2277</v>
      </c>
      <c r="C1900" s="22" t="s">
        <v>489</v>
      </c>
      <c r="D1900" s="22" t="s">
        <v>450</v>
      </c>
      <c r="E1900" s="22" t="s">
        <v>1895</v>
      </c>
    </row>
    <row r="1901" spans="1:5" x14ac:dyDescent="0.25">
      <c r="A1901" s="35">
        <v>46009.326497210648</v>
      </c>
      <c r="B1901" s="22" t="s">
        <v>2278</v>
      </c>
      <c r="C1901" s="22" t="s">
        <v>489</v>
      </c>
      <c r="D1901" s="22" t="s">
        <v>450</v>
      </c>
      <c r="E1901" s="22" t="s">
        <v>1895</v>
      </c>
    </row>
    <row r="1902" spans="1:5" x14ac:dyDescent="0.25">
      <c r="A1902" s="35">
        <v>46009.326498900467</v>
      </c>
      <c r="B1902" s="22" t="s">
        <v>2279</v>
      </c>
      <c r="C1902" s="22" t="s">
        <v>489</v>
      </c>
      <c r="D1902" s="22" t="s">
        <v>450</v>
      </c>
      <c r="E1902" s="22" t="s">
        <v>1895</v>
      </c>
    </row>
    <row r="1903" spans="1:5" x14ac:dyDescent="0.25">
      <c r="A1903" s="35">
        <v>46009.326500532406</v>
      </c>
      <c r="B1903" s="22" t="s">
        <v>2280</v>
      </c>
      <c r="C1903" s="22" t="s">
        <v>489</v>
      </c>
      <c r="D1903" s="22" t="s">
        <v>450</v>
      </c>
      <c r="E1903" s="22" t="s">
        <v>1895</v>
      </c>
    </row>
    <row r="1904" spans="1:5" x14ac:dyDescent="0.25">
      <c r="A1904" s="35">
        <v>46009.326502395837</v>
      </c>
      <c r="B1904" s="22" t="s">
        <v>2281</v>
      </c>
      <c r="C1904" s="22" t="s">
        <v>489</v>
      </c>
      <c r="D1904" s="22" t="s">
        <v>450</v>
      </c>
      <c r="E1904" s="22" t="s">
        <v>1895</v>
      </c>
    </row>
    <row r="1905" spans="1:5" x14ac:dyDescent="0.25">
      <c r="A1905" s="35">
        <v>46009.331592893519</v>
      </c>
      <c r="B1905" s="22" t="s">
        <v>1896</v>
      </c>
      <c r="C1905" s="22" t="s">
        <v>1894</v>
      </c>
      <c r="D1905" s="22" t="s">
        <v>449</v>
      </c>
      <c r="E1905" s="22" t="s">
        <v>1895</v>
      </c>
    </row>
    <row r="1906" spans="1:5" x14ac:dyDescent="0.25">
      <c r="A1906" s="35">
        <v>46009.33159563657</v>
      </c>
      <c r="B1906" s="22" t="s">
        <v>1897</v>
      </c>
      <c r="C1906" s="22" t="s">
        <v>1894</v>
      </c>
      <c r="D1906" s="22" t="s">
        <v>449</v>
      </c>
      <c r="E1906" s="22" t="s">
        <v>1895</v>
      </c>
    </row>
    <row r="1907" spans="1:5" x14ac:dyDescent="0.25">
      <c r="A1907" s="35">
        <v>46009.331598148143</v>
      </c>
      <c r="B1907" s="22" t="s">
        <v>1898</v>
      </c>
      <c r="C1907" s="22" t="s">
        <v>1894</v>
      </c>
      <c r="D1907" s="22" t="s">
        <v>449</v>
      </c>
      <c r="E1907" s="22" t="s">
        <v>1895</v>
      </c>
    </row>
    <row r="1908" spans="1:5" x14ac:dyDescent="0.25">
      <c r="A1908" s="35">
        <v>46009.331600555553</v>
      </c>
      <c r="B1908" s="22" t="s">
        <v>1899</v>
      </c>
      <c r="C1908" s="22" t="s">
        <v>1894</v>
      </c>
      <c r="D1908" s="22" t="s">
        <v>449</v>
      </c>
      <c r="E1908" s="22" t="s">
        <v>1895</v>
      </c>
    </row>
    <row r="1909" spans="1:5" x14ac:dyDescent="0.25">
      <c r="A1909" s="35">
        <v>46009.331602858801</v>
      </c>
      <c r="B1909" s="22" t="s">
        <v>1900</v>
      </c>
      <c r="C1909" s="22" t="s">
        <v>1894</v>
      </c>
      <c r="D1909" s="22" t="s">
        <v>449</v>
      </c>
      <c r="E1909" s="22" t="s">
        <v>1895</v>
      </c>
    </row>
    <row r="1910" spans="1:5" x14ac:dyDescent="0.25">
      <c r="A1910" s="35">
        <v>46009.336872094907</v>
      </c>
      <c r="B1910" s="22" t="s">
        <v>488</v>
      </c>
      <c r="C1910" s="22" t="s">
        <v>468</v>
      </c>
      <c r="D1910" s="22" t="s">
        <v>470</v>
      </c>
      <c r="E1910" s="22" t="s">
        <v>1895</v>
      </c>
    </row>
    <row r="1911" spans="1:5" x14ac:dyDescent="0.25">
      <c r="A1911" s="35">
        <v>46009.336873749999</v>
      </c>
      <c r="B1911" s="22" t="s">
        <v>497</v>
      </c>
      <c r="C1911" s="22" t="s">
        <v>468</v>
      </c>
      <c r="D1911" s="22" t="s">
        <v>470</v>
      </c>
      <c r="E1911" s="22" t="s">
        <v>1895</v>
      </c>
    </row>
    <row r="1912" spans="1:5" x14ac:dyDescent="0.25">
      <c r="A1912" s="35">
        <v>46009.33687550926</v>
      </c>
      <c r="B1912" s="22" t="s">
        <v>505</v>
      </c>
      <c r="C1912" s="22" t="s">
        <v>468</v>
      </c>
      <c r="D1912" s="22" t="s">
        <v>470</v>
      </c>
      <c r="E1912" s="22" t="s">
        <v>1895</v>
      </c>
    </row>
    <row r="1913" spans="1:5" x14ac:dyDescent="0.25">
      <c r="A1913" s="35">
        <v>46009.336877256945</v>
      </c>
      <c r="B1913" s="22" t="s">
        <v>506</v>
      </c>
      <c r="C1913" s="22" t="s">
        <v>468</v>
      </c>
      <c r="D1913" s="22" t="s">
        <v>470</v>
      </c>
      <c r="E1913" s="22" t="s">
        <v>1895</v>
      </c>
    </row>
    <row r="1914" spans="1:5" x14ac:dyDescent="0.25">
      <c r="A1914" s="35">
        <v>46009.336878935181</v>
      </c>
      <c r="B1914" s="22" t="s">
        <v>570</v>
      </c>
      <c r="C1914" s="22" t="s">
        <v>468</v>
      </c>
      <c r="D1914" s="22" t="s">
        <v>470</v>
      </c>
      <c r="E1914" s="22" t="s">
        <v>1895</v>
      </c>
    </row>
    <row r="1915" spans="1:5" x14ac:dyDescent="0.25">
      <c r="A1915" s="35">
        <v>46009.336883518517</v>
      </c>
      <c r="B1915" s="22" t="s">
        <v>583</v>
      </c>
      <c r="C1915" s="22" t="s">
        <v>468</v>
      </c>
      <c r="D1915" s="22" t="s">
        <v>470</v>
      </c>
      <c r="E1915" s="22" t="s">
        <v>1895</v>
      </c>
    </row>
    <row r="1916" spans="1:5" x14ac:dyDescent="0.25">
      <c r="A1916" s="35">
        <v>46009.336885208337</v>
      </c>
      <c r="B1916" s="22" t="s">
        <v>588</v>
      </c>
      <c r="C1916" s="22" t="s">
        <v>468</v>
      </c>
      <c r="D1916" s="22" t="s">
        <v>470</v>
      </c>
      <c r="E1916" s="22" t="s">
        <v>1895</v>
      </c>
    </row>
    <row r="1917" spans="1:5" x14ac:dyDescent="0.25">
      <c r="A1917" s="35">
        <v>46009.336887256941</v>
      </c>
      <c r="B1917" s="22" t="s">
        <v>589</v>
      </c>
      <c r="C1917" s="22" t="s">
        <v>468</v>
      </c>
      <c r="D1917" s="22" t="s">
        <v>470</v>
      </c>
      <c r="E1917" s="22" t="s">
        <v>1895</v>
      </c>
    </row>
    <row r="1918" spans="1:5" x14ac:dyDescent="0.25">
      <c r="A1918" s="35">
        <v>46009.336889062499</v>
      </c>
      <c r="B1918" s="22" t="s">
        <v>590</v>
      </c>
      <c r="C1918" s="22" t="s">
        <v>468</v>
      </c>
      <c r="D1918" s="22" t="s">
        <v>470</v>
      </c>
      <c r="E1918" s="22" t="s">
        <v>1895</v>
      </c>
    </row>
    <row r="1919" spans="1:5" x14ac:dyDescent="0.25">
      <c r="A1919" s="35">
        <v>46009.33690149305</v>
      </c>
      <c r="B1919" s="22" t="s">
        <v>609</v>
      </c>
      <c r="C1919" s="22" t="s">
        <v>468</v>
      </c>
      <c r="D1919" s="22" t="s">
        <v>470</v>
      </c>
      <c r="E1919" s="22" t="s">
        <v>1895</v>
      </c>
    </row>
    <row r="1920" spans="1:5" x14ac:dyDescent="0.25">
      <c r="A1920" s="35">
        <v>46009.336903055555</v>
      </c>
      <c r="B1920" s="22" t="s">
        <v>651</v>
      </c>
      <c r="C1920" s="22" t="s">
        <v>468</v>
      </c>
      <c r="D1920" s="22" t="s">
        <v>470</v>
      </c>
      <c r="E1920" s="22" t="s">
        <v>1895</v>
      </c>
    </row>
    <row r="1921" spans="1:5" x14ac:dyDescent="0.25">
      <c r="A1921" s="35">
        <v>46009.336904849537</v>
      </c>
      <c r="B1921" s="22" t="s">
        <v>657</v>
      </c>
      <c r="C1921" s="22" t="s">
        <v>468</v>
      </c>
      <c r="D1921" s="22" t="s">
        <v>470</v>
      </c>
      <c r="E1921" s="22" t="s">
        <v>1895</v>
      </c>
    </row>
    <row r="1922" spans="1:5" x14ac:dyDescent="0.25">
      <c r="A1922" s="35">
        <v>46009.336906828699</v>
      </c>
      <c r="B1922" s="22" t="s">
        <v>706</v>
      </c>
      <c r="C1922" s="22" t="s">
        <v>468</v>
      </c>
      <c r="D1922" s="22" t="s">
        <v>470</v>
      </c>
      <c r="E1922" s="22" t="s">
        <v>1895</v>
      </c>
    </row>
    <row r="1923" spans="1:5" x14ac:dyDescent="0.25">
      <c r="A1923" s="35">
        <v>46009.336908379628</v>
      </c>
      <c r="B1923" s="22" t="s">
        <v>755</v>
      </c>
      <c r="C1923" s="22" t="s">
        <v>468</v>
      </c>
      <c r="D1923" s="22" t="s">
        <v>470</v>
      </c>
      <c r="E1923" s="22" t="s">
        <v>1895</v>
      </c>
    </row>
    <row r="1924" spans="1:5" x14ac:dyDescent="0.25">
      <c r="A1924" s="35">
        <v>46009.336910243059</v>
      </c>
      <c r="B1924" s="22" t="s">
        <v>773</v>
      </c>
      <c r="C1924" s="22" t="s">
        <v>468</v>
      </c>
      <c r="D1924" s="22" t="s">
        <v>470</v>
      </c>
      <c r="E1924" s="22" t="s">
        <v>1895</v>
      </c>
    </row>
    <row r="1925" spans="1:5" x14ac:dyDescent="0.25">
      <c r="A1925" s="35">
        <v>46009.336911979168</v>
      </c>
      <c r="B1925" s="22" t="s">
        <v>787</v>
      </c>
      <c r="C1925" s="22" t="s">
        <v>468</v>
      </c>
      <c r="D1925" s="22" t="s">
        <v>470</v>
      </c>
      <c r="E1925" s="22" t="s">
        <v>1895</v>
      </c>
    </row>
    <row r="1926" spans="1:5" x14ac:dyDescent="0.25">
      <c r="A1926" s="35">
        <v>46009.336913796295</v>
      </c>
      <c r="B1926" s="22" t="s">
        <v>832</v>
      </c>
      <c r="C1926" s="22" t="s">
        <v>468</v>
      </c>
      <c r="D1926" s="22" t="s">
        <v>470</v>
      </c>
      <c r="E1926" s="22" t="s">
        <v>1895</v>
      </c>
    </row>
    <row r="1927" spans="1:5" x14ac:dyDescent="0.25">
      <c r="A1927" s="35">
        <v>46009.336915532404</v>
      </c>
      <c r="B1927" s="22" t="s">
        <v>836</v>
      </c>
      <c r="C1927" s="22" t="s">
        <v>468</v>
      </c>
      <c r="D1927" s="22" t="s">
        <v>470</v>
      </c>
      <c r="E1927" s="22" t="s">
        <v>1895</v>
      </c>
    </row>
    <row r="1928" spans="1:5" x14ac:dyDescent="0.25">
      <c r="A1928" s="35">
        <v>46009.336916967593</v>
      </c>
      <c r="B1928" s="22" t="s">
        <v>863</v>
      </c>
      <c r="C1928" s="22" t="s">
        <v>468</v>
      </c>
      <c r="D1928" s="22" t="s">
        <v>470</v>
      </c>
      <c r="E1928" s="22" t="s">
        <v>1895</v>
      </c>
    </row>
    <row r="1929" spans="1:5" x14ac:dyDescent="0.25">
      <c r="A1929" s="35">
        <v>46009.336918541667</v>
      </c>
      <c r="B1929" s="22" t="s">
        <v>866</v>
      </c>
      <c r="C1929" s="22" t="s">
        <v>468</v>
      </c>
      <c r="D1929" s="22" t="s">
        <v>470</v>
      </c>
      <c r="E1929" s="22" t="s">
        <v>1895</v>
      </c>
    </row>
    <row r="1930" spans="1:5" x14ac:dyDescent="0.25">
      <c r="A1930" s="35">
        <v>46009.33692105324</v>
      </c>
      <c r="B1930" s="22" t="s">
        <v>895</v>
      </c>
      <c r="C1930" s="22" t="s">
        <v>468</v>
      </c>
      <c r="D1930" s="22" t="s">
        <v>470</v>
      </c>
      <c r="E1930" s="22" t="s">
        <v>1895</v>
      </c>
    </row>
    <row r="1931" spans="1:5" x14ac:dyDescent="0.25">
      <c r="A1931" s="35">
        <v>46009.336922650458</v>
      </c>
      <c r="B1931" s="22" t="s">
        <v>923</v>
      </c>
      <c r="C1931" s="22" t="s">
        <v>468</v>
      </c>
      <c r="D1931" s="22" t="s">
        <v>470</v>
      </c>
      <c r="E1931" s="22" t="s">
        <v>1895</v>
      </c>
    </row>
    <row r="1932" spans="1:5" x14ac:dyDescent="0.25">
      <c r="A1932" s="35">
        <v>46009.336926273143</v>
      </c>
      <c r="B1932" s="22" t="s">
        <v>937</v>
      </c>
      <c r="C1932" s="22" t="s">
        <v>468</v>
      </c>
      <c r="D1932" s="22" t="s">
        <v>470</v>
      </c>
      <c r="E1932" s="22" t="s">
        <v>1895</v>
      </c>
    </row>
    <row r="1933" spans="1:5" x14ac:dyDescent="0.25">
      <c r="A1933" s="35">
        <v>46009.336928148143</v>
      </c>
      <c r="B1933" s="22" t="s">
        <v>988</v>
      </c>
      <c r="C1933" s="22" t="s">
        <v>468</v>
      </c>
      <c r="D1933" s="22" t="s">
        <v>470</v>
      </c>
      <c r="E1933" s="22" t="s">
        <v>1895</v>
      </c>
    </row>
    <row r="1934" spans="1:5" x14ac:dyDescent="0.25">
      <c r="A1934" s="35">
        <v>46009.336929930556</v>
      </c>
      <c r="B1934" s="22" t="s">
        <v>1028</v>
      </c>
      <c r="C1934" s="22" t="s">
        <v>468</v>
      </c>
      <c r="D1934" s="22" t="s">
        <v>470</v>
      </c>
      <c r="E1934" s="22" t="s">
        <v>1895</v>
      </c>
    </row>
    <row r="1935" spans="1:5" x14ac:dyDescent="0.25">
      <c r="A1935" s="35">
        <v>46009.33693179398</v>
      </c>
      <c r="B1935" s="22" t="s">
        <v>1078</v>
      </c>
      <c r="C1935" s="22" t="s">
        <v>468</v>
      </c>
      <c r="D1935" s="22" t="s">
        <v>470</v>
      </c>
      <c r="E1935" s="22" t="s">
        <v>1895</v>
      </c>
    </row>
    <row r="1936" spans="1:5" x14ac:dyDescent="0.25">
      <c r="A1936" s="35">
        <v>46009.336936666667</v>
      </c>
      <c r="B1936" s="22" t="s">
        <v>1089</v>
      </c>
      <c r="C1936" s="22" t="s">
        <v>468</v>
      </c>
      <c r="D1936" s="22" t="s">
        <v>470</v>
      </c>
      <c r="E1936" s="22" t="s">
        <v>1895</v>
      </c>
    </row>
    <row r="1937" spans="1:5" x14ac:dyDescent="0.25">
      <c r="A1937" s="35">
        <v>46009.336938715278</v>
      </c>
      <c r="B1937" s="22" t="s">
        <v>1106</v>
      </c>
      <c r="C1937" s="22" t="s">
        <v>468</v>
      </c>
      <c r="D1937" s="22" t="s">
        <v>470</v>
      </c>
      <c r="E1937" s="22" t="s">
        <v>1895</v>
      </c>
    </row>
    <row r="1938" spans="1:5" x14ac:dyDescent="0.25">
      <c r="A1938" s="35">
        <v>46009.336940416666</v>
      </c>
      <c r="B1938" s="22" t="s">
        <v>1127</v>
      </c>
      <c r="C1938" s="22" t="s">
        <v>468</v>
      </c>
      <c r="D1938" s="22" t="s">
        <v>470</v>
      </c>
      <c r="E1938" s="22" t="s">
        <v>1895</v>
      </c>
    </row>
    <row r="1939" spans="1:5" x14ac:dyDescent="0.25">
      <c r="A1939" s="35">
        <v>46009.336945636576</v>
      </c>
      <c r="B1939" s="22" t="s">
        <v>1132</v>
      </c>
      <c r="C1939" s="22" t="s">
        <v>468</v>
      </c>
      <c r="D1939" s="22" t="s">
        <v>470</v>
      </c>
      <c r="E1939" s="22" t="s">
        <v>1895</v>
      </c>
    </row>
    <row r="1940" spans="1:5" x14ac:dyDescent="0.25">
      <c r="A1940" s="35">
        <v>46009.336951273144</v>
      </c>
      <c r="B1940" s="22" t="s">
        <v>1170</v>
      </c>
      <c r="C1940" s="22" t="s">
        <v>468</v>
      </c>
      <c r="D1940" s="22" t="s">
        <v>470</v>
      </c>
      <c r="E1940" s="22" t="s">
        <v>1895</v>
      </c>
    </row>
    <row r="1941" spans="1:5" x14ac:dyDescent="0.25">
      <c r="A1941" s="35">
        <v>46009.336963032409</v>
      </c>
      <c r="B1941" s="22" t="s">
        <v>1186</v>
      </c>
      <c r="C1941" s="22" t="s">
        <v>468</v>
      </c>
      <c r="D1941" s="22" t="s">
        <v>470</v>
      </c>
      <c r="E1941" s="22" t="s">
        <v>1895</v>
      </c>
    </row>
    <row r="1942" spans="1:5" x14ac:dyDescent="0.25">
      <c r="A1942" s="35">
        <v>46009.336964652779</v>
      </c>
      <c r="B1942" s="22" t="s">
        <v>1190</v>
      </c>
      <c r="C1942" s="22" t="s">
        <v>468</v>
      </c>
      <c r="D1942" s="22" t="s">
        <v>470</v>
      </c>
      <c r="E1942" s="22" t="s">
        <v>1895</v>
      </c>
    </row>
    <row r="1943" spans="1:5" x14ac:dyDescent="0.25">
      <c r="A1943" s="35">
        <v>46009.336966585644</v>
      </c>
      <c r="B1943" s="22" t="s">
        <v>1222</v>
      </c>
      <c r="C1943" s="22" t="s">
        <v>468</v>
      </c>
      <c r="D1943" s="22" t="s">
        <v>470</v>
      </c>
      <c r="E1943" s="22" t="s">
        <v>1895</v>
      </c>
    </row>
    <row r="1944" spans="1:5" x14ac:dyDescent="0.25">
      <c r="A1944" s="35">
        <v>46009.336968310185</v>
      </c>
      <c r="B1944" s="22" t="s">
        <v>1239</v>
      </c>
      <c r="C1944" s="22" t="s">
        <v>468</v>
      </c>
      <c r="D1944" s="22" t="s">
        <v>470</v>
      </c>
      <c r="E1944" s="22" t="s">
        <v>1895</v>
      </c>
    </row>
    <row r="1945" spans="1:5" x14ac:dyDescent="0.25">
      <c r="A1945" s="35">
        <v>46009.336970312499</v>
      </c>
      <c r="B1945" s="22" t="s">
        <v>1246</v>
      </c>
      <c r="C1945" s="22" t="s">
        <v>468</v>
      </c>
      <c r="D1945" s="22" t="s">
        <v>470</v>
      </c>
      <c r="E1945" s="22" t="s">
        <v>1895</v>
      </c>
    </row>
    <row r="1946" spans="1:5" x14ac:dyDescent="0.25">
      <c r="A1946" s="35">
        <v>46009.336972546298</v>
      </c>
      <c r="B1946" s="22" t="s">
        <v>1248</v>
      </c>
      <c r="C1946" s="22" t="s">
        <v>468</v>
      </c>
      <c r="D1946" s="22" t="s">
        <v>470</v>
      </c>
      <c r="E1946" s="22" t="s">
        <v>1895</v>
      </c>
    </row>
    <row r="1947" spans="1:5" x14ac:dyDescent="0.25">
      <c r="A1947" s="35">
        <v>46009.336985231479</v>
      </c>
      <c r="B1947" s="22" t="s">
        <v>1249</v>
      </c>
      <c r="C1947" s="22" t="s">
        <v>468</v>
      </c>
      <c r="D1947" s="22" t="s">
        <v>470</v>
      </c>
      <c r="E1947" s="22" t="s">
        <v>1895</v>
      </c>
    </row>
    <row r="1948" spans="1:5" x14ac:dyDescent="0.25">
      <c r="A1948" s="35">
        <v>46009.336986851849</v>
      </c>
      <c r="B1948" s="22" t="s">
        <v>1250</v>
      </c>
      <c r="C1948" s="22" t="s">
        <v>468</v>
      </c>
      <c r="D1948" s="22" t="s">
        <v>470</v>
      </c>
      <c r="E1948" s="22" t="s">
        <v>1895</v>
      </c>
    </row>
    <row r="1949" spans="1:5" x14ac:dyDescent="0.25">
      <c r="A1949" s="35">
        <v>46009.336999849533</v>
      </c>
      <c r="B1949" s="22" t="s">
        <v>1256</v>
      </c>
      <c r="C1949" s="22" t="s">
        <v>468</v>
      </c>
      <c r="D1949" s="22" t="s">
        <v>470</v>
      </c>
      <c r="E1949" s="22" t="s">
        <v>1895</v>
      </c>
    </row>
    <row r="1950" spans="1:5" x14ac:dyDescent="0.25">
      <c r="A1950" s="35">
        <v>46009.337001747685</v>
      </c>
      <c r="B1950" s="22" t="s">
        <v>1257</v>
      </c>
      <c r="C1950" s="22" t="s">
        <v>468</v>
      </c>
      <c r="D1950" s="22" t="s">
        <v>470</v>
      </c>
      <c r="E1950" s="22" t="s">
        <v>1895</v>
      </c>
    </row>
    <row r="1951" spans="1:5" x14ac:dyDescent="0.25">
      <c r="A1951" s="35">
        <v>46009.337003854162</v>
      </c>
      <c r="B1951" s="22" t="s">
        <v>1259</v>
      </c>
      <c r="C1951" s="22" t="s">
        <v>468</v>
      </c>
      <c r="D1951" s="22" t="s">
        <v>470</v>
      </c>
      <c r="E1951" s="22" t="s">
        <v>1895</v>
      </c>
    </row>
    <row r="1952" spans="1:5" x14ac:dyDescent="0.25">
      <c r="A1952" s="35">
        <v>46009.337005543981</v>
      </c>
      <c r="B1952" s="22" t="s">
        <v>1262</v>
      </c>
      <c r="C1952" s="22" t="s">
        <v>468</v>
      </c>
      <c r="D1952" s="22" t="s">
        <v>470</v>
      </c>
      <c r="E1952" s="22" t="s">
        <v>1895</v>
      </c>
    </row>
    <row r="1953" spans="1:5" x14ac:dyDescent="0.25">
      <c r="A1953" s="35">
        <v>46009.337007662034</v>
      </c>
      <c r="B1953" s="22" t="s">
        <v>1263</v>
      </c>
      <c r="C1953" s="22" t="s">
        <v>468</v>
      </c>
      <c r="D1953" s="22" t="s">
        <v>470</v>
      </c>
      <c r="E1953" s="22" t="s">
        <v>1895</v>
      </c>
    </row>
    <row r="1954" spans="1:5" x14ac:dyDescent="0.25">
      <c r="A1954" s="35">
        <v>46009.337009953699</v>
      </c>
      <c r="B1954" s="22" t="s">
        <v>1287</v>
      </c>
      <c r="C1954" s="22" t="s">
        <v>468</v>
      </c>
      <c r="D1954" s="22" t="s">
        <v>470</v>
      </c>
      <c r="E1954" s="22" t="s">
        <v>1895</v>
      </c>
    </row>
    <row r="1955" spans="1:5" x14ac:dyDescent="0.25">
      <c r="A1955" s="35">
        <v>46009.337011712967</v>
      </c>
      <c r="B1955" s="22" t="s">
        <v>1291</v>
      </c>
      <c r="C1955" s="22" t="s">
        <v>468</v>
      </c>
      <c r="D1955" s="22" t="s">
        <v>470</v>
      </c>
      <c r="E1955" s="22" t="s">
        <v>1895</v>
      </c>
    </row>
    <row r="1956" spans="1:5" x14ac:dyDescent="0.25">
      <c r="A1956" s="35">
        <v>46009.337013344906</v>
      </c>
      <c r="B1956" s="22" t="s">
        <v>1311</v>
      </c>
      <c r="C1956" s="22" t="s">
        <v>468</v>
      </c>
      <c r="D1956" s="22" t="s">
        <v>470</v>
      </c>
      <c r="E1956" s="22" t="s">
        <v>1895</v>
      </c>
    </row>
    <row r="1957" spans="1:5" x14ac:dyDescent="0.25">
      <c r="A1957" s="35">
        <v>46009.337025937501</v>
      </c>
      <c r="B1957" s="22" t="s">
        <v>1318</v>
      </c>
      <c r="C1957" s="22" t="s">
        <v>468</v>
      </c>
      <c r="D1957" s="22" t="s">
        <v>470</v>
      </c>
      <c r="E1957" s="22" t="s">
        <v>1895</v>
      </c>
    </row>
    <row r="1958" spans="1:5" x14ac:dyDescent="0.25">
      <c r="A1958" s="35">
        <v>46009.33702770833</v>
      </c>
      <c r="B1958" s="22" t="s">
        <v>1319</v>
      </c>
      <c r="C1958" s="22" t="s">
        <v>468</v>
      </c>
      <c r="D1958" s="22" t="s">
        <v>470</v>
      </c>
      <c r="E1958" s="22" t="s">
        <v>1895</v>
      </c>
    </row>
    <row r="1959" spans="1:5" x14ac:dyDescent="0.25">
      <c r="A1959" s="35">
        <v>46009.337029363422</v>
      </c>
      <c r="B1959" s="22" t="s">
        <v>1351</v>
      </c>
      <c r="C1959" s="22" t="s">
        <v>468</v>
      </c>
      <c r="D1959" s="22" t="s">
        <v>470</v>
      </c>
      <c r="E1959" s="22" t="s">
        <v>1895</v>
      </c>
    </row>
    <row r="1960" spans="1:5" x14ac:dyDescent="0.25">
      <c r="A1960" s="35">
        <v>46009.337033495365</v>
      </c>
      <c r="B1960" s="22" t="s">
        <v>1354</v>
      </c>
      <c r="C1960" s="22" t="s">
        <v>468</v>
      </c>
      <c r="D1960" s="22" t="s">
        <v>470</v>
      </c>
      <c r="E1960" s="22" t="s">
        <v>1895</v>
      </c>
    </row>
    <row r="1961" spans="1:5" x14ac:dyDescent="0.25">
      <c r="A1961" s="35">
        <v>46009.337035347227</v>
      </c>
      <c r="B1961" s="22" t="s">
        <v>1432</v>
      </c>
      <c r="C1961" s="22" t="s">
        <v>468</v>
      </c>
      <c r="D1961" s="22" t="s">
        <v>470</v>
      </c>
      <c r="E1961" s="22" t="s">
        <v>1895</v>
      </c>
    </row>
    <row r="1962" spans="1:5" x14ac:dyDescent="0.25">
      <c r="A1962" s="35">
        <v>46009.337037094912</v>
      </c>
      <c r="B1962" s="22" t="s">
        <v>1493</v>
      </c>
      <c r="C1962" s="22" t="s">
        <v>468</v>
      </c>
      <c r="D1962" s="22" t="s">
        <v>470</v>
      </c>
      <c r="E1962" s="22" t="s">
        <v>1895</v>
      </c>
    </row>
    <row r="1963" spans="1:5" x14ac:dyDescent="0.25">
      <c r="A1963" s="35">
        <v>46009.337040798608</v>
      </c>
      <c r="B1963" s="22" t="s">
        <v>1596</v>
      </c>
      <c r="C1963" s="22" t="s">
        <v>468</v>
      </c>
      <c r="D1963" s="22" t="s">
        <v>470</v>
      </c>
      <c r="E1963" s="22" t="s">
        <v>1895</v>
      </c>
    </row>
    <row r="1964" spans="1:5" x14ac:dyDescent="0.25">
      <c r="A1964" s="35">
        <v>46009.337042511572</v>
      </c>
      <c r="B1964" s="22" t="s">
        <v>1597</v>
      </c>
      <c r="C1964" s="22" t="s">
        <v>468</v>
      </c>
      <c r="D1964" s="22" t="s">
        <v>470</v>
      </c>
      <c r="E1964" s="22" t="s">
        <v>1895</v>
      </c>
    </row>
    <row r="1965" spans="1:5" x14ac:dyDescent="0.25">
      <c r="A1965" s="35">
        <v>46009.337046458335</v>
      </c>
      <c r="B1965" s="22" t="s">
        <v>1656</v>
      </c>
      <c r="C1965" s="22" t="s">
        <v>468</v>
      </c>
      <c r="D1965" s="22" t="s">
        <v>470</v>
      </c>
      <c r="E1965" s="22" t="s">
        <v>1895</v>
      </c>
    </row>
    <row r="1966" spans="1:5" x14ac:dyDescent="0.25">
      <c r="A1966" s="35">
        <v>46009.337047939815</v>
      </c>
      <c r="B1966" s="22" t="s">
        <v>1710</v>
      </c>
      <c r="C1966" s="22" t="s">
        <v>468</v>
      </c>
      <c r="D1966" s="22" t="s">
        <v>470</v>
      </c>
      <c r="E1966" s="22" t="s">
        <v>1895</v>
      </c>
    </row>
    <row r="1967" spans="1:5" x14ac:dyDescent="0.25">
      <c r="A1967" s="35">
        <v>46009.337051643517</v>
      </c>
      <c r="B1967" s="22" t="s">
        <v>1716</v>
      </c>
      <c r="C1967" s="22" t="s">
        <v>468</v>
      </c>
      <c r="D1967" s="22" t="s">
        <v>470</v>
      </c>
      <c r="E1967" s="22" t="s">
        <v>1895</v>
      </c>
    </row>
    <row r="1968" spans="1:5" x14ac:dyDescent="0.25">
      <c r="A1968" s="35">
        <v>46009.337053101852</v>
      </c>
      <c r="B1968" s="22" t="s">
        <v>1731</v>
      </c>
      <c r="C1968" s="22" t="s">
        <v>468</v>
      </c>
      <c r="D1968" s="22" t="s">
        <v>470</v>
      </c>
      <c r="E1968" s="22" t="s">
        <v>1895</v>
      </c>
    </row>
    <row r="1969" spans="1:5" x14ac:dyDescent="0.25">
      <c r="A1969" s="35">
        <v>46009.337054641204</v>
      </c>
      <c r="B1969" s="22" t="s">
        <v>1742</v>
      </c>
      <c r="C1969" s="22" t="s">
        <v>468</v>
      </c>
      <c r="D1969" s="22" t="s">
        <v>470</v>
      </c>
      <c r="E1969" s="22" t="s">
        <v>1895</v>
      </c>
    </row>
    <row r="1970" spans="1:5" x14ac:dyDescent="0.25">
      <c r="A1970" s="35">
        <v>46009.337060636579</v>
      </c>
      <c r="B1970" s="22" t="s">
        <v>1750</v>
      </c>
      <c r="C1970" s="22" t="s">
        <v>468</v>
      </c>
      <c r="D1970" s="22" t="s">
        <v>470</v>
      </c>
      <c r="E1970" s="22" t="s">
        <v>1895</v>
      </c>
    </row>
    <row r="1971" spans="1:5" x14ac:dyDescent="0.25">
      <c r="A1971" s="35">
        <v>46009.337065543979</v>
      </c>
      <c r="B1971" s="22" t="s">
        <v>1808</v>
      </c>
      <c r="C1971" s="22" t="s">
        <v>468</v>
      </c>
      <c r="D1971" s="22" t="s">
        <v>470</v>
      </c>
      <c r="E1971" s="22" t="s">
        <v>1895</v>
      </c>
    </row>
    <row r="1972" spans="1:5" x14ac:dyDescent="0.25">
      <c r="A1972" s="35">
        <v>46009.337067476852</v>
      </c>
      <c r="B1972" s="22" t="s">
        <v>1841</v>
      </c>
      <c r="C1972" s="22" t="s">
        <v>468</v>
      </c>
      <c r="D1972" s="22" t="s">
        <v>470</v>
      </c>
      <c r="E1972" s="22" t="s">
        <v>1895</v>
      </c>
    </row>
    <row r="1973" spans="1:5" x14ac:dyDescent="0.25">
      <c r="A1973" s="35">
        <v>46009.337069108791</v>
      </c>
      <c r="B1973" s="22" t="s">
        <v>1847</v>
      </c>
      <c r="C1973" s="22" t="s">
        <v>468</v>
      </c>
      <c r="D1973" s="22" t="s">
        <v>470</v>
      </c>
      <c r="E1973" s="22" t="s">
        <v>1895</v>
      </c>
    </row>
    <row r="1974" spans="1:5" x14ac:dyDescent="0.25">
      <c r="A1974" s="35">
        <v>46009.33707090278</v>
      </c>
      <c r="B1974" s="22" t="s">
        <v>1848</v>
      </c>
      <c r="C1974" s="22" t="s">
        <v>468</v>
      </c>
      <c r="D1974" s="22" t="s">
        <v>470</v>
      </c>
      <c r="E1974" s="22" t="s">
        <v>1895</v>
      </c>
    </row>
    <row r="1975" spans="1:5" x14ac:dyDescent="0.25">
      <c r="A1975" s="35">
        <v>46009.337072407405</v>
      </c>
      <c r="B1975" s="22" t="s">
        <v>1850</v>
      </c>
      <c r="C1975" s="22" t="s">
        <v>468</v>
      </c>
      <c r="D1975" s="22" t="s">
        <v>470</v>
      </c>
      <c r="E1975" s="22" t="s">
        <v>1895</v>
      </c>
    </row>
    <row r="1976" spans="1:5" x14ac:dyDescent="0.25">
      <c r="A1976" s="35">
        <v>46009.33707400463</v>
      </c>
      <c r="B1976" s="22" t="s">
        <v>1855</v>
      </c>
      <c r="C1976" s="22" t="s">
        <v>468</v>
      </c>
      <c r="D1976" s="22" t="s">
        <v>470</v>
      </c>
      <c r="E1976" s="22" t="s">
        <v>1895</v>
      </c>
    </row>
    <row r="1977" spans="1:5" x14ac:dyDescent="0.25">
      <c r="A1977" s="35">
        <v>46009.337078553246</v>
      </c>
      <c r="B1977" s="22" t="s">
        <v>1862</v>
      </c>
      <c r="C1977" s="22" t="s">
        <v>468</v>
      </c>
      <c r="D1977" s="22" t="s">
        <v>470</v>
      </c>
      <c r="E1977" s="22" t="s">
        <v>1895</v>
      </c>
    </row>
    <row r="1978" spans="1:5" x14ac:dyDescent="0.25">
      <c r="A1978" s="35">
        <v>46009.337086932872</v>
      </c>
      <c r="B1978" s="22" t="s">
        <v>1868</v>
      </c>
      <c r="C1978" s="22" t="s">
        <v>468</v>
      </c>
      <c r="D1978" s="22" t="s">
        <v>470</v>
      </c>
      <c r="E1978" s="22" t="s">
        <v>1895</v>
      </c>
    </row>
    <row r="1979" spans="1:5" x14ac:dyDescent="0.25">
      <c r="A1979" s="35">
        <v>46009.337094641203</v>
      </c>
      <c r="B1979" s="22" t="s">
        <v>1880</v>
      </c>
      <c r="C1979" s="22" t="s">
        <v>468</v>
      </c>
      <c r="D1979" s="22" t="s">
        <v>470</v>
      </c>
      <c r="E1979" s="22" t="s">
        <v>1895</v>
      </c>
    </row>
    <row r="1980" spans="1:5" x14ac:dyDescent="0.25">
      <c r="A1980" s="35">
        <v>46009.337096400464</v>
      </c>
      <c r="B1980" s="22" t="s">
        <v>1884</v>
      </c>
      <c r="C1980" s="22" t="s">
        <v>468</v>
      </c>
      <c r="D1980" s="22" t="s">
        <v>470</v>
      </c>
      <c r="E1980" s="22" t="s">
        <v>1895</v>
      </c>
    </row>
    <row r="1981" spans="1:5" x14ac:dyDescent="0.25">
      <c r="A1981" s="35">
        <v>46009.337098090276</v>
      </c>
      <c r="B1981" s="22" t="s">
        <v>1887</v>
      </c>
      <c r="C1981" s="22" t="s">
        <v>468</v>
      </c>
      <c r="D1981" s="22" t="s">
        <v>470</v>
      </c>
      <c r="E1981" s="22" t="s">
        <v>1895</v>
      </c>
    </row>
    <row r="1982" spans="1:5" x14ac:dyDescent="0.25">
      <c r="A1982" s="35">
        <v>46009.337099699071</v>
      </c>
      <c r="B1982" s="22" t="s">
        <v>1930</v>
      </c>
      <c r="C1982" s="22" t="s">
        <v>468</v>
      </c>
      <c r="D1982" s="22" t="s">
        <v>470</v>
      </c>
      <c r="E1982" s="22" t="s">
        <v>1895</v>
      </c>
    </row>
    <row r="1983" spans="1:5" x14ac:dyDescent="0.25">
      <c r="A1983" s="35">
        <v>46009.337101377314</v>
      </c>
      <c r="B1983" s="22" t="s">
        <v>1936</v>
      </c>
      <c r="C1983" s="22" t="s">
        <v>468</v>
      </c>
      <c r="D1983" s="22" t="s">
        <v>470</v>
      </c>
      <c r="E1983" s="22" t="s">
        <v>1895</v>
      </c>
    </row>
    <row r="1984" spans="1:5" x14ac:dyDescent="0.25">
      <c r="A1984" s="35">
        <v>46009.337103217593</v>
      </c>
      <c r="B1984" s="22" t="s">
        <v>1943</v>
      </c>
      <c r="C1984" s="22" t="s">
        <v>468</v>
      </c>
      <c r="D1984" s="22" t="s">
        <v>470</v>
      </c>
      <c r="E1984" s="22" t="s">
        <v>1895</v>
      </c>
    </row>
    <row r="1985" spans="1:5" x14ac:dyDescent="0.25">
      <c r="A1985" s="35">
        <v>46009.338999120373</v>
      </c>
      <c r="B1985" s="22" t="s">
        <v>520</v>
      </c>
      <c r="C1985" s="22" t="s">
        <v>468</v>
      </c>
      <c r="D1985" s="22" t="s">
        <v>470</v>
      </c>
      <c r="E1985" s="22" t="s">
        <v>1895</v>
      </c>
    </row>
    <row r="1986" spans="1:5" x14ac:dyDescent="0.25">
      <c r="A1986" s="35">
        <v>46009.339000972221</v>
      </c>
      <c r="B1986" s="22" t="s">
        <v>544</v>
      </c>
      <c r="C1986" s="22" t="s">
        <v>468</v>
      </c>
      <c r="D1986" s="22" t="s">
        <v>470</v>
      </c>
      <c r="E1986" s="22" t="s">
        <v>1895</v>
      </c>
    </row>
    <row r="1987" spans="1:5" x14ac:dyDescent="0.25">
      <c r="A1987" s="35">
        <v>46009.3390028125</v>
      </c>
      <c r="B1987" s="22" t="s">
        <v>580</v>
      </c>
      <c r="C1987" s="22" t="s">
        <v>468</v>
      </c>
      <c r="D1987" s="22" t="s">
        <v>470</v>
      </c>
      <c r="E1987" s="22" t="s">
        <v>1895</v>
      </c>
    </row>
    <row r="1988" spans="1:5" x14ac:dyDescent="0.25">
      <c r="A1988" s="35">
        <v>46009.339004756941</v>
      </c>
      <c r="B1988" s="22" t="s">
        <v>623</v>
      </c>
      <c r="C1988" s="22" t="s">
        <v>468</v>
      </c>
      <c r="D1988" s="22" t="s">
        <v>470</v>
      </c>
      <c r="E1988" s="22" t="s">
        <v>1895</v>
      </c>
    </row>
    <row r="1989" spans="1:5" x14ac:dyDescent="0.25">
      <c r="A1989" s="35">
        <v>46009.339006527778</v>
      </c>
      <c r="B1989" s="22" t="s">
        <v>634</v>
      </c>
      <c r="C1989" s="22" t="s">
        <v>468</v>
      </c>
      <c r="D1989" s="22" t="s">
        <v>470</v>
      </c>
      <c r="E1989" s="22" t="s">
        <v>1895</v>
      </c>
    </row>
    <row r="1990" spans="1:5" x14ac:dyDescent="0.25">
      <c r="A1990" s="35">
        <v>46009.33900850694</v>
      </c>
      <c r="B1990" s="22" t="s">
        <v>684</v>
      </c>
      <c r="C1990" s="22" t="s">
        <v>468</v>
      </c>
      <c r="D1990" s="22" t="s">
        <v>470</v>
      </c>
      <c r="E1990" s="22" t="s">
        <v>1895</v>
      </c>
    </row>
    <row r="1991" spans="1:5" x14ac:dyDescent="0.25">
      <c r="A1991" s="35">
        <v>46009.339014293982</v>
      </c>
      <c r="B1991" s="22" t="s">
        <v>712</v>
      </c>
      <c r="C1991" s="22" t="s">
        <v>468</v>
      </c>
      <c r="D1991" s="22" t="s">
        <v>470</v>
      </c>
      <c r="E1991" s="22" t="s">
        <v>1895</v>
      </c>
    </row>
    <row r="1992" spans="1:5" x14ac:dyDescent="0.25">
      <c r="A1992" s="35">
        <v>46009.339016157406</v>
      </c>
      <c r="B1992" s="22" t="s">
        <v>718</v>
      </c>
      <c r="C1992" s="22" t="s">
        <v>468</v>
      </c>
      <c r="D1992" s="22" t="s">
        <v>470</v>
      </c>
      <c r="E1992" s="22" t="s">
        <v>1895</v>
      </c>
    </row>
    <row r="1993" spans="1:5" x14ac:dyDescent="0.25">
      <c r="A1993" s="35">
        <v>46009.339017974533</v>
      </c>
      <c r="B1993" s="22" t="s">
        <v>786</v>
      </c>
      <c r="C1993" s="22" t="s">
        <v>468</v>
      </c>
      <c r="D1993" s="22" t="s">
        <v>470</v>
      </c>
      <c r="E1993" s="22" t="s">
        <v>1895</v>
      </c>
    </row>
    <row r="1994" spans="1:5" x14ac:dyDescent="0.25">
      <c r="A1994" s="35">
        <v>46009.339026967587</v>
      </c>
      <c r="B1994" s="22" t="s">
        <v>890</v>
      </c>
      <c r="C1994" s="22" t="s">
        <v>468</v>
      </c>
      <c r="D1994" s="22" t="s">
        <v>470</v>
      </c>
      <c r="E1994" s="22" t="s">
        <v>1895</v>
      </c>
    </row>
    <row r="1995" spans="1:5" x14ac:dyDescent="0.25">
      <c r="A1995" s="35">
        <v>46009.339028726856</v>
      </c>
      <c r="B1995" s="22" t="s">
        <v>921</v>
      </c>
      <c r="C1995" s="22" t="s">
        <v>468</v>
      </c>
      <c r="D1995" s="22" t="s">
        <v>470</v>
      </c>
      <c r="E1995" s="22" t="s">
        <v>1895</v>
      </c>
    </row>
    <row r="1996" spans="1:5" x14ac:dyDescent="0.25">
      <c r="A1996" s="35">
        <v>46009.33903131944</v>
      </c>
      <c r="B1996" s="22" t="s">
        <v>938</v>
      </c>
      <c r="C1996" s="22" t="s">
        <v>468</v>
      </c>
      <c r="D1996" s="22" t="s">
        <v>470</v>
      </c>
      <c r="E1996" s="22" t="s">
        <v>1895</v>
      </c>
    </row>
    <row r="1997" spans="1:5" x14ac:dyDescent="0.25">
      <c r="A1997" s="35">
        <v>46009.339033101853</v>
      </c>
      <c r="B1997" s="22" t="s">
        <v>951</v>
      </c>
      <c r="C1997" s="22" t="s">
        <v>468</v>
      </c>
      <c r="D1997" s="22" t="s">
        <v>470</v>
      </c>
      <c r="E1997" s="22" t="s">
        <v>1895</v>
      </c>
    </row>
    <row r="1998" spans="1:5" x14ac:dyDescent="0.25">
      <c r="A1998" s="35">
        <v>46009.339035231482</v>
      </c>
      <c r="B1998" s="22" t="s">
        <v>952</v>
      </c>
      <c r="C1998" s="22" t="s">
        <v>468</v>
      </c>
      <c r="D1998" s="22" t="s">
        <v>470</v>
      </c>
      <c r="E1998" s="22" t="s">
        <v>1895</v>
      </c>
    </row>
    <row r="1999" spans="1:5" x14ac:dyDescent="0.25">
      <c r="A1999" s="35">
        <v>46009.339037349535</v>
      </c>
      <c r="B1999" s="22" t="s">
        <v>993</v>
      </c>
      <c r="C1999" s="22" t="s">
        <v>468</v>
      </c>
      <c r="D1999" s="22" t="s">
        <v>470</v>
      </c>
      <c r="E1999" s="22" t="s">
        <v>1895</v>
      </c>
    </row>
    <row r="2000" spans="1:5" x14ac:dyDescent="0.25">
      <c r="A2000" s="35">
        <v>46009.339039363425</v>
      </c>
      <c r="B2000" s="22" t="s">
        <v>1021</v>
      </c>
      <c r="C2000" s="22" t="s">
        <v>468</v>
      </c>
      <c r="D2000" s="22" t="s">
        <v>470</v>
      </c>
      <c r="E2000" s="22" t="s">
        <v>1895</v>
      </c>
    </row>
    <row r="2001" spans="1:5" x14ac:dyDescent="0.25">
      <c r="A2001" s="35">
        <v>46009.339041157407</v>
      </c>
      <c r="B2001" s="22" t="s">
        <v>1154</v>
      </c>
      <c r="C2001" s="22" t="s">
        <v>468</v>
      </c>
      <c r="D2001" s="22" t="s">
        <v>470</v>
      </c>
      <c r="E2001" s="22" t="s">
        <v>1895</v>
      </c>
    </row>
    <row r="2002" spans="1:5" x14ac:dyDescent="0.25">
      <c r="A2002" s="35">
        <v>46009.339048020833</v>
      </c>
      <c r="B2002" s="22" t="s">
        <v>1184</v>
      </c>
      <c r="C2002" s="22" t="s">
        <v>468</v>
      </c>
      <c r="D2002" s="22" t="s">
        <v>470</v>
      </c>
      <c r="E2002" s="22" t="s">
        <v>1895</v>
      </c>
    </row>
    <row r="2003" spans="1:5" x14ac:dyDescent="0.25">
      <c r="A2003" s="35">
        <v>46009.339059606486</v>
      </c>
      <c r="B2003" s="22" t="s">
        <v>1208</v>
      </c>
      <c r="C2003" s="22" t="s">
        <v>468</v>
      </c>
      <c r="D2003" s="22" t="s">
        <v>470</v>
      </c>
      <c r="E2003" s="22" t="s">
        <v>1895</v>
      </c>
    </row>
    <row r="2004" spans="1:5" x14ac:dyDescent="0.25">
      <c r="A2004" s="35">
        <v>46009.339061620369</v>
      </c>
      <c r="B2004" s="22" t="s">
        <v>1232</v>
      </c>
      <c r="C2004" s="22" t="s">
        <v>468</v>
      </c>
      <c r="D2004" s="22" t="s">
        <v>470</v>
      </c>
      <c r="E2004" s="22" t="s">
        <v>1895</v>
      </c>
    </row>
    <row r="2005" spans="1:5" x14ac:dyDescent="0.25">
      <c r="A2005" s="35">
        <v>46009.339063541665</v>
      </c>
      <c r="B2005" s="22" t="s">
        <v>1234</v>
      </c>
      <c r="C2005" s="22" t="s">
        <v>468</v>
      </c>
      <c r="D2005" s="22" t="s">
        <v>470</v>
      </c>
      <c r="E2005" s="22" t="s">
        <v>1895</v>
      </c>
    </row>
    <row r="2006" spans="1:5" x14ac:dyDescent="0.25">
      <c r="A2006" s="35">
        <v>46009.339065509259</v>
      </c>
      <c r="B2006" s="22" t="s">
        <v>1243</v>
      </c>
      <c r="C2006" s="22" t="s">
        <v>468</v>
      </c>
      <c r="D2006" s="22" t="s">
        <v>470</v>
      </c>
      <c r="E2006" s="22" t="s">
        <v>1895</v>
      </c>
    </row>
    <row r="2007" spans="1:5" x14ac:dyDescent="0.25">
      <c r="A2007" s="35">
        <v>46009.339067418987</v>
      </c>
      <c r="B2007" s="22" t="s">
        <v>1255</v>
      </c>
      <c r="C2007" s="22" t="s">
        <v>468</v>
      </c>
      <c r="D2007" s="22" t="s">
        <v>470</v>
      </c>
      <c r="E2007" s="22" t="s">
        <v>1895</v>
      </c>
    </row>
    <row r="2008" spans="1:5" x14ac:dyDescent="0.25">
      <c r="A2008" s="35">
        <v>46009.339069374997</v>
      </c>
      <c r="B2008" s="22" t="s">
        <v>1276</v>
      </c>
      <c r="C2008" s="22" t="s">
        <v>468</v>
      </c>
      <c r="D2008" s="22" t="s">
        <v>470</v>
      </c>
      <c r="E2008" s="22" t="s">
        <v>1895</v>
      </c>
    </row>
    <row r="2009" spans="1:5" x14ac:dyDescent="0.25">
      <c r="A2009" s="35">
        <v>46009.339071562499</v>
      </c>
      <c r="B2009" s="22" t="s">
        <v>1346</v>
      </c>
      <c r="C2009" s="22" t="s">
        <v>468</v>
      </c>
      <c r="D2009" s="22" t="s">
        <v>470</v>
      </c>
      <c r="E2009" s="22" t="s">
        <v>1895</v>
      </c>
    </row>
    <row r="2010" spans="1:5" x14ac:dyDescent="0.25">
      <c r="A2010" s="35">
        <v>46009.339073333336</v>
      </c>
      <c r="B2010" s="22" t="s">
        <v>1437</v>
      </c>
      <c r="C2010" s="22" t="s">
        <v>468</v>
      </c>
      <c r="D2010" s="22" t="s">
        <v>470</v>
      </c>
      <c r="E2010" s="22" t="s">
        <v>1895</v>
      </c>
    </row>
    <row r="2011" spans="1:5" x14ac:dyDescent="0.25">
      <c r="A2011" s="35">
        <v>46009.339075729164</v>
      </c>
      <c r="B2011" s="22" t="s">
        <v>1454</v>
      </c>
      <c r="C2011" s="22" t="s">
        <v>468</v>
      </c>
      <c r="D2011" s="22" t="s">
        <v>470</v>
      </c>
      <c r="E2011" s="22" t="s">
        <v>1895</v>
      </c>
    </row>
    <row r="2012" spans="1:5" x14ac:dyDescent="0.25">
      <c r="A2012" s="35">
        <v>46009.339077557874</v>
      </c>
      <c r="B2012" s="22" t="s">
        <v>1473</v>
      </c>
      <c r="C2012" s="22" t="s">
        <v>468</v>
      </c>
      <c r="D2012" s="22" t="s">
        <v>470</v>
      </c>
      <c r="E2012" s="22" t="s">
        <v>1895</v>
      </c>
    </row>
    <row r="2013" spans="1:5" x14ac:dyDescent="0.25">
      <c r="A2013" s="35">
        <v>46009.339079537036</v>
      </c>
      <c r="B2013" s="22" t="s">
        <v>1478</v>
      </c>
      <c r="C2013" s="22" t="s">
        <v>468</v>
      </c>
      <c r="D2013" s="22" t="s">
        <v>470</v>
      </c>
      <c r="E2013" s="22" t="s">
        <v>1895</v>
      </c>
    </row>
    <row r="2014" spans="1:5" x14ac:dyDescent="0.25">
      <c r="A2014" s="35">
        <v>46009.339081493061</v>
      </c>
      <c r="B2014" s="22" t="s">
        <v>1506</v>
      </c>
      <c r="C2014" s="22" t="s">
        <v>468</v>
      </c>
      <c r="D2014" s="22" t="s">
        <v>470</v>
      </c>
      <c r="E2014" s="22" t="s">
        <v>1895</v>
      </c>
    </row>
    <row r="2015" spans="1:5" x14ac:dyDescent="0.25">
      <c r="A2015" s="35">
        <v>46009.339083344908</v>
      </c>
      <c r="B2015" s="22" t="s">
        <v>1509</v>
      </c>
      <c r="C2015" s="22" t="s">
        <v>468</v>
      </c>
      <c r="D2015" s="22" t="s">
        <v>470</v>
      </c>
      <c r="E2015" s="22" t="s">
        <v>1895</v>
      </c>
    </row>
    <row r="2016" spans="1:5" x14ac:dyDescent="0.25">
      <c r="A2016" s="35">
        <v>46009.339090138892</v>
      </c>
      <c r="B2016" s="22" t="s">
        <v>1510</v>
      </c>
      <c r="C2016" s="22" t="s">
        <v>468</v>
      </c>
      <c r="D2016" s="22" t="s">
        <v>470</v>
      </c>
      <c r="E2016" s="22" t="s">
        <v>1895</v>
      </c>
    </row>
    <row r="2017" spans="1:5" x14ac:dyDescent="0.25">
      <c r="A2017" s="35">
        <v>46009.339092094902</v>
      </c>
      <c r="B2017" s="22" t="s">
        <v>1511</v>
      </c>
      <c r="C2017" s="22" t="s">
        <v>468</v>
      </c>
      <c r="D2017" s="22" t="s">
        <v>470</v>
      </c>
      <c r="E2017" s="22" t="s">
        <v>1895</v>
      </c>
    </row>
    <row r="2018" spans="1:5" x14ac:dyDescent="0.25">
      <c r="A2018" s="35">
        <v>46009.339093981485</v>
      </c>
      <c r="B2018" s="22" t="s">
        <v>1529</v>
      </c>
      <c r="C2018" s="22" t="s">
        <v>468</v>
      </c>
      <c r="D2018" s="22" t="s">
        <v>470</v>
      </c>
      <c r="E2018" s="22" t="s">
        <v>1895</v>
      </c>
    </row>
    <row r="2019" spans="1:5" x14ac:dyDescent="0.25">
      <c r="A2019" s="35">
        <v>46009.339096030089</v>
      </c>
      <c r="B2019" s="22" t="s">
        <v>1535</v>
      </c>
      <c r="C2019" s="22" t="s">
        <v>468</v>
      </c>
      <c r="D2019" s="22" t="s">
        <v>470</v>
      </c>
      <c r="E2019" s="22" t="s">
        <v>1895</v>
      </c>
    </row>
    <row r="2020" spans="1:5" x14ac:dyDescent="0.25">
      <c r="A2020" s="35">
        <v>46009.339098055556</v>
      </c>
      <c r="B2020" s="22" t="s">
        <v>1541</v>
      </c>
      <c r="C2020" s="22" t="s">
        <v>468</v>
      </c>
      <c r="D2020" s="22" t="s">
        <v>470</v>
      </c>
      <c r="E2020" s="22" t="s">
        <v>1895</v>
      </c>
    </row>
    <row r="2021" spans="1:5" x14ac:dyDescent="0.25">
      <c r="A2021" s="35">
        <v>46009.339099942124</v>
      </c>
      <c r="B2021" s="22" t="s">
        <v>1546</v>
      </c>
      <c r="C2021" s="22" t="s">
        <v>468</v>
      </c>
      <c r="D2021" s="22" t="s">
        <v>470</v>
      </c>
      <c r="E2021" s="22" t="s">
        <v>1895</v>
      </c>
    </row>
    <row r="2022" spans="1:5" x14ac:dyDescent="0.25">
      <c r="A2022" s="35">
        <v>46009.339101898149</v>
      </c>
      <c r="B2022" s="22" t="s">
        <v>1584</v>
      </c>
      <c r="C2022" s="22" t="s">
        <v>468</v>
      </c>
      <c r="D2022" s="22" t="s">
        <v>470</v>
      </c>
      <c r="E2022" s="22" t="s">
        <v>1895</v>
      </c>
    </row>
    <row r="2023" spans="1:5" x14ac:dyDescent="0.25">
      <c r="A2023" s="35">
        <v>46009.339103738428</v>
      </c>
      <c r="B2023" s="22" t="s">
        <v>1585</v>
      </c>
      <c r="C2023" s="22" t="s">
        <v>468</v>
      </c>
      <c r="D2023" s="22" t="s">
        <v>470</v>
      </c>
      <c r="E2023" s="22" t="s">
        <v>1895</v>
      </c>
    </row>
    <row r="2024" spans="1:5" x14ac:dyDescent="0.25">
      <c r="A2024" s="35">
        <v>46009.339105752311</v>
      </c>
      <c r="B2024" s="22" t="s">
        <v>1682</v>
      </c>
      <c r="C2024" s="22" t="s">
        <v>468</v>
      </c>
      <c r="D2024" s="22" t="s">
        <v>470</v>
      </c>
      <c r="E2024" s="22" t="s">
        <v>1895</v>
      </c>
    </row>
    <row r="2025" spans="1:5" x14ac:dyDescent="0.25">
      <c r="A2025" s="35">
        <v>46009.339107627311</v>
      </c>
      <c r="B2025" s="22" t="s">
        <v>1728</v>
      </c>
      <c r="C2025" s="22" t="s">
        <v>468</v>
      </c>
      <c r="D2025" s="22" t="s">
        <v>470</v>
      </c>
      <c r="E2025" s="22" t="s">
        <v>1895</v>
      </c>
    </row>
    <row r="2026" spans="1:5" x14ac:dyDescent="0.25">
      <c r="A2026" s="35">
        <v>46009.339109270833</v>
      </c>
      <c r="B2026" s="22" t="s">
        <v>1730</v>
      </c>
      <c r="C2026" s="22" t="s">
        <v>468</v>
      </c>
      <c r="D2026" s="22" t="s">
        <v>470</v>
      </c>
      <c r="E2026" s="22" t="s">
        <v>1895</v>
      </c>
    </row>
    <row r="2027" spans="1:5" x14ac:dyDescent="0.25">
      <c r="A2027" s="35">
        <v>46009.33911119213</v>
      </c>
      <c r="B2027" s="22" t="s">
        <v>1753</v>
      </c>
      <c r="C2027" s="22" t="s">
        <v>468</v>
      </c>
      <c r="D2027" s="22" t="s">
        <v>470</v>
      </c>
      <c r="E2027" s="22" t="s">
        <v>1895</v>
      </c>
    </row>
    <row r="2028" spans="1:5" x14ac:dyDescent="0.25">
      <c r="A2028" s="35">
        <v>46009.3391131713</v>
      </c>
      <c r="B2028" s="22" t="s">
        <v>1761</v>
      </c>
      <c r="C2028" s="22" t="s">
        <v>468</v>
      </c>
      <c r="D2028" s="22" t="s">
        <v>470</v>
      </c>
      <c r="E2028" s="22" t="s">
        <v>1895</v>
      </c>
    </row>
    <row r="2029" spans="1:5" x14ac:dyDescent="0.25">
      <c r="A2029" s="35">
        <v>46009.339115312498</v>
      </c>
      <c r="B2029" s="22" t="s">
        <v>1827</v>
      </c>
      <c r="C2029" s="22" t="s">
        <v>468</v>
      </c>
      <c r="D2029" s="22" t="s">
        <v>470</v>
      </c>
      <c r="E2029" s="22" t="s">
        <v>1895</v>
      </c>
    </row>
    <row r="2030" spans="1:5" x14ac:dyDescent="0.25">
      <c r="A2030" s="35">
        <v>46009.339117465279</v>
      </c>
      <c r="B2030" s="22" t="s">
        <v>1844</v>
      </c>
      <c r="C2030" s="22" t="s">
        <v>468</v>
      </c>
      <c r="D2030" s="22" t="s">
        <v>470</v>
      </c>
      <c r="E2030" s="22" t="s">
        <v>1895</v>
      </c>
    </row>
    <row r="2031" spans="1:5" x14ac:dyDescent="0.25">
      <c r="A2031" s="35">
        <v>46009.33911940972</v>
      </c>
      <c r="B2031" s="22" t="s">
        <v>1845</v>
      </c>
      <c r="C2031" s="22" t="s">
        <v>468</v>
      </c>
      <c r="D2031" s="22" t="s">
        <v>470</v>
      </c>
      <c r="E2031" s="22" t="s">
        <v>1895</v>
      </c>
    </row>
    <row r="2032" spans="1:5" x14ac:dyDescent="0.25">
      <c r="A2032" s="35">
        <v>46009.339679502315</v>
      </c>
      <c r="B2032" s="22" t="s">
        <v>494</v>
      </c>
      <c r="C2032" s="22" t="s">
        <v>468</v>
      </c>
      <c r="D2032" s="22" t="s">
        <v>452</v>
      </c>
      <c r="E2032" s="22" t="s">
        <v>1999</v>
      </c>
    </row>
    <row r="2033" spans="1:5" x14ac:dyDescent="0.25">
      <c r="A2033" s="35">
        <v>46009.339985914354</v>
      </c>
      <c r="B2033" s="22" t="s">
        <v>527</v>
      </c>
      <c r="C2033" s="22" t="s">
        <v>468</v>
      </c>
      <c r="D2033" s="22" t="s">
        <v>471</v>
      </c>
      <c r="E2033" s="22" t="s">
        <v>1999</v>
      </c>
    </row>
    <row r="2034" spans="1:5" x14ac:dyDescent="0.25">
      <c r="A2034" s="35">
        <v>46009.341344305554</v>
      </c>
      <c r="B2034" s="22" t="s">
        <v>791</v>
      </c>
      <c r="C2034" s="22" t="s">
        <v>468</v>
      </c>
      <c r="D2034" s="22" t="s">
        <v>470</v>
      </c>
      <c r="E2034" s="22" t="s">
        <v>1999</v>
      </c>
    </row>
    <row r="2035" spans="1:5" x14ac:dyDescent="0.25">
      <c r="A2035" s="35">
        <v>46009.341974166666</v>
      </c>
      <c r="B2035" s="22" t="s">
        <v>572</v>
      </c>
      <c r="C2035" s="22" t="s">
        <v>468</v>
      </c>
      <c r="D2035" s="22" t="s">
        <v>469</v>
      </c>
      <c r="E2035" s="22" t="s">
        <v>1895</v>
      </c>
    </row>
    <row r="2036" spans="1:5" x14ac:dyDescent="0.25">
      <c r="A2036" s="35">
        <v>46009.341975925927</v>
      </c>
      <c r="B2036" s="22" t="s">
        <v>573</v>
      </c>
      <c r="C2036" s="22" t="s">
        <v>468</v>
      </c>
      <c r="D2036" s="22" t="s">
        <v>469</v>
      </c>
      <c r="E2036" s="22" t="s">
        <v>1895</v>
      </c>
    </row>
    <row r="2037" spans="1:5" x14ac:dyDescent="0.25">
      <c r="A2037" s="35">
        <v>46009.341977430551</v>
      </c>
      <c r="B2037" s="22" t="s">
        <v>574</v>
      </c>
      <c r="C2037" s="22" t="s">
        <v>468</v>
      </c>
      <c r="D2037" s="22" t="s">
        <v>469</v>
      </c>
      <c r="E2037" s="22" t="s">
        <v>1895</v>
      </c>
    </row>
    <row r="2038" spans="1:5" x14ac:dyDescent="0.25">
      <c r="A2038" s="35">
        <v>46009.341982638885</v>
      </c>
      <c r="B2038" s="22" t="s">
        <v>823</v>
      </c>
      <c r="C2038" s="22" t="s">
        <v>468</v>
      </c>
      <c r="D2038" s="22" t="s">
        <v>469</v>
      </c>
      <c r="E2038" s="22" t="s">
        <v>1895</v>
      </c>
    </row>
    <row r="2039" spans="1:5" x14ac:dyDescent="0.25">
      <c r="A2039" s="35">
        <v>46009.341984270832</v>
      </c>
      <c r="B2039" s="22" t="s">
        <v>824</v>
      </c>
      <c r="C2039" s="22" t="s">
        <v>468</v>
      </c>
      <c r="D2039" s="22" t="s">
        <v>469</v>
      </c>
      <c r="E2039" s="22" t="s">
        <v>1895</v>
      </c>
    </row>
    <row r="2040" spans="1:5" x14ac:dyDescent="0.25">
      <c r="A2040" s="35">
        <v>46009.341994236107</v>
      </c>
      <c r="B2040" s="22" t="s">
        <v>825</v>
      </c>
      <c r="C2040" s="22" t="s">
        <v>468</v>
      </c>
      <c r="D2040" s="22" t="s">
        <v>469</v>
      </c>
      <c r="E2040" s="22" t="s">
        <v>1895</v>
      </c>
    </row>
    <row r="2041" spans="1:5" x14ac:dyDescent="0.25">
      <c r="A2041" s="35">
        <v>46009.341995995375</v>
      </c>
      <c r="B2041" s="22" t="s">
        <v>878</v>
      </c>
      <c r="C2041" s="22" t="s">
        <v>468</v>
      </c>
      <c r="D2041" s="22" t="s">
        <v>469</v>
      </c>
      <c r="E2041" s="22" t="s">
        <v>1895</v>
      </c>
    </row>
    <row r="2042" spans="1:5" x14ac:dyDescent="0.25">
      <c r="A2042" s="35">
        <v>46009.341997731477</v>
      </c>
      <c r="B2042" s="22" t="s">
        <v>879</v>
      </c>
      <c r="C2042" s="22" t="s">
        <v>468</v>
      </c>
      <c r="D2042" s="22" t="s">
        <v>469</v>
      </c>
      <c r="E2042" s="22" t="s">
        <v>1895</v>
      </c>
    </row>
    <row r="2043" spans="1:5" x14ac:dyDescent="0.25">
      <c r="A2043" s="35">
        <v>46009.341999421296</v>
      </c>
      <c r="B2043" s="22" t="s">
        <v>880</v>
      </c>
      <c r="C2043" s="22" t="s">
        <v>468</v>
      </c>
      <c r="D2043" s="22" t="s">
        <v>469</v>
      </c>
      <c r="E2043" s="22" t="s">
        <v>1895</v>
      </c>
    </row>
    <row r="2044" spans="1:5" x14ac:dyDescent="0.25">
      <c r="A2044" s="35">
        <v>46009.342004120372</v>
      </c>
      <c r="B2044" s="22" t="s">
        <v>908</v>
      </c>
      <c r="C2044" s="22" t="s">
        <v>468</v>
      </c>
      <c r="D2044" s="22" t="s">
        <v>469</v>
      </c>
      <c r="E2044" s="22" t="s">
        <v>1895</v>
      </c>
    </row>
    <row r="2045" spans="1:5" x14ac:dyDescent="0.25">
      <c r="A2045" s="35">
        <v>46009.342005960643</v>
      </c>
      <c r="B2045" s="22" t="s">
        <v>909</v>
      </c>
      <c r="C2045" s="22" t="s">
        <v>468</v>
      </c>
      <c r="D2045" s="22" t="s">
        <v>469</v>
      </c>
      <c r="E2045" s="22" t="s">
        <v>1895</v>
      </c>
    </row>
    <row r="2046" spans="1:5" x14ac:dyDescent="0.25">
      <c r="A2046" s="35">
        <v>46009.342008078704</v>
      </c>
      <c r="B2046" s="22" t="s">
        <v>910</v>
      </c>
      <c r="C2046" s="22" t="s">
        <v>468</v>
      </c>
      <c r="D2046" s="22" t="s">
        <v>469</v>
      </c>
      <c r="E2046" s="22" t="s">
        <v>1895</v>
      </c>
    </row>
    <row r="2047" spans="1:5" x14ac:dyDescent="0.25">
      <c r="A2047" s="35">
        <v>46009.342009849541</v>
      </c>
      <c r="B2047" s="22" t="s">
        <v>911</v>
      </c>
      <c r="C2047" s="22" t="s">
        <v>468</v>
      </c>
      <c r="D2047" s="22" t="s">
        <v>469</v>
      </c>
      <c r="E2047" s="22" t="s">
        <v>1895</v>
      </c>
    </row>
    <row r="2048" spans="1:5" x14ac:dyDescent="0.25">
      <c r="A2048" s="35">
        <v>46009.342011539353</v>
      </c>
      <c r="B2048" s="22" t="s">
        <v>972</v>
      </c>
      <c r="C2048" s="22" t="s">
        <v>468</v>
      </c>
      <c r="D2048" s="22" t="s">
        <v>469</v>
      </c>
      <c r="E2048" s="22" t="s">
        <v>1895</v>
      </c>
    </row>
    <row r="2049" spans="1:5" x14ac:dyDescent="0.25">
      <c r="A2049" s="35">
        <v>46009.342014467591</v>
      </c>
      <c r="B2049" s="22" t="s">
        <v>973</v>
      </c>
      <c r="C2049" s="22" t="s">
        <v>468</v>
      </c>
      <c r="D2049" s="22" t="s">
        <v>469</v>
      </c>
      <c r="E2049" s="22" t="s">
        <v>1895</v>
      </c>
    </row>
    <row r="2050" spans="1:5" x14ac:dyDescent="0.25">
      <c r="A2050" s="35">
        <v>46009.342016481482</v>
      </c>
      <c r="B2050" s="22" t="s">
        <v>1018</v>
      </c>
      <c r="C2050" s="22" t="s">
        <v>468</v>
      </c>
      <c r="D2050" s="22" t="s">
        <v>469</v>
      </c>
      <c r="E2050" s="22" t="s">
        <v>1895</v>
      </c>
    </row>
    <row r="2051" spans="1:5" x14ac:dyDescent="0.25">
      <c r="A2051" s="35">
        <v>46009.342018252311</v>
      </c>
      <c r="B2051" s="22" t="s">
        <v>1019</v>
      </c>
      <c r="C2051" s="22" t="s">
        <v>468</v>
      </c>
      <c r="D2051" s="22" t="s">
        <v>469</v>
      </c>
      <c r="E2051" s="22" t="s">
        <v>1895</v>
      </c>
    </row>
    <row r="2052" spans="1:5" x14ac:dyDescent="0.25">
      <c r="A2052" s="35">
        <v>46009.342019942131</v>
      </c>
      <c r="B2052" s="22" t="s">
        <v>1732</v>
      </c>
      <c r="C2052" s="22" t="s">
        <v>468</v>
      </c>
      <c r="D2052" s="22" t="s">
        <v>469</v>
      </c>
      <c r="E2052" s="22" t="s">
        <v>1895</v>
      </c>
    </row>
    <row r="2053" spans="1:5" x14ac:dyDescent="0.25">
      <c r="A2053" s="35">
        <v>46009.34202251157</v>
      </c>
      <c r="B2053" s="22" t="s">
        <v>1733</v>
      </c>
      <c r="C2053" s="22" t="s">
        <v>468</v>
      </c>
      <c r="D2053" s="22" t="s">
        <v>469</v>
      </c>
      <c r="E2053" s="22" t="s">
        <v>1895</v>
      </c>
    </row>
    <row r="2054" spans="1:5" x14ac:dyDescent="0.25">
      <c r="A2054" s="35">
        <v>46009.343358865735</v>
      </c>
      <c r="B2054" s="22" t="s">
        <v>501</v>
      </c>
      <c r="C2054" s="22" t="s">
        <v>468</v>
      </c>
      <c r="D2054" s="22" t="s">
        <v>470</v>
      </c>
      <c r="E2054" s="22" t="s">
        <v>1895</v>
      </c>
    </row>
    <row r="2055" spans="1:5" x14ac:dyDescent="0.25">
      <c r="A2055" s="35">
        <v>46009.343360601852</v>
      </c>
      <c r="B2055" s="22" t="s">
        <v>856</v>
      </c>
      <c r="C2055" s="22" t="s">
        <v>468</v>
      </c>
      <c r="D2055" s="22" t="s">
        <v>470</v>
      </c>
      <c r="E2055" s="22" t="s">
        <v>1895</v>
      </c>
    </row>
    <row r="2056" spans="1:5" x14ac:dyDescent="0.25">
      <c r="A2056" s="35">
        <v>46009.343362233798</v>
      </c>
      <c r="B2056" s="22" t="s">
        <v>940</v>
      </c>
      <c r="C2056" s="22" t="s">
        <v>468</v>
      </c>
      <c r="D2056" s="22" t="s">
        <v>470</v>
      </c>
      <c r="E2056" s="22" t="s">
        <v>1895</v>
      </c>
    </row>
    <row r="2057" spans="1:5" x14ac:dyDescent="0.25">
      <c r="A2057" s="35">
        <v>46009.343363749998</v>
      </c>
      <c r="B2057" s="22" t="s">
        <v>1048</v>
      </c>
      <c r="C2057" s="22" t="s">
        <v>468</v>
      </c>
      <c r="D2057" s="22" t="s">
        <v>470</v>
      </c>
      <c r="E2057" s="22" t="s">
        <v>1895</v>
      </c>
    </row>
    <row r="2058" spans="1:5" x14ac:dyDescent="0.25">
      <c r="A2058" s="35">
        <v>46009.343365196764</v>
      </c>
      <c r="B2058" s="22" t="s">
        <v>1165</v>
      </c>
      <c r="C2058" s="22" t="s">
        <v>468</v>
      </c>
      <c r="D2058" s="22" t="s">
        <v>470</v>
      </c>
      <c r="E2058" s="22" t="s">
        <v>1895</v>
      </c>
    </row>
    <row r="2059" spans="1:5" x14ac:dyDescent="0.25">
      <c r="A2059" s="35">
        <v>46009.343366678237</v>
      </c>
      <c r="B2059" s="22" t="s">
        <v>1320</v>
      </c>
      <c r="C2059" s="22" t="s">
        <v>468</v>
      </c>
      <c r="D2059" s="22" t="s">
        <v>470</v>
      </c>
      <c r="E2059" s="22" t="s">
        <v>1895</v>
      </c>
    </row>
    <row r="2060" spans="1:5" x14ac:dyDescent="0.25">
      <c r="A2060" s="35">
        <v>46009.343368182876</v>
      </c>
      <c r="B2060" s="22" t="s">
        <v>1505</v>
      </c>
      <c r="C2060" s="22" t="s">
        <v>468</v>
      </c>
      <c r="D2060" s="22" t="s">
        <v>470</v>
      </c>
      <c r="E2060" s="22" t="s">
        <v>1895</v>
      </c>
    </row>
    <row r="2061" spans="1:5" x14ac:dyDescent="0.25">
      <c r="A2061" s="35">
        <v>46009.343369606482</v>
      </c>
      <c r="B2061" s="22" t="s">
        <v>1545</v>
      </c>
      <c r="C2061" s="22" t="s">
        <v>468</v>
      </c>
      <c r="D2061" s="22" t="s">
        <v>470</v>
      </c>
      <c r="E2061" s="22" t="s">
        <v>1895</v>
      </c>
    </row>
    <row r="2062" spans="1:5" x14ac:dyDescent="0.25">
      <c r="A2062" s="35">
        <v>46009.343371238429</v>
      </c>
      <c r="B2062" s="22" t="s">
        <v>1823</v>
      </c>
      <c r="C2062" s="22" t="s">
        <v>468</v>
      </c>
      <c r="D2062" s="22" t="s">
        <v>470</v>
      </c>
      <c r="E2062" s="22" t="s">
        <v>1895</v>
      </c>
    </row>
    <row r="2063" spans="1:5" x14ac:dyDescent="0.25">
      <c r="A2063" s="35">
        <v>46009.343373032403</v>
      </c>
      <c r="B2063" s="22" t="s">
        <v>1935</v>
      </c>
      <c r="C2063" s="22" t="s">
        <v>468</v>
      </c>
      <c r="D2063" s="22" t="s">
        <v>470</v>
      </c>
      <c r="E2063" s="22" t="s">
        <v>1895</v>
      </c>
    </row>
    <row r="2064" spans="1:5" x14ac:dyDescent="0.25">
      <c r="A2064" s="35">
        <v>46009.346310162036</v>
      </c>
      <c r="B2064" s="22" t="s">
        <v>581</v>
      </c>
      <c r="C2064" s="22" t="s">
        <v>582</v>
      </c>
      <c r="D2064" s="22" t="s">
        <v>470</v>
      </c>
      <c r="E2064" s="22" t="s">
        <v>1895</v>
      </c>
    </row>
    <row r="2065" spans="1:5" x14ac:dyDescent="0.25">
      <c r="A2065" s="35">
        <v>46009.346315983799</v>
      </c>
      <c r="B2065" s="22" t="s">
        <v>867</v>
      </c>
      <c r="C2065" s="22" t="s">
        <v>582</v>
      </c>
      <c r="D2065" s="22" t="s">
        <v>470</v>
      </c>
      <c r="E2065" s="22" t="s">
        <v>1895</v>
      </c>
    </row>
    <row r="2066" spans="1:5" x14ac:dyDescent="0.25">
      <c r="A2066" s="35">
        <v>46009.346317812495</v>
      </c>
      <c r="B2066" s="22" t="s">
        <v>1363</v>
      </c>
      <c r="C2066" s="22" t="s">
        <v>582</v>
      </c>
      <c r="D2066" s="22" t="s">
        <v>470</v>
      </c>
      <c r="E2066" s="22" t="s">
        <v>1895</v>
      </c>
    </row>
    <row r="2067" spans="1:5" x14ac:dyDescent="0.25">
      <c r="A2067" s="35">
        <v>46009.346319710647</v>
      </c>
      <c r="B2067" s="22" t="s">
        <v>1438</v>
      </c>
      <c r="C2067" s="22" t="s">
        <v>582</v>
      </c>
      <c r="D2067" s="22" t="s">
        <v>470</v>
      </c>
      <c r="E2067" s="22" t="s">
        <v>1895</v>
      </c>
    </row>
    <row r="2068" spans="1:5" x14ac:dyDescent="0.25">
      <c r="A2068" s="35">
        <v>46009.346321527773</v>
      </c>
      <c r="B2068" s="22" t="s">
        <v>1462</v>
      </c>
      <c r="C2068" s="22" t="s">
        <v>582</v>
      </c>
      <c r="D2068" s="22" t="s">
        <v>470</v>
      </c>
      <c r="E2068" s="22" t="s">
        <v>1895</v>
      </c>
    </row>
    <row r="2069" spans="1:5" x14ac:dyDescent="0.25">
      <c r="A2069" s="35">
        <v>46009.346323599537</v>
      </c>
      <c r="B2069" s="22" t="s">
        <v>1469</v>
      </c>
      <c r="C2069" s="22" t="s">
        <v>582</v>
      </c>
      <c r="D2069" s="22" t="s">
        <v>470</v>
      </c>
      <c r="E2069" s="22" t="s">
        <v>1895</v>
      </c>
    </row>
    <row r="2070" spans="1:5" x14ac:dyDescent="0.25">
      <c r="A2070" s="35">
        <v>46009.346325509265</v>
      </c>
      <c r="B2070" s="22" t="s">
        <v>1536</v>
      </c>
      <c r="C2070" s="22" t="s">
        <v>582</v>
      </c>
      <c r="D2070" s="22" t="s">
        <v>470</v>
      </c>
      <c r="E2070" s="22" t="s">
        <v>1895</v>
      </c>
    </row>
    <row r="2071" spans="1:5" x14ac:dyDescent="0.25">
      <c r="A2071" s="35">
        <v>46009.346327210646</v>
      </c>
      <c r="B2071" s="22" t="s">
        <v>1551</v>
      </c>
      <c r="C2071" s="22" t="s">
        <v>582</v>
      </c>
      <c r="D2071" s="22" t="s">
        <v>470</v>
      </c>
      <c r="E2071" s="22" t="s">
        <v>1895</v>
      </c>
    </row>
    <row r="2072" spans="1:5" x14ac:dyDescent="0.25">
      <c r="A2072" s="35">
        <v>46009.346328784726</v>
      </c>
      <c r="B2072" s="22" t="s">
        <v>1605</v>
      </c>
      <c r="C2072" s="22" t="s">
        <v>582</v>
      </c>
      <c r="D2072" s="22" t="s">
        <v>470</v>
      </c>
      <c r="E2072" s="22" t="s">
        <v>1895</v>
      </c>
    </row>
    <row r="2073" spans="1:5" x14ac:dyDescent="0.25">
      <c r="A2073" s="35">
        <v>46009.346330613422</v>
      </c>
      <c r="B2073" s="22" t="s">
        <v>1886</v>
      </c>
      <c r="C2073" s="22" t="s">
        <v>582</v>
      </c>
      <c r="D2073" s="22" t="s">
        <v>470</v>
      </c>
      <c r="E2073" s="22" t="s">
        <v>1895</v>
      </c>
    </row>
    <row r="2074" spans="1:5" x14ac:dyDescent="0.25">
      <c r="A2074" s="35">
        <v>46009.346332291665</v>
      </c>
      <c r="B2074" s="22" t="s">
        <v>2150</v>
      </c>
      <c r="C2074" s="22" t="s">
        <v>582</v>
      </c>
      <c r="D2074" s="22" t="s">
        <v>470</v>
      </c>
      <c r="E2074" s="22" t="s">
        <v>1895</v>
      </c>
    </row>
    <row r="2075" spans="1:5" x14ac:dyDescent="0.25">
      <c r="A2075" s="35">
        <v>46009.34633414352</v>
      </c>
      <c r="B2075" s="22" t="s">
        <v>2151</v>
      </c>
      <c r="C2075" s="22" t="s">
        <v>582</v>
      </c>
      <c r="D2075" s="22" t="s">
        <v>470</v>
      </c>
      <c r="E2075" s="22" t="s">
        <v>1895</v>
      </c>
    </row>
    <row r="2076" spans="1:5" x14ac:dyDescent="0.25">
      <c r="A2076" s="35">
        <v>46009.346335949071</v>
      </c>
      <c r="B2076" s="22" t="s">
        <v>2152</v>
      </c>
      <c r="C2076" s="22" t="s">
        <v>582</v>
      </c>
      <c r="D2076" s="22" t="s">
        <v>470</v>
      </c>
      <c r="E2076" s="22" t="s">
        <v>1895</v>
      </c>
    </row>
    <row r="2077" spans="1:5" x14ac:dyDescent="0.25">
      <c r="A2077" s="35">
        <v>46009.346337951385</v>
      </c>
      <c r="B2077" s="22" t="s">
        <v>2153</v>
      </c>
      <c r="C2077" s="22" t="s">
        <v>582</v>
      </c>
      <c r="D2077" s="22" t="s">
        <v>470</v>
      </c>
      <c r="E2077" s="22" t="s">
        <v>1895</v>
      </c>
    </row>
    <row r="2078" spans="1:5" x14ac:dyDescent="0.25">
      <c r="A2078" s="35">
        <v>46009.346342777775</v>
      </c>
      <c r="B2078" s="22" t="s">
        <v>2154</v>
      </c>
      <c r="C2078" s="22" t="s">
        <v>582</v>
      </c>
      <c r="D2078" s="22" t="s">
        <v>470</v>
      </c>
      <c r="E2078" s="22" t="s">
        <v>1895</v>
      </c>
    </row>
    <row r="2079" spans="1:5" x14ac:dyDescent="0.25">
      <c r="A2079" s="35">
        <v>46009.34634462963</v>
      </c>
      <c r="B2079" s="22" t="s">
        <v>2155</v>
      </c>
      <c r="C2079" s="22" t="s">
        <v>582</v>
      </c>
      <c r="D2079" s="22" t="s">
        <v>470</v>
      </c>
      <c r="E2079" s="22" t="s">
        <v>1895</v>
      </c>
    </row>
    <row r="2080" spans="1:5" x14ac:dyDescent="0.25">
      <c r="A2080" s="35">
        <v>46009.346346736114</v>
      </c>
      <c r="B2080" s="22" t="s">
        <v>2156</v>
      </c>
      <c r="C2080" s="22" t="s">
        <v>582</v>
      </c>
      <c r="D2080" s="22" t="s">
        <v>470</v>
      </c>
      <c r="E2080" s="22" t="s">
        <v>1895</v>
      </c>
    </row>
    <row r="2081" spans="1:5" x14ac:dyDescent="0.25">
      <c r="A2081" s="35">
        <v>46009.346348437495</v>
      </c>
      <c r="B2081" s="22" t="s">
        <v>2157</v>
      </c>
      <c r="C2081" s="22" t="s">
        <v>582</v>
      </c>
      <c r="D2081" s="22" t="s">
        <v>470</v>
      </c>
      <c r="E2081" s="22" t="s">
        <v>1895</v>
      </c>
    </row>
    <row r="2082" spans="1:5" x14ac:dyDescent="0.25">
      <c r="A2082" s="35">
        <v>46009.346350428241</v>
      </c>
      <c r="B2082" s="22" t="s">
        <v>2158</v>
      </c>
      <c r="C2082" s="22" t="s">
        <v>582</v>
      </c>
      <c r="D2082" s="22" t="s">
        <v>470</v>
      </c>
      <c r="E2082" s="22" t="s">
        <v>1895</v>
      </c>
    </row>
    <row r="2083" spans="1:5" x14ac:dyDescent="0.25">
      <c r="A2083" s="35">
        <v>46009.346352210647</v>
      </c>
      <c r="B2083" s="22" t="s">
        <v>2159</v>
      </c>
      <c r="C2083" s="22" t="s">
        <v>582</v>
      </c>
      <c r="D2083" s="22" t="s">
        <v>470</v>
      </c>
      <c r="E2083" s="22" t="s">
        <v>1895</v>
      </c>
    </row>
    <row r="2084" spans="1:5" x14ac:dyDescent="0.25">
      <c r="A2084" s="35">
        <v>46009.346353749999</v>
      </c>
      <c r="B2084" s="22" t="s">
        <v>2160</v>
      </c>
      <c r="C2084" s="22" t="s">
        <v>582</v>
      </c>
      <c r="D2084" s="22" t="s">
        <v>470</v>
      </c>
      <c r="E2084" s="22" t="s">
        <v>1895</v>
      </c>
    </row>
    <row r="2085" spans="1:5" x14ac:dyDescent="0.25">
      <c r="A2085" s="35">
        <v>46009.346355532412</v>
      </c>
      <c r="B2085" s="22" t="s">
        <v>2161</v>
      </c>
      <c r="C2085" s="22" t="s">
        <v>582</v>
      </c>
      <c r="D2085" s="22" t="s">
        <v>470</v>
      </c>
      <c r="E2085" s="22" t="s">
        <v>1895</v>
      </c>
    </row>
    <row r="2086" spans="1:5" x14ac:dyDescent="0.25">
      <c r="A2086" s="35">
        <v>46009.346357141199</v>
      </c>
      <c r="B2086" s="22" t="s">
        <v>2162</v>
      </c>
      <c r="C2086" s="22" t="s">
        <v>582</v>
      </c>
      <c r="D2086" s="22" t="s">
        <v>470</v>
      </c>
      <c r="E2086" s="22" t="s">
        <v>1895</v>
      </c>
    </row>
    <row r="2087" spans="1:5" x14ac:dyDescent="0.25">
      <c r="A2087" s="35">
        <v>46009.346365486112</v>
      </c>
      <c r="B2087" s="22" t="s">
        <v>2163</v>
      </c>
      <c r="C2087" s="22" t="s">
        <v>582</v>
      </c>
      <c r="D2087" s="22" t="s">
        <v>470</v>
      </c>
      <c r="E2087" s="22" t="s">
        <v>1895</v>
      </c>
    </row>
    <row r="2088" spans="1:5" x14ac:dyDescent="0.25">
      <c r="A2088" s="35">
        <v>46009.346367650462</v>
      </c>
      <c r="B2088" s="22" t="s">
        <v>2164</v>
      </c>
      <c r="C2088" s="22" t="s">
        <v>582</v>
      </c>
      <c r="D2088" s="22" t="s">
        <v>470</v>
      </c>
      <c r="E2088" s="22" t="s">
        <v>1895</v>
      </c>
    </row>
    <row r="2089" spans="1:5" x14ac:dyDescent="0.25">
      <c r="A2089" s="35">
        <v>46009.356298738421</v>
      </c>
      <c r="B2089" s="22" t="s">
        <v>2150</v>
      </c>
      <c r="C2089" s="22" t="s">
        <v>470</v>
      </c>
      <c r="D2089" s="22" t="s">
        <v>582</v>
      </c>
      <c r="E2089" s="22" t="s">
        <v>1895</v>
      </c>
    </row>
    <row r="2090" spans="1:5" x14ac:dyDescent="0.25">
      <c r="A2090" s="35">
        <v>46009.356301180553</v>
      </c>
      <c r="B2090" s="22" t="s">
        <v>2152</v>
      </c>
      <c r="C2090" s="22" t="s">
        <v>470</v>
      </c>
      <c r="D2090" s="22" t="s">
        <v>582</v>
      </c>
      <c r="E2090" s="22" t="s">
        <v>1895</v>
      </c>
    </row>
    <row r="2091" spans="1:5" x14ac:dyDescent="0.25">
      <c r="A2091" s="35">
        <v>46009.356303900466</v>
      </c>
      <c r="B2091" s="22" t="s">
        <v>2154</v>
      </c>
      <c r="C2091" s="22" t="s">
        <v>470</v>
      </c>
      <c r="D2091" s="22" t="s">
        <v>582</v>
      </c>
      <c r="E2091" s="22" t="s">
        <v>1895</v>
      </c>
    </row>
    <row r="2092" spans="1:5" x14ac:dyDescent="0.25">
      <c r="A2092" s="35">
        <v>46009.356308217597</v>
      </c>
      <c r="B2092" s="22" t="s">
        <v>2155</v>
      </c>
      <c r="C2092" s="22" t="s">
        <v>470</v>
      </c>
      <c r="D2092" s="22" t="s">
        <v>582</v>
      </c>
      <c r="E2092" s="22" t="s">
        <v>1895</v>
      </c>
    </row>
    <row r="2093" spans="1:5" x14ac:dyDescent="0.25">
      <c r="A2093" s="35">
        <v>46009.356317418977</v>
      </c>
      <c r="B2093" s="22" t="s">
        <v>2156</v>
      </c>
      <c r="C2093" s="22" t="s">
        <v>470</v>
      </c>
      <c r="D2093" s="22" t="s">
        <v>582</v>
      </c>
      <c r="E2093" s="22" t="s">
        <v>1895</v>
      </c>
    </row>
    <row r="2094" spans="1:5" x14ac:dyDescent="0.25">
      <c r="A2094" s="35">
        <v>46009.356320115738</v>
      </c>
      <c r="B2094" s="22" t="s">
        <v>2157</v>
      </c>
      <c r="C2094" s="22" t="s">
        <v>470</v>
      </c>
      <c r="D2094" s="22" t="s">
        <v>582</v>
      </c>
      <c r="E2094" s="22" t="s">
        <v>1895</v>
      </c>
    </row>
    <row r="2095" spans="1:5" x14ac:dyDescent="0.25">
      <c r="A2095" s="35">
        <v>46009.356322708336</v>
      </c>
      <c r="B2095" s="22" t="s">
        <v>2159</v>
      </c>
      <c r="C2095" s="22" t="s">
        <v>470</v>
      </c>
      <c r="D2095" s="22" t="s">
        <v>582</v>
      </c>
      <c r="E2095" s="22" t="s">
        <v>1895</v>
      </c>
    </row>
    <row r="2096" spans="1:5" x14ac:dyDescent="0.25">
      <c r="A2096" s="35">
        <v>46009.356325451387</v>
      </c>
      <c r="B2096" s="22" t="s">
        <v>2161</v>
      </c>
      <c r="C2096" s="22" t="s">
        <v>470</v>
      </c>
      <c r="D2096" s="22" t="s">
        <v>582</v>
      </c>
      <c r="E2096" s="22" t="s">
        <v>1895</v>
      </c>
    </row>
    <row r="2097" spans="1:5" x14ac:dyDescent="0.25">
      <c r="A2097" s="35">
        <v>46009.356328182868</v>
      </c>
      <c r="B2097" s="22" t="s">
        <v>2163</v>
      </c>
      <c r="C2097" s="22" t="s">
        <v>470</v>
      </c>
      <c r="D2097" s="22" t="s">
        <v>582</v>
      </c>
      <c r="E2097" s="22" t="s">
        <v>1895</v>
      </c>
    </row>
    <row r="2098" spans="1:5" x14ac:dyDescent="0.25">
      <c r="A2098" s="35">
        <v>46009.36301184028</v>
      </c>
      <c r="B2098" s="22" t="s">
        <v>2282</v>
      </c>
      <c r="C2098" s="22" t="s">
        <v>489</v>
      </c>
      <c r="D2098" s="22" t="s">
        <v>470</v>
      </c>
      <c r="E2098" s="22" t="s">
        <v>1895</v>
      </c>
    </row>
    <row r="2099" spans="1:5" x14ac:dyDescent="0.25">
      <c r="A2099" s="35">
        <v>46009.363015069444</v>
      </c>
      <c r="B2099" s="22" t="s">
        <v>2283</v>
      </c>
      <c r="C2099" s="22" t="s">
        <v>489</v>
      </c>
      <c r="D2099" s="22" t="s">
        <v>470</v>
      </c>
      <c r="E2099" s="22" t="s">
        <v>1895</v>
      </c>
    </row>
    <row r="2100" spans="1:5" x14ac:dyDescent="0.25">
      <c r="A2100" s="35">
        <v>46009.363019166667</v>
      </c>
      <c r="B2100" s="22" t="s">
        <v>2284</v>
      </c>
      <c r="C2100" s="22" t="s">
        <v>489</v>
      </c>
      <c r="D2100" s="22" t="s">
        <v>470</v>
      </c>
      <c r="E2100" s="22" t="s">
        <v>1895</v>
      </c>
    </row>
    <row r="2101" spans="1:5" x14ac:dyDescent="0.25">
      <c r="A2101" s="35">
        <v>46009.363026898151</v>
      </c>
      <c r="B2101" s="22" t="s">
        <v>2285</v>
      </c>
      <c r="C2101" s="22" t="s">
        <v>489</v>
      </c>
      <c r="D2101" s="22" t="s">
        <v>470</v>
      </c>
      <c r="E2101" s="22" t="s">
        <v>1895</v>
      </c>
    </row>
    <row r="2102" spans="1:5" x14ac:dyDescent="0.25">
      <c r="A2102" s="35">
        <v>46009.363040138887</v>
      </c>
      <c r="B2102" s="22" t="s">
        <v>2286</v>
      </c>
      <c r="C2102" s="22" t="s">
        <v>489</v>
      </c>
      <c r="D2102" s="22" t="s">
        <v>470</v>
      </c>
      <c r="E2102" s="22" t="s">
        <v>1895</v>
      </c>
    </row>
    <row r="2103" spans="1:5" x14ac:dyDescent="0.25">
      <c r="A2103" s="35">
        <v>46009.363042210651</v>
      </c>
      <c r="B2103" s="22" t="s">
        <v>2287</v>
      </c>
      <c r="C2103" s="22" t="s">
        <v>489</v>
      </c>
      <c r="D2103" s="22" t="s">
        <v>470</v>
      </c>
      <c r="E2103" s="22" t="s">
        <v>1895</v>
      </c>
    </row>
    <row r="2104" spans="1:5" x14ac:dyDescent="0.25">
      <c r="A2104" s="35">
        <v>46009.363663391203</v>
      </c>
      <c r="B2104" s="22" t="s">
        <v>2288</v>
      </c>
      <c r="C2104" s="22" t="s">
        <v>489</v>
      </c>
      <c r="D2104" s="22" t="s">
        <v>492</v>
      </c>
      <c r="E2104" s="22" t="s">
        <v>1895</v>
      </c>
    </row>
    <row r="2105" spans="1:5" x14ac:dyDescent="0.25">
      <c r="A2105" s="35">
        <v>46009.363667731479</v>
      </c>
      <c r="B2105" s="22" t="s">
        <v>2289</v>
      </c>
      <c r="C2105" s="22" t="s">
        <v>489</v>
      </c>
      <c r="D2105" s="22" t="s">
        <v>492</v>
      </c>
      <c r="E2105" s="22" t="s">
        <v>1895</v>
      </c>
    </row>
    <row r="2106" spans="1:5" x14ac:dyDescent="0.25">
      <c r="A2106" s="35">
        <v>46009.3636706713</v>
      </c>
      <c r="B2106" s="22" t="s">
        <v>2290</v>
      </c>
      <c r="C2106" s="22" t="s">
        <v>489</v>
      </c>
      <c r="D2106" s="22" t="s">
        <v>492</v>
      </c>
      <c r="E2106" s="22" t="s">
        <v>1895</v>
      </c>
    </row>
    <row r="2107" spans="1:5" x14ac:dyDescent="0.25">
      <c r="A2107" s="35">
        <v>46009.363673252315</v>
      </c>
      <c r="B2107" s="22" t="s">
        <v>2291</v>
      </c>
      <c r="C2107" s="22" t="s">
        <v>489</v>
      </c>
      <c r="D2107" s="22" t="s">
        <v>492</v>
      </c>
      <c r="E2107" s="22" t="s">
        <v>1895</v>
      </c>
    </row>
    <row r="2108" spans="1:5" x14ac:dyDescent="0.25">
      <c r="A2108" s="35">
        <v>46009.363675381945</v>
      </c>
      <c r="B2108" s="22" t="s">
        <v>2292</v>
      </c>
      <c r="C2108" s="22" t="s">
        <v>489</v>
      </c>
      <c r="D2108" s="22" t="s">
        <v>492</v>
      </c>
      <c r="E2108" s="22" t="s">
        <v>1895</v>
      </c>
    </row>
    <row r="2109" spans="1:5" x14ac:dyDescent="0.25">
      <c r="A2109" s="35">
        <v>46009.36368667824</v>
      </c>
      <c r="B2109" s="22" t="s">
        <v>2293</v>
      </c>
      <c r="C2109" s="22" t="s">
        <v>489</v>
      </c>
      <c r="D2109" s="22" t="s">
        <v>492</v>
      </c>
      <c r="E2109" s="22" t="s">
        <v>1895</v>
      </c>
    </row>
    <row r="2110" spans="1:5" x14ac:dyDescent="0.25">
      <c r="A2110" s="35">
        <v>46009.363696759261</v>
      </c>
      <c r="B2110" s="22" t="s">
        <v>2294</v>
      </c>
      <c r="C2110" s="22" t="s">
        <v>489</v>
      </c>
      <c r="D2110" s="22" t="s">
        <v>492</v>
      </c>
      <c r="E2110" s="22" t="s">
        <v>1895</v>
      </c>
    </row>
    <row r="2111" spans="1:5" x14ac:dyDescent="0.25">
      <c r="A2111" s="35">
        <v>46009.364549675927</v>
      </c>
      <c r="B2111" s="22" t="s">
        <v>2295</v>
      </c>
      <c r="C2111" s="22" t="s">
        <v>489</v>
      </c>
      <c r="D2111" s="22" t="s">
        <v>468</v>
      </c>
      <c r="E2111" s="22" t="s">
        <v>1895</v>
      </c>
    </row>
    <row r="2112" spans="1:5" x14ac:dyDescent="0.25">
      <c r="A2112" s="35">
        <v>46009.364551516206</v>
      </c>
      <c r="B2112" s="22" t="s">
        <v>2296</v>
      </c>
      <c r="C2112" s="22" t="s">
        <v>489</v>
      </c>
      <c r="D2112" s="22" t="s">
        <v>468</v>
      </c>
      <c r="E2112" s="22" t="s">
        <v>1895</v>
      </c>
    </row>
    <row r="2113" spans="1:5" x14ac:dyDescent="0.25">
      <c r="A2113" s="35">
        <v>46009.364552916668</v>
      </c>
      <c r="B2113" s="22" t="s">
        <v>2297</v>
      </c>
      <c r="C2113" s="22" t="s">
        <v>489</v>
      </c>
      <c r="D2113" s="22" t="s">
        <v>468</v>
      </c>
      <c r="E2113" s="22" t="s">
        <v>1895</v>
      </c>
    </row>
    <row r="2114" spans="1:5" x14ac:dyDescent="0.25">
      <c r="A2114" s="35">
        <v>46009.364554594911</v>
      </c>
      <c r="B2114" s="22" t="s">
        <v>2298</v>
      </c>
      <c r="C2114" s="22" t="s">
        <v>489</v>
      </c>
      <c r="D2114" s="22" t="s">
        <v>468</v>
      </c>
      <c r="E2114" s="22" t="s">
        <v>1895</v>
      </c>
    </row>
    <row r="2115" spans="1:5" x14ac:dyDescent="0.25">
      <c r="A2115" s="35">
        <v>46009.364556296292</v>
      </c>
      <c r="B2115" s="22" t="s">
        <v>2299</v>
      </c>
      <c r="C2115" s="22" t="s">
        <v>489</v>
      </c>
      <c r="D2115" s="22" t="s">
        <v>468</v>
      </c>
      <c r="E2115" s="22" t="s">
        <v>1895</v>
      </c>
    </row>
    <row r="2116" spans="1:5" x14ac:dyDescent="0.25">
      <c r="A2116" s="35">
        <v>46009.364557905094</v>
      </c>
      <c r="B2116" s="22" t="s">
        <v>2300</v>
      </c>
      <c r="C2116" s="22" t="s">
        <v>489</v>
      </c>
      <c r="D2116" s="22" t="s">
        <v>468</v>
      </c>
      <c r="E2116" s="22" t="s">
        <v>1895</v>
      </c>
    </row>
    <row r="2117" spans="1:5" x14ac:dyDescent="0.25">
      <c r="A2117" s="35">
        <v>46009.365325416671</v>
      </c>
      <c r="B2117" s="22" t="s">
        <v>2301</v>
      </c>
      <c r="C2117" s="22" t="s">
        <v>489</v>
      </c>
      <c r="D2117" s="22" t="s">
        <v>468</v>
      </c>
      <c r="E2117" s="22" t="s">
        <v>1895</v>
      </c>
    </row>
    <row r="2118" spans="1:5" x14ac:dyDescent="0.25">
      <c r="A2118" s="35">
        <v>46009.365328009255</v>
      </c>
      <c r="B2118" s="22" t="s">
        <v>2302</v>
      </c>
      <c r="C2118" s="22" t="s">
        <v>489</v>
      </c>
      <c r="D2118" s="22" t="s">
        <v>468</v>
      </c>
      <c r="E2118" s="22" t="s">
        <v>1895</v>
      </c>
    </row>
    <row r="2119" spans="1:5" x14ac:dyDescent="0.25">
      <c r="A2119" s="35">
        <v>46009.365330856483</v>
      </c>
      <c r="B2119" s="22" t="s">
        <v>2303</v>
      </c>
      <c r="C2119" s="22" t="s">
        <v>489</v>
      </c>
      <c r="D2119" s="22" t="s">
        <v>468</v>
      </c>
      <c r="E2119" s="22" t="s">
        <v>1895</v>
      </c>
    </row>
    <row r="2120" spans="1:5" x14ac:dyDescent="0.25">
      <c r="A2120" s="35">
        <v>46009.365333078706</v>
      </c>
      <c r="B2120" s="22" t="s">
        <v>2304</v>
      </c>
      <c r="C2120" s="22" t="s">
        <v>489</v>
      </c>
      <c r="D2120" s="22" t="s">
        <v>468</v>
      </c>
      <c r="E2120" s="22" t="s">
        <v>1895</v>
      </c>
    </row>
    <row r="2121" spans="1:5" x14ac:dyDescent="0.25">
      <c r="A2121" s="35">
        <v>46009.365335694441</v>
      </c>
      <c r="B2121" s="22" t="s">
        <v>2305</v>
      </c>
      <c r="C2121" s="22" t="s">
        <v>489</v>
      </c>
      <c r="D2121" s="22" t="s">
        <v>468</v>
      </c>
      <c r="E2121" s="22" t="s">
        <v>1895</v>
      </c>
    </row>
    <row r="2122" spans="1:5" x14ac:dyDescent="0.25">
      <c r="A2122" s="35">
        <v>46009.365338252319</v>
      </c>
      <c r="B2122" s="22" t="s">
        <v>2306</v>
      </c>
      <c r="C2122" s="22" t="s">
        <v>489</v>
      </c>
      <c r="D2122" s="22" t="s">
        <v>468</v>
      </c>
      <c r="E2122" s="22" t="s">
        <v>1895</v>
      </c>
    </row>
    <row r="2123" spans="1:5" x14ac:dyDescent="0.25">
      <c r="A2123" s="35">
        <v>46009.365340462959</v>
      </c>
      <c r="B2123" s="22" t="s">
        <v>2307</v>
      </c>
      <c r="C2123" s="22" t="s">
        <v>489</v>
      </c>
      <c r="D2123" s="22" t="s">
        <v>468</v>
      </c>
      <c r="E2123" s="22" t="s">
        <v>1895</v>
      </c>
    </row>
    <row r="2124" spans="1:5" x14ac:dyDescent="0.25">
      <c r="A2124" s="35">
        <v>46009.365343067126</v>
      </c>
      <c r="B2124" s="22" t="s">
        <v>2308</v>
      </c>
      <c r="C2124" s="22" t="s">
        <v>489</v>
      </c>
      <c r="D2124" s="22" t="s">
        <v>468</v>
      </c>
      <c r="E2124" s="22" t="s">
        <v>1895</v>
      </c>
    </row>
    <row r="2125" spans="1:5" x14ac:dyDescent="0.25">
      <c r="A2125" s="35">
        <v>46009.365345081023</v>
      </c>
      <c r="B2125" s="22" t="s">
        <v>2309</v>
      </c>
      <c r="C2125" s="22" t="s">
        <v>489</v>
      </c>
      <c r="D2125" s="22" t="s">
        <v>468</v>
      </c>
      <c r="E2125" s="22" t="s">
        <v>1895</v>
      </c>
    </row>
    <row r="2126" spans="1:5" x14ac:dyDescent="0.25">
      <c r="A2126" s="35">
        <v>46009.365348807871</v>
      </c>
      <c r="B2126" s="22" t="s">
        <v>2310</v>
      </c>
      <c r="C2126" s="22" t="s">
        <v>489</v>
      </c>
      <c r="D2126" s="22" t="s">
        <v>468</v>
      </c>
      <c r="E2126" s="22" t="s">
        <v>1895</v>
      </c>
    </row>
    <row r="2127" spans="1:5" x14ac:dyDescent="0.25">
      <c r="A2127" s="35">
        <v>46009.365352291672</v>
      </c>
      <c r="B2127" s="22" t="s">
        <v>2311</v>
      </c>
      <c r="C2127" s="22" t="s">
        <v>489</v>
      </c>
      <c r="D2127" s="22" t="s">
        <v>468</v>
      </c>
      <c r="E2127" s="22" t="s">
        <v>1895</v>
      </c>
    </row>
    <row r="2128" spans="1:5" x14ac:dyDescent="0.25">
      <c r="A2128" s="35">
        <v>46009.365355995367</v>
      </c>
      <c r="B2128" s="22" t="s">
        <v>2312</v>
      </c>
      <c r="C2128" s="22" t="s">
        <v>489</v>
      </c>
      <c r="D2128" s="22" t="s">
        <v>468</v>
      </c>
      <c r="E2128" s="22" t="s">
        <v>1895</v>
      </c>
    </row>
    <row r="2129" spans="1:5" x14ac:dyDescent="0.25">
      <c r="A2129" s="35">
        <v>46009.365361111108</v>
      </c>
      <c r="B2129" s="22" t="s">
        <v>2313</v>
      </c>
      <c r="C2129" s="22" t="s">
        <v>489</v>
      </c>
      <c r="D2129" s="22" t="s">
        <v>468</v>
      </c>
      <c r="E2129" s="22" t="s">
        <v>1895</v>
      </c>
    </row>
    <row r="2130" spans="1:5" x14ac:dyDescent="0.25">
      <c r="A2130" s="35">
        <v>46009.365363125005</v>
      </c>
      <c r="B2130" s="22" t="s">
        <v>2314</v>
      </c>
      <c r="C2130" s="22" t="s">
        <v>489</v>
      </c>
      <c r="D2130" s="22" t="s">
        <v>468</v>
      </c>
      <c r="E2130" s="22" t="s">
        <v>1895</v>
      </c>
    </row>
    <row r="2131" spans="1:5" x14ac:dyDescent="0.25">
      <c r="A2131" s="35">
        <v>46009.365365798614</v>
      </c>
      <c r="B2131" s="22" t="s">
        <v>2315</v>
      </c>
      <c r="C2131" s="22" t="s">
        <v>489</v>
      </c>
      <c r="D2131" s="22" t="s">
        <v>468</v>
      </c>
      <c r="E2131" s="22" t="s">
        <v>1895</v>
      </c>
    </row>
    <row r="2132" spans="1:5" x14ac:dyDescent="0.25">
      <c r="A2132" s="35">
        <v>46009.365370706015</v>
      </c>
      <c r="B2132" s="22" t="s">
        <v>2316</v>
      </c>
      <c r="C2132" s="22" t="s">
        <v>489</v>
      </c>
      <c r="D2132" s="22" t="s">
        <v>468</v>
      </c>
      <c r="E2132" s="22" t="s">
        <v>1895</v>
      </c>
    </row>
    <row r="2133" spans="1:5" x14ac:dyDescent="0.25">
      <c r="A2133" s="35">
        <v>46009.365374456014</v>
      </c>
      <c r="B2133" s="22" t="s">
        <v>2317</v>
      </c>
      <c r="C2133" s="22" t="s">
        <v>489</v>
      </c>
      <c r="D2133" s="22" t="s">
        <v>468</v>
      </c>
      <c r="E2133" s="22" t="s">
        <v>1895</v>
      </c>
    </row>
    <row r="2134" spans="1:5" x14ac:dyDescent="0.25">
      <c r="A2134" s="35">
        <v>46009.365376747686</v>
      </c>
      <c r="B2134" s="22" t="s">
        <v>2318</v>
      </c>
      <c r="C2134" s="22" t="s">
        <v>489</v>
      </c>
      <c r="D2134" s="22" t="s">
        <v>468</v>
      </c>
      <c r="E2134" s="22" t="s">
        <v>1895</v>
      </c>
    </row>
    <row r="2135" spans="1:5" x14ac:dyDescent="0.25">
      <c r="A2135" s="35">
        <v>46009.365404027776</v>
      </c>
      <c r="B2135" s="22" t="s">
        <v>2319</v>
      </c>
      <c r="C2135" s="22" t="s">
        <v>489</v>
      </c>
      <c r="D2135" s="22" t="s">
        <v>468</v>
      </c>
      <c r="E2135" s="22" t="s">
        <v>1895</v>
      </c>
    </row>
    <row r="2136" spans="1:5" x14ac:dyDescent="0.25">
      <c r="A2136" s="35">
        <v>46009.365406747689</v>
      </c>
      <c r="B2136" s="22" t="s">
        <v>2320</v>
      </c>
      <c r="C2136" s="22" t="s">
        <v>489</v>
      </c>
      <c r="D2136" s="22" t="s">
        <v>468</v>
      </c>
      <c r="E2136" s="22" t="s">
        <v>1895</v>
      </c>
    </row>
    <row r="2137" spans="1:5" x14ac:dyDescent="0.25">
      <c r="A2137" s="35">
        <v>46009.365414155094</v>
      </c>
      <c r="B2137" s="22" t="s">
        <v>2321</v>
      </c>
      <c r="C2137" s="22" t="s">
        <v>489</v>
      </c>
      <c r="D2137" s="22" t="s">
        <v>468</v>
      </c>
      <c r="E2137" s="22" t="s">
        <v>1895</v>
      </c>
    </row>
    <row r="2138" spans="1:5" x14ac:dyDescent="0.25">
      <c r="A2138" s="35">
        <v>46009.365416666667</v>
      </c>
      <c r="B2138" s="22" t="s">
        <v>2322</v>
      </c>
      <c r="C2138" s="22" t="s">
        <v>489</v>
      </c>
      <c r="D2138" s="22" t="s">
        <v>468</v>
      </c>
      <c r="E2138" s="22" t="s">
        <v>1895</v>
      </c>
    </row>
    <row r="2139" spans="1:5" x14ac:dyDescent="0.25">
      <c r="A2139" s="35">
        <v>46009.366316921296</v>
      </c>
      <c r="B2139" s="22" t="s">
        <v>2323</v>
      </c>
      <c r="C2139" s="22" t="s">
        <v>489</v>
      </c>
      <c r="D2139" s="22" t="s">
        <v>582</v>
      </c>
      <c r="E2139" s="22" t="s">
        <v>1895</v>
      </c>
    </row>
    <row r="2140" spans="1:5" x14ac:dyDescent="0.25">
      <c r="A2140" s="35">
        <v>46009.366318703702</v>
      </c>
      <c r="B2140" s="22" t="s">
        <v>2324</v>
      </c>
      <c r="C2140" s="22" t="s">
        <v>489</v>
      </c>
      <c r="D2140" s="22" t="s">
        <v>582</v>
      </c>
      <c r="E2140" s="22" t="s">
        <v>1895</v>
      </c>
    </row>
    <row r="2141" spans="1:5" x14ac:dyDescent="0.25">
      <c r="A2141" s="35">
        <v>46009.366320624998</v>
      </c>
      <c r="B2141" s="22" t="s">
        <v>2325</v>
      </c>
      <c r="C2141" s="22" t="s">
        <v>489</v>
      </c>
      <c r="D2141" s="22" t="s">
        <v>582</v>
      </c>
      <c r="E2141" s="22" t="s">
        <v>1895</v>
      </c>
    </row>
    <row r="2142" spans="1:5" x14ac:dyDescent="0.25">
      <c r="A2142" s="35">
        <v>46009.366322766204</v>
      </c>
      <c r="B2142" s="22" t="s">
        <v>2326</v>
      </c>
      <c r="C2142" s="22" t="s">
        <v>489</v>
      </c>
      <c r="D2142" s="22" t="s">
        <v>582</v>
      </c>
      <c r="E2142" s="22" t="s">
        <v>1895</v>
      </c>
    </row>
    <row r="2143" spans="1:5" x14ac:dyDescent="0.25">
      <c r="A2143" s="35">
        <v>46009.36632479167</v>
      </c>
      <c r="B2143" s="22" t="s">
        <v>2327</v>
      </c>
      <c r="C2143" s="22" t="s">
        <v>489</v>
      </c>
      <c r="D2143" s="22" t="s">
        <v>582</v>
      </c>
      <c r="E2143" s="22" t="s">
        <v>1895</v>
      </c>
    </row>
    <row r="2144" spans="1:5" x14ac:dyDescent="0.25">
      <c r="A2144" s="35">
        <v>46009.366326631949</v>
      </c>
      <c r="B2144" s="22" t="s">
        <v>2328</v>
      </c>
      <c r="C2144" s="22" t="s">
        <v>489</v>
      </c>
      <c r="D2144" s="22" t="s">
        <v>582</v>
      </c>
      <c r="E2144" s="22" t="s">
        <v>1895</v>
      </c>
    </row>
    <row r="2145" spans="1:5" x14ac:dyDescent="0.25">
      <c r="A2145" s="35">
        <v>46009.36632872685</v>
      </c>
      <c r="B2145" s="22" t="s">
        <v>2329</v>
      </c>
      <c r="C2145" s="22" t="s">
        <v>489</v>
      </c>
      <c r="D2145" s="22" t="s">
        <v>582</v>
      </c>
      <c r="E2145" s="22" t="s">
        <v>1895</v>
      </c>
    </row>
    <row r="2146" spans="1:5" x14ac:dyDescent="0.25">
      <c r="A2146" s="35">
        <v>46009.369438541667</v>
      </c>
      <c r="B2146" s="22" t="s">
        <v>1321</v>
      </c>
      <c r="C2146" s="22" t="s">
        <v>449</v>
      </c>
      <c r="D2146" s="22" t="s">
        <v>1894</v>
      </c>
      <c r="E2146" s="22" t="s">
        <v>1999</v>
      </c>
    </row>
    <row r="2147" spans="1:5" x14ac:dyDescent="0.25">
      <c r="A2147" s="35">
        <v>46009.369842881948</v>
      </c>
      <c r="B2147" s="22" t="s">
        <v>1294</v>
      </c>
      <c r="C2147" s="22" t="s">
        <v>449</v>
      </c>
      <c r="D2147" s="22" t="s">
        <v>451</v>
      </c>
      <c r="E2147" s="22" t="s">
        <v>1999</v>
      </c>
    </row>
    <row r="2148" spans="1:5" x14ac:dyDescent="0.25">
      <c r="A2148" s="35">
        <v>46009.371763831019</v>
      </c>
      <c r="B2148" s="22" t="s">
        <v>2286</v>
      </c>
      <c r="C2148" s="22" t="s">
        <v>470</v>
      </c>
      <c r="D2148" s="22" t="s">
        <v>468</v>
      </c>
      <c r="E2148" s="22" t="s">
        <v>1895</v>
      </c>
    </row>
    <row r="2149" spans="1:5" x14ac:dyDescent="0.25">
      <c r="A2149" s="35">
        <v>46009.37177597222</v>
      </c>
      <c r="B2149" s="22" t="s">
        <v>2285</v>
      </c>
      <c r="C2149" s="22" t="s">
        <v>470</v>
      </c>
      <c r="D2149" s="22" t="s">
        <v>468</v>
      </c>
      <c r="E2149" s="22" t="s">
        <v>1895</v>
      </c>
    </row>
    <row r="2150" spans="1:5" x14ac:dyDescent="0.25">
      <c r="A2150" s="35">
        <v>46009.371778773144</v>
      </c>
      <c r="B2150" s="22" t="s">
        <v>2284</v>
      </c>
      <c r="C2150" s="22" t="s">
        <v>470</v>
      </c>
      <c r="D2150" s="22" t="s">
        <v>468</v>
      </c>
      <c r="E2150" s="22" t="s">
        <v>1895</v>
      </c>
    </row>
    <row r="2151" spans="1:5" x14ac:dyDescent="0.25">
      <c r="A2151" s="35">
        <v>46009.371780810186</v>
      </c>
      <c r="B2151" s="22" t="s">
        <v>2283</v>
      </c>
      <c r="C2151" s="22" t="s">
        <v>470</v>
      </c>
      <c r="D2151" s="22" t="s">
        <v>468</v>
      </c>
      <c r="E2151" s="22" t="s">
        <v>1895</v>
      </c>
    </row>
    <row r="2152" spans="1:5" x14ac:dyDescent="0.25">
      <c r="A2152" s="35">
        <v>46009.371783368057</v>
      </c>
      <c r="B2152" s="22" t="s">
        <v>2282</v>
      </c>
      <c r="C2152" s="22" t="s">
        <v>470</v>
      </c>
      <c r="D2152" s="22" t="s">
        <v>468</v>
      </c>
      <c r="E2152" s="22" t="s">
        <v>1895</v>
      </c>
    </row>
    <row r="2153" spans="1:5" x14ac:dyDescent="0.25">
      <c r="A2153" s="35">
        <v>46009.371785763884</v>
      </c>
      <c r="B2153" s="22" t="s">
        <v>2153</v>
      </c>
      <c r="C2153" s="22" t="s">
        <v>470</v>
      </c>
      <c r="D2153" s="22" t="s">
        <v>468</v>
      </c>
      <c r="E2153" s="22" t="s">
        <v>1895</v>
      </c>
    </row>
    <row r="2154" spans="1:5" x14ac:dyDescent="0.25">
      <c r="A2154" s="35">
        <v>46009.371787881944</v>
      </c>
      <c r="B2154" s="22" t="s">
        <v>2151</v>
      </c>
      <c r="C2154" s="22" t="s">
        <v>470</v>
      </c>
      <c r="D2154" s="22" t="s">
        <v>468</v>
      </c>
      <c r="E2154" s="22" t="s">
        <v>1895</v>
      </c>
    </row>
    <row r="2155" spans="1:5" x14ac:dyDescent="0.25">
      <c r="A2155" s="35">
        <v>46009.371800567125</v>
      </c>
      <c r="B2155" s="22" t="s">
        <v>2164</v>
      </c>
      <c r="C2155" s="22" t="s">
        <v>470</v>
      </c>
      <c r="D2155" s="22" t="s">
        <v>468</v>
      </c>
      <c r="E2155" s="22" t="s">
        <v>1895</v>
      </c>
    </row>
    <row r="2156" spans="1:5" x14ac:dyDescent="0.25">
      <c r="A2156" s="35">
        <v>46009.371803495371</v>
      </c>
      <c r="B2156" s="22" t="s">
        <v>2287</v>
      </c>
      <c r="C2156" s="22" t="s">
        <v>470</v>
      </c>
      <c r="D2156" s="22" t="s">
        <v>468</v>
      </c>
      <c r="E2156" s="22" t="s">
        <v>1895</v>
      </c>
    </row>
    <row r="2157" spans="1:5" x14ac:dyDescent="0.25">
      <c r="A2157" s="35">
        <v>46009.371805567134</v>
      </c>
      <c r="B2157" s="22" t="s">
        <v>2162</v>
      </c>
      <c r="C2157" s="22" t="s">
        <v>470</v>
      </c>
      <c r="D2157" s="22" t="s">
        <v>468</v>
      </c>
      <c r="E2157" s="22" t="s">
        <v>1895</v>
      </c>
    </row>
    <row r="2158" spans="1:5" x14ac:dyDescent="0.25">
      <c r="A2158" s="35">
        <v>46009.371808842596</v>
      </c>
      <c r="B2158" s="22" t="s">
        <v>2160</v>
      </c>
      <c r="C2158" s="22" t="s">
        <v>470</v>
      </c>
      <c r="D2158" s="22" t="s">
        <v>468</v>
      </c>
      <c r="E2158" s="22" t="s">
        <v>1895</v>
      </c>
    </row>
    <row r="2159" spans="1:5" x14ac:dyDescent="0.25">
      <c r="A2159" s="35">
        <v>46009.371811597222</v>
      </c>
      <c r="B2159" s="22" t="s">
        <v>2158</v>
      </c>
      <c r="C2159" s="22" t="s">
        <v>470</v>
      </c>
      <c r="D2159" s="22" t="s">
        <v>468</v>
      </c>
      <c r="E2159" s="22" t="s">
        <v>1895</v>
      </c>
    </row>
    <row r="2160" spans="1:5" x14ac:dyDescent="0.25">
      <c r="A2160" s="35">
        <v>46009.372477546298</v>
      </c>
      <c r="B2160" s="22" t="s">
        <v>2286</v>
      </c>
      <c r="C2160" s="22" t="s">
        <v>468</v>
      </c>
      <c r="D2160" s="22" t="s">
        <v>470</v>
      </c>
      <c r="E2160" s="22" t="s">
        <v>1895</v>
      </c>
    </row>
    <row r="2161" spans="1:5" x14ac:dyDescent="0.25">
      <c r="A2161" s="35">
        <v>46009.372479548612</v>
      </c>
      <c r="B2161" s="22" t="s">
        <v>2285</v>
      </c>
      <c r="C2161" s="22" t="s">
        <v>468</v>
      </c>
      <c r="D2161" s="22" t="s">
        <v>470</v>
      </c>
      <c r="E2161" s="22" t="s">
        <v>1895</v>
      </c>
    </row>
    <row r="2162" spans="1:5" x14ac:dyDescent="0.25">
      <c r="A2162" s="35">
        <v>46009.372481469909</v>
      </c>
      <c r="B2162" s="22" t="s">
        <v>2284</v>
      </c>
      <c r="C2162" s="22" t="s">
        <v>468</v>
      </c>
      <c r="D2162" s="22" t="s">
        <v>470</v>
      </c>
      <c r="E2162" s="22" t="s">
        <v>1895</v>
      </c>
    </row>
    <row r="2163" spans="1:5" x14ac:dyDescent="0.25">
      <c r="A2163" s="35">
        <v>46009.372483310188</v>
      </c>
      <c r="B2163" s="22" t="s">
        <v>2283</v>
      </c>
      <c r="C2163" s="22" t="s">
        <v>468</v>
      </c>
      <c r="D2163" s="22" t="s">
        <v>470</v>
      </c>
      <c r="E2163" s="22" t="s">
        <v>1895</v>
      </c>
    </row>
    <row r="2164" spans="1:5" x14ac:dyDescent="0.25">
      <c r="A2164" s="35">
        <v>46009.372485138891</v>
      </c>
      <c r="B2164" s="22" t="s">
        <v>2282</v>
      </c>
      <c r="C2164" s="22" t="s">
        <v>468</v>
      </c>
      <c r="D2164" s="22" t="s">
        <v>470</v>
      </c>
      <c r="E2164" s="22" t="s">
        <v>1895</v>
      </c>
    </row>
    <row r="2165" spans="1:5" x14ac:dyDescent="0.25">
      <c r="A2165" s="35">
        <v>46009.372487060187</v>
      </c>
      <c r="B2165" s="22" t="s">
        <v>2153</v>
      </c>
      <c r="C2165" s="22" t="s">
        <v>468</v>
      </c>
      <c r="D2165" s="22" t="s">
        <v>470</v>
      </c>
      <c r="E2165" s="22" t="s">
        <v>1895</v>
      </c>
    </row>
    <row r="2166" spans="1:5" x14ac:dyDescent="0.25">
      <c r="A2166" s="35">
        <v>46009.392542002315</v>
      </c>
      <c r="B2166" s="22" t="s">
        <v>2330</v>
      </c>
      <c r="C2166" s="22" t="s">
        <v>489</v>
      </c>
      <c r="D2166" s="22" t="s">
        <v>470</v>
      </c>
      <c r="E2166" s="22" t="s">
        <v>1999</v>
      </c>
    </row>
    <row r="2167" spans="1:5" x14ac:dyDescent="0.25">
      <c r="A2167" s="35">
        <v>46009.393148263887</v>
      </c>
      <c r="B2167" s="22" t="s">
        <v>2331</v>
      </c>
      <c r="C2167" s="22" t="s">
        <v>489</v>
      </c>
      <c r="D2167" s="22" t="s">
        <v>472</v>
      </c>
      <c r="E2167" s="22" t="s">
        <v>1999</v>
      </c>
    </row>
    <row r="2168" spans="1:5" x14ac:dyDescent="0.25">
      <c r="A2168" s="35">
        <v>46009.393225324078</v>
      </c>
      <c r="B2168" s="22" t="s">
        <v>2332</v>
      </c>
      <c r="C2168" s="22" t="s">
        <v>489</v>
      </c>
      <c r="D2168" s="22" t="s">
        <v>468</v>
      </c>
      <c r="E2168" s="22" t="s">
        <v>1999</v>
      </c>
    </row>
    <row r="2169" spans="1:5" x14ac:dyDescent="0.25">
      <c r="A2169" s="35">
        <v>46009.393695335646</v>
      </c>
      <c r="B2169" s="22" t="s">
        <v>2333</v>
      </c>
      <c r="C2169" s="22" t="s">
        <v>489</v>
      </c>
      <c r="D2169" s="22" t="s">
        <v>468</v>
      </c>
      <c r="E2169" s="22" t="s">
        <v>1895</v>
      </c>
    </row>
    <row r="2170" spans="1:5" x14ac:dyDescent="0.25">
      <c r="A2170" s="35">
        <v>46009.393697037041</v>
      </c>
      <c r="B2170" s="22" t="s">
        <v>2334</v>
      </c>
      <c r="C2170" s="22" t="s">
        <v>489</v>
      </c>
      <c r="D2170" s="22" t="s">
        <v>468</v>
      </c>
      <c r="E2170" s="22" t="s">
        <v>1895</v>
      </c>
    </row>
    <row r="2171" spans="1:5" x14ac:dyDescent="0.25">
      <c r="A2171" s="35">
        <v>46009.393698530097</v>
      </c>
      <c r="B2171" s="22" t="s">
        <v>2335</v>
      </c>
      <c r="C2171" s="22" t="s">
        <v>489</v>
      </c>
      <c r="D2171" s="22" t="s">
        <v>468</v>
      </c>
      <c r="E2171" s="22" t="s">
        <v>1895</v>
      </c>
    </row>
    <row r="2172" spans="1:5" x14ac:dyDescent="0.25">
      <c r="A2172" s="35">
        <v>46009.393699884255</v>
      </c>
      <c r="B2172" s="22" t="s">
        <v>2336</v>
      </c>
      <c r="C2172" s="22" t="s">
        <v>489</v>
      </c>
      <c r="D2172" s="22" t="s">
        <v>468</v>
      </c>
      <c r="E2172" s="22" t="s">
        <v>1895</v>
      </c>
    </row>
    <row r="2173" spans="1:5" x14ac:dyDescent="0.25">
      <c r="A2173" s="35">
        <v>46009.393701307868</v>
      </c>
      <c r="B2173" s="22" t="s">
        <v>2337</v>
      </c>
      <c r="C2173" s="22" t="s">
        <v>489</v>
      </c>
      <c r="D2173" s="22" t="s">
        <v>468</v>
      </c>
      <c r="E2173" s="22" t="s">
        <v>1895</v>
      </c>
    </row>
    <row r="2174" spans="1:5" x14ac:dyDescent="0.25">
      <c r="A2174" s="35">
        <v>46009.393703148147</v>
      </c>
      <c r="B2174" s="22" t="s">
        <v>2338</v>
      </c>
      <c r="C2174" s="22" t="s">
        <v>489</v>
      </c>
      <c r="D2174" s="22" t="s">
        <v>468</v>
      </c>
      <c r="E2174" s="22" t="s">
        <v>1895</v>
      </c>
    </row>
    <row r="2175" spans="1:5" x14ac:dyDescent="0.25">
      <c r="A2175" s="35">
        <v>46009.393704780094</v>
      </c>
      <c r="B2175" s="22" t="s">
        <v>2339</v>
      </c>
      <c r="C2175" s="22" t="s">
        <v>489</v>
      </c>
      <c r="D2175" s="22" t="s">
        <v>468</v>
      </c>
      <c r="E2175" s="22" t="s">
        <v>1895</v>
      </c>
    </row>
    <row r="2176" spans="1:5" x14ac:dyDescent="0.25">
      <c r="A2176" s="35">
        <v>46009.393706238421</v>
      </c>
      <c r="B2176" s="22" t="s">
        <v>2340</v>
      </c>
      <c r="C2176" s="22" t="s">
        <v>489</v>
      </c>
      <c r="D2176" s="22" t="s">
        <v>468</v>
      </c>
      <c r="E2176" s="22" t="s">
        <v>1895</v>
      </c>
    </row>
    <row r="2177" spans="1:5" x14ac:dyDescent="0.25">
      <c r="A2177" s="35">
        <v>46009.393708356482</v>
      </c>
      <c r="B2177" s="22" t="s">
        <v>2341</v>
      </c>
      <c r="C2177" s="22" t="s">
        <v>489</v>
      </c>
      <c r="D2177" s="22" t="s">
        <v>468</v>
      </c>
      <c r="E2177" s="22" t="s">
        <v>1895</v>
      </c>
    </row>
    <row r="2178" spans="1:5" x14ac:dyDescent="0.25">
      <c r="A2178" s="35">
        <v>46009.393710277778</v>
      </c>
      <c r="B2178" s="22" t="s">
        <v>2342</v>
      </c>
      <c r="C2178" s="22" t="s">
        <v>489</v>
      </c>
      <c r="D2178" s="22" t="s">
        <v>468</v>
      </c>
      <c r="E2178" s="22" t="s">
        <v>1895</v>
      </c>
    </row>
    <row r="2179" spans="1:5" x14ac:dyDescent="0.25">
      <c r="A2179" s="35">
        <v>46009.394326793983</v>
      </c>
      <c r="B2179" s="22" t="s">
        <v>2343</v>
      </c>
      <c r="C2179" s="22" t="s">
        <v>489</v>
      </c>
      <c r="D2179" s="22" t="s">
        <v>492</v>
      </c>
      <c r="E2179" s="22" t="s">
        <v>1999</v>
      </c>
    </row>
    <row r="2180" spans="1:5" x14ac:dyDescent="0.25">
      <c r="A2180" s="35">
        <v>46009.394417766205</v>
      </c>
      <c r="B2180" s="22" t="s">
        <v>2344</v>
      </c>
      <c r="C2180" s="22" t="s">
        <v>489</v>
      </c>
      <c r="D2180" s="22" t="s">
        <v>470</v>
      </c>
      <c r="E2180" s="22" t="s">
        <v>1999</v>
      </c>
    </row>
    <row r="2181" spans="1:5" x14ac:dyDescent="0.25">
      <c r="A2181" s="35">
        <v>46009.395035590278</v>
      </c>
      <c r="B2181" s="22" t="s">
        <v>2345</v>
      </c>
      <c r="C2181" s="22" t="s">
        <v>489</v>
      </c>
      <c r="D2181" s="22" t="s">
        <v>468</v>
      </c>
      <c r="E2181" s="22" t="s">
        <v>1895</v>
      </c>
    </row>
    <row r="2182" spans="1:5" x14ac:dyDescent="0.25">
      <c r="A2182" s="35">
        <v>46009.395037465278</v>
      </c>
      <c r="B2182" s="22" t="s">
        <v>2346</v>
      </c>
      <c r="C2182" s="22" t="s">
        <v>489</v>
      </c>
      <c r="D2182" s="22" t="s">
        <v>468</v>
      </c>
      <c r="E2182" s="22" t="s">
        <v>1895</v>
      </c>
    </row>
    <row r="2183" spans="1:5" x14ac:dyDescent="0.25">
      <c r="A2183" s="35">
        <v>46009.395039212963</v>
      </c>
      <c r="B2183" s="22" t="s">
        <v>2347</v>
      </c>
      <c r="C2183" s="22" t="s">
        <v>489</v>
      </c>
      <c r="D2183" s="22" t="s">
        <v>468</v>
      </c>
      <c r="E2183" s="22" t="s">
        <v>1895</v>
      </c>
    </row>
    <row r="2184" spans="1:5" x14ac:dyDescent="0.25">
      <c r="A2184" s="35">
        <v>46009.395040925927</v>
      </c>
      <c r="B2184" s="22" t="s">
        <v>2348</v>
      </c>
      <c r="C2184" s="22" t="s">
        <v>489</v>
      </c>
      <c r="D2184" s="22" t="s">
        <v>468</v>
      </c>
      <c r="E2184" s="22" t="s">
        <v>1895</v>
      </c>
    </row>
    <row r="2185" spans="1:5" x14ac:dyDescent="0.25">
      <c r="A2185" s="35">
        <v>46009.395640324074</v>
      </c>
      <c r="B2185" s="22" t="s">
        <v>2349</v>
      </c>
      <c r="C2185" s="22" t="s">
        <v>489</v>
      </c>
      <c r="D2185" s="22" t="s">
        <v>469</v>
      </c>
      <c r="E2185" s="22" t="s">
        <v>1895</v>
      </c>
    </row>
    <row r="2186" spans="1:5" x14ac:dyDescent="0.25">
      <c r="A2186" s="35">
        <v>46009.395642326388</v>
      </c>
      <c r="B2186" s="22" t="s">
        <v>2350</v>
      </c>
      <c r="C2186" s="22" t="s">
        <v>489</v>
      </c>
      <c r="D2186" s="22" t="s">
        <v>469</v>
      </c>
      <c r="E2186" s="22" t="s">
        <v>1895</v>
      </c>
    </row>
    <row r="2187" spans="1:5" x14ac:dyDescent="0.25">
      <c r="A2187" s="35">
        <v>46009.39564696759</v>
      </c>
      <c r="B2187" s="22" t="s">
        <v>2351</v>
      </c>
      <c r="C2187" s="22" t="s">
        <v>489</v>
      </c>
      <c r="D2187" s="22" t="s">
        <v>469</v>
      </c>
      <c r="E2187" s="22" t="s">
        <v>1895</v>
      </c>
    </row>
    <row r="2188" spans="1:5" x14ac:dyDescent="0.25">
      <c r="A2188" s="35">
        <v>46009.395648958336</v>
      </c>
      <c r="B2188" s="22" t="s">
        <v>2352</v>
      </c>
      <c r="C2188" s="22" t="s">
        <v>489</v>
      </c>
      <c r="D2188" s="22" t="s">
        <v>469</v>
      </c>
      <c r="E2188" s="22" t="s">
        <v>1895</v>
      </c>
    </row>
    <row r="2189" spans="1:5" x14ac:dyDescent="0.25">
      <c r="A2189" s="35">
        <v>46009.395650798615</v>
      </c>
      <c r="B2189" s="22" t="s">
        <v>2353</v>
      </c>
      <c r="C2189" s="22" t="s">
        <v>489</v>
      </c>
      <c r="D2189" s="22" t="s">
        <v>469</v>
      </c>
      <c r="E2189" s="22" t="s">
        <v>1895</v>
      </c>
    </row>
    <row r="2190" spans="1:5" x14ac:dyDescent="0.25">
      <c r="A2190" s="35">
        <v>46009.395652604166</v>
      </c>
      <c r="B2190" s="22" t="s">
        <v>2354</v>
      </c>
      <c r="C2190" s="22" t="s">
        <v>489</v>
      </c>
      <c r="D2190" s="22" t="s">
        <v>469</v>
      </c>
      <c r="E2190" s="22" t="s">
        <v>1895</v>
      </c>
    </row>
    <row r="2191" spans="1:5" x14ac:dyDescent="0.25">
      <c r="A2191" s="35">
        <v>46009.395654247681</v>
      </c>
      <c r="B2191" s="22" t="s">
        <v>2355</v>
      </c>
      <c r="C2191" s="22" t="s">
        <v>489</v>
      </c>
      <c r="D2191" s="22" t="s">
        <v>469</v>
      </c>
      <c r="E2191" s="22" t="s">
        <v>1895</v>
      </c>
    </row>
    <row r="2192" spans="1:5" x14ac:dyDescent="0.25">
      <c r="A2192" s="35">
        <v>46009.395660682872</v>
      </c>
      <c r="B2192" s="22" t="s">
        <v>2356</v>
      </c>
      <c r="C2192" s="22" t="s">
        <v>489</v>
      </c>
      <c r="D2192" s="22" t="s">
        <v>469</v>
      </c>
      <c r="E2192" s="22" t="s">
        <v>1895</v>
      </c>
    </row>
    <row r="2193" spans="1:5" x14ac:dyDescent="0.25">
      <c r="A2193" s="35">
        <v>46009.396244120369</v>
      </c>
      <c r="B2193" s="22" t="s">
        <v>2357</v>
      </c>
      <c r="C2193" s="22" t="s">
        <v>489</v>
      </c>
      <c r="D2193" s="22" t="s">
        <v>468</v>
      </c>
      <c r="E2193" s="22" t="s">
        <v>1895</v>
      </c>
    </row>
    <row r="2194" spans="1:5" x14ac:dyDescent="0.25">
      <c r="A2194" s="35">
        <v>46009.396246064818</v>
      </c>
      <c r="B2194" s="22" t="s">
        <v>2358</v>
      </c>
      <c r="C2194" s="22" t="s">
        <v>489</v>
      </c>
      <c r="D2194" s="22" t="s">
        <v>468</v>
      </c>
      <c r="E2194" s="22" t="s">
        <v>1895</v>
      </c>
    </row>
    <row r="2195" spans="1:5" x14ac:dyDescent="0.25">
      <c r="A2195" s="35">
        <v>46009.396247951387</v>
      </c>
      <c r="B2195" s="22" t="s">
        <v>2359</v>
      </c>
      <c r="C2195" s="22" t="s">
        <v>489</v>
      </c>
      <c r="D2195" s="22" t="s">
        <v>468</v>
      </c>
      <c r="E2195" s="22" t="s">
        <v>1895</v>
      </c>
    </row>
    <row r="2196" spans="1:5" x14ac:dyDescent="0.25">
      <c r="A2196" s="35">
        <v>46009.396253182873</v>
      </c>
      <c r="B2196" s="22" t="s">
        <v>2360</v>
      </c>
      <c r="C2196" s="22" t="s">
        <v>489</v>
      </c>
      <c r="D2196" s="22" t="s">
        <v>468</v>
      </c>
      <c r="E2196" s="22" t="s">
        <v>1895</v>
      </c>
    </row>
    <row r="2197" spans="1:5" x14ac:dyDescent="0.25">
      <c r="A2197" s="35">
        <v>46009.396262800925</v>
      </c>
      <c r="B2197" s="22" t="s">
        <v>2361</v>
      </c>
      <c r="C2197" s="22" t="s">
        <v>489</v>
      </c>
      <c r="D2197" s="22" t="s">
        <v>468</v>
      </c>
      <c r="E2197" s="22" t="s">
        <v>1895</v>
      </c>
    </row>
    <row r="2198" spans="1:5" x14ac:dyDescent="0.25">
      <c r="A2198" s="35">
        <v>46009.398859456021</v>
      </c>
      <c r="B2198" s="22" t="s">
        <v>2362</v>
      </c>
      <c r="C2198" s="22" t="s">
        <v>489</v>
      </c>
      <c r="D2198" s="22" t="s">
        <v>450</v>
      </c>
      <c r="E2198" s="22" t="s">
        <v>1895</v>
      </c>
    </row>
    <row r="2199" spans="1:5" x14ac:dyDescent="0.25">
      <c r="A2199" s="35">
        <v>46009.398865208335</v>
      </c>
      <c r="B2199" s="22" t="s">
        <v>2363</v>
      </c>
      <c r="C2199" s="22" t="s">
        <v>489</v>
      </c>
      <c r="D2199" s="22" t="s">
        <v>450</v>
      </c>
      <c r="E2199" s="22" t="s">
        <v>1895</v>
      </c>
    </row>
    <row r="2200" spans="1:5" x14ac:dyDescent="0.25">
      <c r="A2200" s="35">
        <v>46009.398866990741</v>
      </c>
      <c r="B2200" s="22" t="s">
        <v>2364</v>
      </c>
      <c r="C2200" s="22" t="s">
        <v>489</v>
      </c>
      <c r="D2200" s="22" t="s">
        <v>450</v>
      </c>
      <c r="E2200" s="22" t="s">
        <v>1895</v>
      </c>
    </row>
    <row r="2201" spans="1:5" x14ac:dyDescent="0.25">
      <c r="A2201" s="35">
        <v>46009.39886966435</v>
      </c>
      <c r="B2201" s="22" t="s">
        <v>2365</v>
      </c>
      <c r="C2201" s="22" t="s">
        <v>489</v>
      </c>
      <c r="D2201" s="22" t="s">
        <v>450</v>
      </c>
      <c r="E2201" s="22" t="s">
        <v>1895</v>
      </c>
    </row>
    <row r="2202" spans="1:5" x14ac:dyDescent="0.25">
      <c r="A2202" s="35">
        <v>46009.39887827546</v>
      </c>
      <c r="B2202" s="22" t="s">
        <v>2366</v>
      </c>
      <c r="C2202" s="22" t="s">
        <v>489</v>
      </c>
      <c r="D2202" s="22" t="s">
        <v>450</v>
      </c>
      <c r="E2202" s="22" t="s">
        <v>1895</v>
      </c>
    </row>
    <row r="2203" spans="1:5" x14ac:dyDescent="0.25">
      <c r="A2203" s="35">
        <v>46009.398880115739</v>
      </c>
      <c r="B2203" s="22" t="s">
        <v>2367</v>
      </c>
      <c r="C2203" s="22" t="s">
        <v>489</v>
      </c>
      <c r="D2203" s="22" t="s">
        <v>450</v>
      </c>
      <c r="E2203" s="22" t="s">
        <v>1895</v>
      </c>
    </row>
    <row r="2204" spans="1:5" x14ac:dyDescent="0.25">
      <c r="A2204" s="35">
        <v>46009.39888241898</v>
      </c>
      <c r="B2204" s="22" t="s">
        <v>2368</v>
      </c>
      <c r="C2204" s="22" t="s">
        <v>489</v>
      </c>
      <c r="D2204" s="22" t="s">
        <v>450</v>
      </c>
      <c r="E2204" s="22" t="s">
        <v>1895</v>
      </c>
    </row>
    <row r="2205" spans="1:5" x14ac:dyDescent="0.25">
      <c r="A2205" s="35">
        <v>46009.398894212965</v>
      </c>
      <c r="B2205" s="22" t="s">
        <v>2369</v>
      </c>
      <c r="C2205" s="22" t="s">
        <v>489</v>
      </c>
      <c r="D2205" s="22" t="s">
        <v>450</v>
      </c>
      <c r="E2205" s="22" t="s">
        <v>1895</v>
      </c>
    </row>
    <row r="2206" spans="1:5" x14ac:dyDescent="0.25">
      <c r="A2206" s="35">
        <v>46009.398895891209</v>
      </c>
      <c r="B2206" s="22" t="s">
        <v>2370</v>
      </c>
      <c r="C2206" s="22" t="s">
        <v>489</v>
      </c>
      <c r="D2206" s="22" t="s">
        <v>450</v>
      </c>
      <c r="E2206" s="22" t="s">
        <v>1895</v>
      </c>
    </row>
    <row r="2207" spans="1:5" x14ac:dyDescent="0.25">
      <c r="A2207" s="35">
        <v>46009.398898229163</v>
      </c>
      <c r="B2207" s="22" t="s">
        <v>2371</v>
      </c>
      <c r="C2207" s="22" t="s">
        <v>489</v>
      </c>
      <c r="D2207" s="22" t="s">
        <v>450</v>
      </c>
      <c r="E2207" s="22" t="s">
        <v>1895</v>
      </c>
    </row>
    <row r="2208" spans="1:5" x14ac:dyDescent="0.25">
      <c r="A2208" s="35">
        <v>46009.398899826389</v>
      </c>
      <c r="B2208" s="22" t="s">
        <v>2372</v>
      </c>
      <c r="C2208" s="22" t="s">
        <v>489</v>
      </c>
      <c r="D2208" s="22" t="s">
        <v>450</v>
      </c>
      <c r="E2208" s="22" t="s">
        <v>1895</v>
      </c>
    </row>
    <row r="2209" spans="1:5" x14ac:dyDescent="0.25">
      <c r="A2209" s="35">
        <v>46009.398902152781</v>
      </c>
      <c r="B2209" s="22" t="s">
        <v>2373</v>
      </c>
      <c r="C2209" s="22" t="s">
        <v>489</v>
      </c>
      <c r="D2209" s="22" t="s">
        <v>450</v>
      </c>
      <c r="E2209" s="22" t="s">
        <v>1895</v>
      </c>
    </row>
    <row r="2210" spans="1:5" x14ac:dyDescent="0.25">
      <c r="A2210" s="35">
        <v>46009.398903726847</v>
      </c>
      <c r="B2210" s="22" t="s">
        <v>2374</v>
      </c>
      <c r="C2210" s="22" t="s">
        <v>489</v>
      </c>
      <c r="D2210" s="22" t="s">
        <v>450</v>
      </c>
      <c r="E2210" s="22" t="s">
        <v>1895</v>
      </c>
    </row>
    <row r="2211" spans="1:5" x14ac:dyDescent="0.25">
      <c r="A2211" s="35">
        <v>46009.398906481481</v>
      </c>
      <c r="B2211" s="22" t="s">
        <v>2375</v>
      </c>
      <c r="C2211" s="22" t="s">
        <v>489</v>
      </c>
      <c r="D2211" s="22" t="s">
        <v>450</v>
      </c>
      <c r="E2211" s="22" t="s">
        <v>1895</v>
      </c>
    </row>
    <row r="2212" spans="1:5" x14ac:dyDescent="0.25">
      <c r="A2212" s="35">
        <v>46009.398909756943</v>
      </c>
      <c r="B2212" s="22" t="s">
        <v>2376</v>
      </c>
      <c r="C2212" s="22" t="s">
        <v>489</v>
      </c>
      <c r="D2212" s="22" t="s">
        <v>450</v>
      </c>
      <c r="E2212" s="22" t="s">
        <v>1895</v>
      </c>
    </row>
    <row r="2213" spans="1:5" x14ac:dyDescent="0.25">
      <c r="A2213" s="35">
        <v>46009.398914583333</v>
      </c>
      <c r="B2213" s="22" t="s">
        <v>2377</v>
      </c>
      <c r="C2213" s="22" t="s">
        <v>489</v>
      </c>
      <c r="D2213" s="22" t="s">
        <v>450</v>
      </c>
      <c r="E2213" s="22" t="s">
        <v>1895</v>
      </c>
    </row>
    <row r="2214" spans="1:5" x14ac:dyDescent="0.25">
      <c r="A2214" s="35">
        <v>46009.398919143518</v>
      </c>
      <c r="B2214" s="22" t="s">
        <v>2378</v>
      </c>
      <c r="C2214" s="22" t="s">
        <v>489</v>
      </c>
      <c r="D2214" s="22" t="s">
        <v>450</v>
      </c>
      <c r="E2214" s="22" t="s">
        <v>1895</v>
      </c>
    </row>
    <row r="2215" spans="1:5" x14ac:dyDescent="0.25">
      <c r="A2215" s="35">
        <v>46009.398920740743</v>
      </c>
      <c r="B2215" s="22" t="s">
        <v>2379</v>
      </c>
      <c r="C2215" s="22" t="s">
        <v>489</v>
      </c>
      <c r="D2215" s="22" t="s">
        <v>450</v>
      </c>
      <c r="E2215" s="22" t="s">
        <v>1895</v>
      </c>
    </row>
    <row r="2216" spans="1:5" x14ac:dyDescent="0.25">
      <c r="A2216" s="35">
        <v>46009.398922384258</v>
      </c>
      <c r="B2216" s="22" t="s">
        <v>2380</v>
      </c>
      <c r="C2216" s="22" t="s">
        <v>489</v>
      </c>
      <c r="D2216" s="22" t="s">
        <v>450</v>
      </c>
      <c r="E2216" s="22" t="s">
        <v>1895</v>
      </c>
    </row>
    <row r="2217" spans="1:5" x14ac:dyDescent="0.25">
      <c r="A2217" s="35">
        <v>46009.398923900459</v>
      </c>
      <c r="B2217" s="22" t="s">
        <v>2381</v>
      </c>
      <c r="C2217" s="22" t="s">
        <v>489</v>
      </c>
      <c r="D2217" s="22" t="s">
        <v>450</v>
      </c>
      <c r="E2217" s="22" t="s">
        <v>1895</v>
      </c>
    </row>
    <row r="2218" spans="1:5" x14ac:dyDescent="0.25">
      <c r="A2218" s="35">
        <v>46009.398925532412</v>
      </c>
      <c r="B2218" s="22" t="s">
        <v>2382</v>
      </c>
      <c r="C2218" s="22" t="s">
        <v>489</v>
      </c>
      <c r="D2218" s="22" t="s">
        <v>450</v>
      </c>
      <c r="E2218" s="22" t="s">
        <v>1895</v>
      </c>
    </row>
    <row r="2219" spans="1:5" x14ac:dyDescent="0.25">
      <c r="A2219" s="35">
        <v>46009.398927291666</v>
      </c>
      <c r="B2219" s="22" t="s">
        <v>2383</v>
      </c>
      <c r="C2219" s="22" t="s">
        <v>489</v>
      </c>
      <c r="D2219" s="22" t="s">
        <v>450</v>
      </c>
      <c r="E2219" s="22" t="s">
        <v>1895</v>
      </c>
    </row>
    <row r="2220" spans="1:5" x14ac:dyDescent="0.25">
      <c r="A2220" s="35">
        <v>46009.398929050927</v>
      </c>
      <c r="B2220" s="22" t="s">
        <v>2384</v>
      </c>
      <c r="C2220" s="22" t="s">
        <v>489</v>
      </c>
      <c r="D2220" s="22" t="s">
        <v>450</v>
      </c>
      <c r="E2220" s="22" t="s">
        <v>1895</v>
      </c>
    </row>
    <row r="2221" spans="1:5" x14ac:dyDescent="0.25">
      <c r="A2221" s="35">
        <v>46009.398930694442</v>
      </c>
      <c r="B2221" s="22" t="s">
        <v>2385</v>
      </c>
      <c r="C2221" s="22" t="s">
        <v>489</v>
      </c>
      <c r="D2221" s="22" t="s">
        <v>450</v>
      </c>
      <c r="E2221" s="22" t="s">
        <v>1895</v>
      </c>
    </row>
    <row r="2222" spans="1:5" x14ac:dyDescent="0.25">
      <c r="A2222" s="35">
        <v>46009.398932233795</v>
      </c>
      <c r="B2222" s="22" t="s">
        <v>2386</v>
      </c>
      <c r="C2222" s="22" t="s">
        <v>489</v>
      </c>
      <c r="D2222" s="22" t="s">
        <v>450</v>
      </c>
      <c r="E2222" s="22" t="s">
        <v>1895</v>
      </c>
    </row>
    <row r="2223" spans="1:5" x14ac:dyDescent="0.25">
      <c r="A2223" s="35">
        <v>46009.398933958335</v>
      </c>
      <c r="B2223" s="22" t="s">
        <v>2387</v>
      </c>
      <c r="C2223" s="22" t="s">
        <v>489</v>
      </c>
      <c r="D2223" s="22" t="s">
        <v>450</v>
      </c>
      <c r="E2223" s="22" t="s">
        <v>1895</v>
      </c>
    </row>
    <row r="2224" spans="1:5" x14ac:dyDescent="0.25">
      <c r="A2224" s="35">
        <v>46009.398935983801</v>
      </c>
      <c r="B2224" s="22" t="s">
        <v>2388</v>
      </c>
      <c r="C2224" s="22" t="s">
        <v>489</v>
      </c>
      <c r="D2224" s="22" t="s">
        <v>450</v>
      </c>
      <c r="E2224" s="22" t="s">
        <v>1895</v>
      </c>
    </row>
    <row r="2225" spans="1:5" x14ac:dyDescent="0.25">
      <c r="A2225" s="35">
        <v>46009.398944548608</v>
      </c>
      <c r="B2225" s="22" t="s">
        <v>2389</v>
      </c>
      <c r="C2225" s="22" t="s">
        <v>489</v>
      </c>
      <c r="D2225" s="22" t="s">
        <v>450</v>
      </c>
      <c r="E2225" s="22" t="s">
        <v>1895</v>
      </c>
    </row>
    <row r="2226" spans="1:5" x14ac:dyDescent="0.25">
      <c r="A2226" s="35">
        <v>46009.398946053239</v>
      </c>
      <c r="B2226" s="22" t="s">
        <v>2390</v>
      </c>
      <c r="C2226" s="22" t="s">
        <v>489</v>
      </c>
      <c r="D2226" s="22" t="s">
        <v>450</v>
      </c>
      <c r="E2226" s="22" t="s">
        <v>1895</v>
      </c>
    </row>
    <row r="2227" spans="1:5" x14ac:dyDescent="0.25">
      <c r="A2227" s="35">
        <v>46009.398947754627</v>
      </c>
      <c r="B2227" s="22" t="s">
        <v>2391</v>
      </c>
      <c r="C2227" s="22" t="s">
        <v>489</v>
      </c>
      <c r="D2227" s="22" t="s">
        <v>450</v>
      </c>
      <c r="E2227" s="22" t="s">
        <v>1895</v>
      </c>
    </row>
    <row r="2228" spans="1:5" x14ac:dyDescent="0.25">
      <c r="A2228" s="35">
        <v>46009.398949803246</v>
      </c>
      <c r="B2228" s="22" t="s">
        <v>2392</v>
      </c>
      <c r="C2228" s="22" t="s">
        <v>489</v>
      </c>
      <c r="D2228" s="22" t="s">
        <v>450</v>
      </c>
      <c r="E2228" s="22" t="s">
        <v>1895</v>
      </c>
    </row>
    <row r="2229" spans="1:5" x14ac:dyDescent="0.25">
      <c r="A2229" s="35">
        <v>46009.398952083335</v>
      </c>
      <c r="B2229" s="22" t="s">
        <v>2393</v>
      </c>
      <c r="C2229" s="22" t="s">
        <v>489</v>
      </c>
      <c r="D2229" s="22" t="s">
        <v>450</v>
      </c>
      <c r="E2229" s="22" t="s">
        <v>1895</v>
      </c>
    </row>
    <row r="2230" spans="1:5" x14ac:dyDescent="0.25">
      <c r="A2230" s="35">
        <v>46009.398954340279</v>
      </c>
      <c r="B2230" s="22" t="s">
        <v>2394</v>
      </c>
      <c r="C2230" s="22" t="s">
        <v>489</v>
      </c>
      <c r="D2230" s="22" t="s">
        <v>450</v>
      </c>
      <c r="E2230" s="22" t="s">
        <v>1895</v>
      </c>
    </row>
    <row r="2231" spans="1:5" x14ac:dyDescent="0.25">
      <c r="A2231" s="35">
        <v>46009.398956840276</v>
      </c>
      <c r="B2231" s="22" t="s">
        <v>2395</v>
      </c>
      <c r="C2231" s="22" t="s">
        <v>489</v>
      </c>
      <c r="D2231" s="22" t="s">
        <v>450</v>
      </c>
      <c r="E2231" s="22" t="s">
        <v>1895</v>
      </c>
    </row>
    <row r="2232" spans="1:5" x14ac:dyDescent="0.25">
      <c r="A2232" s="35">
        <v>46009.398958449077</v>
      </c>
      <c r="B2232" s="22" t="s">
        <v>2396</v>
      </c>
      <c r="C2232" s="22" t="s">
        <v>489</v>
      </c>
      <c r="D2232" s="22" t="s">
        <v>450</v>
      </c>
      <c r="E2232" s="22" t="s">
        <v>1895</v>
      </c>
    </row>
    <row r="2233" spans="1:5" x14ac:dyDescent="0.25">
      <c r="A2233" s="35">
        <v>46009.398960127313</v>
      </c>
      <c r="B2233" s="22" t="s">
        <v>2397</v>
      </c>
      <c r="C2233" s="22" t="s">
        <v>489</v>
      </c>
      <c r="D2233" s="22" t="s">
        <v>450</v>
      </c>
      <c r="E2233" s="22" t="s">
        <v>1895</v>
      </c>
    </row>
    <row r="2234" spans="1:5" x14ac:dyDescent="0.25">
      <c r="A2234" s="35">
        <v>46009.398961956016</v>
      </c>
      <c r="B2234" s="22" t="s">
        <v>2398</v>
      </c>
      <c r="C2234" s="22" t="s">
        <v>489</v>
      </c>
      <c r="D2234" s="22" t="s">
        <v>450</v>
      </c>
      <c r="E2234" s="22" t="s">
        <v>1895</v>
      </c>
    </row>
    <row r="2235" spans="1:5" x14ac:dyDescent="0.25">
      <c r="A2235" s="35">
        <v>46009.398963564818</v>
      </c>
      <c r="B2235" s="22" t="s">
        <v>2399</v>
      </c>
      <c r="C2235" s="22" t="s">
        <v>489</v>
      </c>
      <c r="D2235" s="22" t="s">
        <v>450</v>
      </c>
      <c r="E2235" s="22" t="s">
        <v>1895</v>
      </c>
    </row>
    <row r="2236" spans="1:5" x14ac:dyDescent="0.25">
      <c r="A2236" s="35">
        <v>46009.398965312503</v>
      </c>
      <c r="B2236" s="22" t="s">
        <v>2400</v>
      </c>
      <c r="C2236" s="22" t="s">
        <v>489</v>
      </c>
      <c r="D2236" s="22" t="s">
        <v>450</v>
      </c>
      <c r="E2236" s="22" t="s">
        <v>1895</v>
      </c>
    </row>
    <row r="2237" spans="1:5" x14ac:dyDescent="0.25">
      <c r="A2237" s="35">
        <v>46009.398967407411</v>
      </c>
      <c r="B2237" s="22" t="s">
        <v>2401</v>
      </c>
      <c r="C2237" s="22" t="s">
        <v>489</v>
      </c>
      <c r="D2237" s="22" t="s">
        <v>450</v>
      </c>
      <c r="E2237" s="22" t="s">
        <v>1895</v>
      </c>
    </row>
    <row r="2238" spans="1:5" x14ac:dyDescent="0.25">
      <c r="A2238" s="35">
        <v>46009.398970798611</v>
      </c>
      <c r="B2238" s="22" t="s">
        <v>2402</v>
      </c>
      <c r="C2238" s="22" t="s">
        <v>489</v>
      </c>
      <c r="D2238" s="22" t="s">
        <v>450</v>
      </c>
      <c r="E2238" s="22" t="s">
        <v>1895</v>
      </c>
    </row>
    <row r="2239" spans="1:5" x14ac:dyDescent="0.25">
      <c r="A2239" s="35">
        <v>46009.398972777781</v>
      </c>
      <c r="B2239" s="22" t="s">
        <v>2403</v>
      </c>
      <c r="C2239" s="22" t="s">
        <v>489</v>
      </c>
      <c r="D2239" s="22" t="s">
        <v>450</v>
      </c>
      <c r="E2239" s="22" t="s">
        <v>1895</v>
      </c>
    </row>
    <row r="2240" spans="1:5" x14ac:dyDescent="0.25">
      <c r="A2240" s="35">
        <v>46009.398974560187</v>
      </c>
      <c r="B2240" s="22" t="s">
        <v>2404</v>
      </c>
      <c r="C2240" s="22" t="s">
        <v>489</v>
      </c>
      <c r="D2240" s="22" t="s">
        <v>450</v>
      </c>
      <c r="E2240" s="22" t="s">
        <v>1895</v>
      </c>
    </row>
    <row r="2241" spans="1:5" x14ac:dyDescent="0.25">
      <c r="A2241" s="35">
        <v>46009.398977129633</v>
      </c>
      <c r="B2241" s="22" t="s">
        <v>2405</v>
      </c>
      <c r="C2241" s="22" t="s">
        <v>489</v>
      </c>
      <c r="D2241" s="22" t="s">
        <v>450</v>
      </c>
      <c r="E2241" s="22" t="s">
        <v>1895</v>
      </c>
    </row>
    <row r="2242" spans="1:5" x14ac:dyDescent="0.25">
      <c r="A2242" s="35">
        <v>46009.39897978009</v>
      </c>
      <c r="B2242" s="22" t="s">
        <v>2406</v>
      </c>
      <c r="C2242" s="22" t="s">
        <v>489</v>
      </c>
      <c r="D2242" s="22" t="s">
        <v>450</v>
      </c>
      <c r="E2242" s="22" t="s">
        <v>1895</v>
      </c>
    </row>
    <row r="2243" spans="1:5" x14ac:dyDescent="0.25">
      <c r="A2243" s="35">
        <v>46009.398981701393</v>
      </c>
      <c r="B2243" s="22" t="s">
        <v>2407</v>
      </c>
      <c r="C2243" s="22" t="s">
        <v>489</v>
      </c>
      <c r="D2243" s="22" t="s">
        <v>450</v>
      </c>
      <c r="E2243" s="22" t="s">
        <v>1895</v>
      </c>
    </row>
    <row r="2244" spans="1:5" x14ac:dyDescent="0.25">
      <c r="A2244" s="35">
        <v>46009.39898341435</v>
      </c>
      <c r="B2244" s="22" t="s">
        <v>2408</v>
      </c>
      <c r="C2244" s="22" t="s">
        <v>489</v>
      </c>
      <c r="D2244" s="22" t="s">
        <v>450</v>
      </c>
      <c r="E2244" s="22" t="s">
        <v>1895</v>
      </c>
    </row>
    <row r="2245" spans="1:5" x14ac:dyDescent="0.25">
      <c r="A2245" s="35">
        <v>46009.398985277774</v>
      </c>
      <c r="B2245" s="22" t="s">
        <v>2409</v>
      </c>
      <c r="C2245" s="22" t="s">
        <v>489</v>
      </c>
      <c r="D2245" s="22" t="s">
        <v>450</v>
      </c>
      <c r="E2245" s="22" t="s">
        <v>1895</v>
      </c>
    </row>
    <row r="2246" spans="1:5" x14ac:dyDescent="0.25">
      <c r="A2246" s="35">
        <v>46009.398986886576</v>
      </c>
      <c r="B2246" s="22" t="s">
        <v>2410</v>
      </c>
      <c r="C2246" s="22" t="s">
        <v>489</v>
      </c>
      <c r="D2246" s="22" t="s">
        <v>450</v>
      </c>
      <c r="E2246" s="22" t="s">
        <v>1895</v>
      </c>
    </row>
    <row r="2247" spans="1:5" x14ac:dyDescent="0.25">
      <c r="A2247" s="35">
        <v>46009.399953587963</v>
      </c>
      <c r="B2247" s="22" t="s">
        <v>2411</v>
      </c>
      <c r="C2247" s="22" t="s">
        <v>489</v>
      </c>
      <c r="D2247" s="22" t="s">
        <v>582</v>
      </c>
      <c r="E2247" s="22" t="s">
        <v>1895</v>
      </c>
    </row>
    <row r="2248" spans="1:5" x14ac:dyDescent="0.25">
      <c r="A2248" s="35">
        <v>46009.399955381945</v>
      </c>
      <c r="B2248" s="22" t="s">
        <v>2412</v>
      </c>
      <c r="C2248" s="22" t="s">
        <v>489</v>
      </c>
      <c r="D2248" s="22" t="s">
        <v>582</v>
      </c>
      <c r="E2248" s="22" t="s">
        <v>1895</v>
      </c>
    </row>
    <row r="2249" spans="1:5" x14ac:dyDescent="0.25">
      <c r="A2249" s="35">
        <v>46009.399957314818</v>
      </c>
      <c r="B2249" s="22" t="s">
        <v>2413</v>
      </c>
      <c r="C2249" s="22" t="s">
        <v>489</v>
      </c>
      <c r="D2249" s="22" t="s">
        <v>582</v>
      </c>
      <c r="E2249" s="22" t="s">
        <v>1895</v>
      </c>
    </row>
    <row r="2250" spans="1:5" x14ac:dyDescent="0.25">
      <c r="A2250" s="35">
        <v>46009.399958993061</v>
      </c>
      <c r="B2250" s="22" t="s">
        <v>2414</v>
      </c>
      <c r="C2250" s="22" t="s">
        <v>489</v>
      </c>
      <c r="D2250" s="22" t="s">
        <v>582</v>
      </c>
      <c r="E2250" s="22" t="s">
        <v>1895</v>
      </c>
    </row>
    <row r="2251" spans="1:5" x14ac:dyDescent="0.25">
      <c r="A2251" s="35">
        <v>46009.399960659721</v>
      </c>
      <c r="B2251" s="22" t="s">
        <v>2415</v>
      </c>
      <c r="C2251" s="22" t="s">
        <v>489</v>
      </c>
      <c r="D2251" s="22" t="s">
        <v>582</v>
      </c>
      <c r="E2251" s="22" t="s">
        <v>1895</v>
      </c>
    </row>
    <row r="2252" spans="1:5" x14ac:dyDescent="0.25">
      <c r="A2252" s="35">
        <v>46009.400430648151</v>
      </c>
      <c r="B2252" s="22" t="s">
        <v>2416</v>
      </c>
      <c r="C2252" s="22" t="s">
        <v>489</v>
      </c>
      <c r="D2252" s="22" t="s">
        <v>468</v>
      </c>
      <c r="E2252" s="22" t="s">
        <v>1895</v>
      </c>
    </row>
    <row r="2253" spans="1:5" x14ac:dyDescent="0.25">
      <c r="A2253" s="35">
        <v>46009.400432638889</v>
      </c>
      <c r="B2253" s="22" t="s">
        <v>2417</v>
      </c>
      <c r="C2253" s="22" t="s">
        <v>489</v>
      </c>
      <c r="D2253" s="22" t="s">
        <v>468</v>
      </c>
      <c r="E2253" s="22" t="s">
        <v>1895</v>
      </c>
    </row>
    <row r="2254" spans="1:5" x14ac:dyDescent="0.25">
      <c r="A2254" s="35">
        <v>46009.400441608799</v>
      </c>
      <c r="B2254" s="22" t="s">
        <v>2418</v>
      </c>
      <c r="C2254" s="22" t="s">
        <v>489</v>
      </c>
      <c r="D2254" s="22" t="s">
        <v>468</v>
      </c>
      <c r="E2254" s="22" t="s">
        <v>1895</v>
      </c>
    </row>
    <row r="2255" spans="1:5" x14ac:dyDescent="0.25">
      <c r="A2255" s="35">
        <v>46009.400962719912</v>
      </c>
      <c r="B2255" s="22" t="s">
        <v>2419</v>
      </c>
      <c r="C2255" s="22" t="s">
        <v>489</v>
      </c>
      <c r="D2255" s="22" t="s">
        <v>472</v>
      </c>
      <c r="E2255" s="22" t="s">
        <v>1895</v>
      </c>
    </row>
    <row r="2256" spans="1:5" x14ac:dyDescent="0.25">
      <c r="A2256" s="35">
        <v>46009.400967164351</v>
      </c>
      <c r="B2256" s="22" t="s">
        <v>2420</v>
      </c>
      <c r="C2256" s="22" t="s">
        <v>489</v>
      </c>
      <c r="D2256" s="22" t="s">
        <v>472</v>
      </c>
      <c r="E2256" s="22" t="s">
        <v>1895</v>
      </c>
    </row>
    <row r="2257" spans="1:5" x14ac:dyDescent="0.25">
      <c r="A2257" s="35">
        <v>46009.401235914353</v>
      </c>
      <c r="B2257" s="22" t="s">
        <v>2421</v>
      </c>
      <c r="C2257" s="22" t="s">
        <v>489</v>
      </c>
      <c r="D2257" s="22" t="s">
        <v>470</v>
      </c>
      <c r="E2257" s="22" t="s">
        <v>1999</v>
      </c>
    </row>
    <row r="2258" spans="1:5" x14ac:dyDescent="0.25">
      <c r="A2258" s="35">
        <v>46009.401363530094</v>
      </c>
      <c r="B2258" s="22" t="s">
        <v>2422</v>
      </c>
      <c r="C2258" s="22" t="s">
        <v>489</v>
      </c>
      <c r="D2258" s="22" t="s">
        <v>452</v>
      </c>
      <c r="E2258" s="22" t="s">
        <v>1999</v>
      </c>
    </row>
    <row r="2259" spans="1:5" x14ac:dyDescent="0.25">
      <c r="A2259" s="35">
        <v>46009.401490532407</v>
      </c>
      <c r="B2259" s="22" t="s">
        <v>2423</v>
      </c>
      <c r="C2259" s="22" t="s">
        <v>489</v>
      </c>
      <c r="D2259" s="22" t="s">
        <v>471</v>
      </c>
      <c r="E2259" s="22" t="s">
        <v>1999</v>
      </c>
    </row>
    <row r="2260" spans="1:5" x14ac:dyDescent="0.25">
      <c r="A2260" s="35">
        <v>46009.401681736112</v>
      </c>
      <c r="B2260" s="22" t="s">
        <v>2424</v>
      </c>
      <c r="C2260" s="22" t="s">
        <v>489</v>
      </c>
      <c r="D2260" s="22" t="s">
        <v>471</v>
      </c>
      <c r="E2260" s="22" t="s">
        <v>1999</v>
      </c>
    </row>
    <row r="2261" spans="1:5" x14ac:dyDescent="0.25">
      <c r="A2261" s="35">
        <v>46009.401809525458</v>
      </c>
      <c r="B2261" s="22" t="s">
        <v>2425</v>
      </c>
      <c r="C2261" s="22" t="s">
        <v>489</v>
      </c>
      <c r="D2261" s="22" t="s">
        <v>470</v>
      </c>
      <c r="E2261" s="22" t="s">
        <v>1999</v>
      </c>
    </row>
    <row r="2262" spans="1:5" x14ac:dyDescent="0.25">
      <c r="A2262" s="35">
        <v>46009.401902083337</v>
      </c>
      <c r="B2262" s="22" t="s">
        <v>2426</v>
      </c>
      <c r="C2262" s="22" t="s">
        <v>489</v>
      </c>
      <c r="D2262" s="22" t="s">
        <v>470</v>
      </c>
      <c r="E2262" s="22" t="s">
        <v>1999</v>
      </c>
    </row>
    <row r="2263" spans="1:5" x14ac:dyDescent="0.25">
      <c r="A2263" s="35">
        <v>46009.401999328707</v>
      </c>
      <c r="B2263" s="22" t="s">
        <v>2427</v>
      </c>
      <c r="C2263" s="22" t="s">
        <v>489</v>
      </c>
      <c r="D2263" s="22" t="s">
        <v>470</v>
      </c>
      <c r="E2263" s="22" t="s">
        <v>1999</v>
      </c>
    </row>
    <row r="2264" spans="1:5" x14ac:dyDescent="0.25">
      <c r="A2264" s="35">
        <v>46009.402218310184</v>
      </c>
      <c r="B2264" s="22" t="s">
        <v>2428</v>
      </c>
      <c r="C2264" s="22" t="s">
        <v>489</v>
      </c>
      <c r="D2264" s="22" t="s">
        <v>472</v>
      </c>
      <c r="E2264" s="22" t="s">
        <v>1999</v>
      </c>
    </row>
    <row r="2265" spans="1:5" x14ac:dyDescent="0.25">
      <c r="A2265" s="35">
        <v>46009.402335891209</v>
      </c>
      <c r="B2265" s="22" t="s">
        <v>2429</v>
      </c>
      <c r="C2265" s="22" t="s">
        <v>489</v>
      </c>
      <c r="D2265" s="22" t="s">
        <v>582</v>
      </c>
      <c r="E2265" s="22" t="s">
        <v>1999</v>
      </c>
    </row>
    <row r="2266" spans="1:5" x14ac:dyDescent="0.25">
      <c r="A2266" s="35">
        <v>46009.402422581014</v>
      </c>
      <c r="B2266" s="22" t="s">
        <v>2430</v>
      </c>
      <c r="C2266" s="22" t="s">
        <v>489</v>
      </c>
      <c r="D2266" s="22" t="s">
        <v>582</v>
      </c>
      <c r="E2266" s="22" t="s">
        <v>1999</v>
      </c>
    </row>
    <row r="2267" spans="1:5" x14ac:dyDescent="0.25">
      <c r="A2267" s="35">
        <v>46009.40253118056</v>
      </c>
      <c r="B2267" s="22" t="s">
        <v>2431</v>
      </c>
      <c r="C2267" s="22" t="s">
        <v>489</v>
      </c>
      <c r="D2267" s="22" t="s">
        <v>492</v>
      </c>
      <c r="E2267" s="22" t="s">
        <v>1999</v>
      </c>
    </row>
    <row r="2268" spans="1:5" x14ac:dyDescent="0.25">
      <c r="A2268" s="35">
        <v>46009.402594421292</v>
      </c>
      <c r="B2268" s="22" t="s">
        <v>2432</v>
      </c>
      <c r="C2268" s="22" t="s">
        <v>489</v>
      </c>
      <c r="D2268" s="22" t="s">
        <v>468</v>
      </c>
      <c r="E2268" s="22" t="s">
        <v>1999</v>
      </c>
    </row>
    <row r="2269" spans="1:5" x14ac:dyDescent="0.25">
      <c r="A2269" s="35">
        <v>46009.404738055557</v>
      </c>
      <c r="B2269" s="22" t="s">
        <v>2433</v>
      </c>
      <c r="C2269" s="22" t="s">
        <v>489</v>
      </c>
      <c r="D2269" s="22" t="s">
        <v>472</v>
      </c>
      <c r="E2269" s="22" t="s">
        <v>1999</v>
      </c>
    </row>
    <row r="2270" spans="1:5" x14ac:dyDescent="0.25">
      <c r="A2270" s="35">
        <v>46009.405031377319</v>
      </c>
      <c r="B2270" s="22" t="s">
        <v>2434</v>
      </c>
      <c r="C2270" s="22" t="s">
        <v>489</v>
      </c>
      <c r="D2270" s="22" t="s">
        <v>468</v>
      </c>
      <c r="E2270" s="22" t="s">
        <v>1895</v>
      </c>
    </row>
    <row r="2271" spans="1:5" x14ac:dyDescent="0.25">
      <c r="A2271" s="35">
        <v>46009.405033483796</v>
      </c>
      <c r="B2271" s="22" t="s">
        <v>2435</v>
      </c>
      <c r="C2271" s="22" t="s">
        <v>489</v>
      </c>
      <c r="D2271" s="22" t="s">
        <v>468</v>
      </c>
      <c r="E2271" s="22" t="s">
        <v>1895</v>
      </c>
    </row>
    <row r="2272" spans="1:5" x14ac:dyDescent="0.25">
      <c r="A2272" s="35">
        <v>46009.405036944445</v>
      </c>
      <c r="B2272" s="22" t="s">
        <v>2436</v>
      </c>
      <c r="C2272" s="22" t="s">
        <v>489</v>
      </c>
      <c r="D2272" s="22" t="s">
        <v>468</v>
      </c>
      <c r="E2272" s="22" t="s">
        <v>1895</v>
      </c>
    </row>
    <row r="2273" spans="1:5" x14ac:dyDescent="0.25">
      <c r="A2273" s="35">
        <v>46009.405039375</v>
      </c>
      <c r="B2273" s="22" t="s">
        <v>2437</v>
      </c>
      <c r="C2273" s="22" t="s">
        <v>489</v>
      </c>
      <c r="D2273" s="22" t="s">
        <v>468</v>
      </c>
      <c r="E2273" s="22" t="s">
        <v>1895</v>
      </c>
    </row>
    <row r="2274" spans="1:5" x14ac:dyDescent="0.25">
      <c r="A2274" s="35">
        <v>46009.405041990743</v>
      </c>
      <c r="B2274" s="22" t="s">
        <v>2438</v>
      </c>
      <c r="C2274" s="22" t="s">
        <v>489</v>
      </c>
      <c r="D2274" s="22" t="s">
        <v>468</v>
      </c>
      <c r="E2274" s="22" t="s">
        <v>1895</v>
      </c>
    </row>
    <row r="2275" spans="1:5" x14ac:dyDescent="0.25">
      <c r="A2275" s="35">
        <v>46009.405044340281</v>
      </c>
      <c r="B2275" s="22" t="s">
        <v>2439</v>
      </c>
      <c r="C2275" s="22" t="s">
        <v>489</v>
      </c>
      <c r="D2275" s="22" t="s">
        <v>468</v>
      </c>
      <c r="E2275" s="22" t="s">
        <v>1895</v>
      </c>
    </row>
    <row r="2276" spans="1:5" x14ac:dyDescent="0.25">
      <c r="A2276" s="35">
        <v>46009.405047256943</v>
      </c>
      <c r="B2276" s="22" t="s">
        <v>2440</v>
      </c>
      <c r="C2276" s="22" t="s">
        <v>489</v>
      </c>
      <c r="D2276" s="22" t="s">
        <v>468</v>
      </c>
      <c r="E2276" s="22" t="s">
        <v>1895</v>
      </c>
    </row>
    <row r="2277" spans="1:5" x14ac:dyDescent="0.25">
      <c r="A2277" s="35">
        <v>46009.40504986111</v>
      </c>
      <c r="B2277" s="22" t="s">
        <v>2441</v>
      </c>
      <c r="C2277" s="22" t="s">
        <v>489</v>
      </c>
      <c r="D2277" s="22" t="s">
        <v>468</v>
      </c>
      <c r="E2277" s="22" t="s">
        <v>1895</v>
      </c>
    </row>
    <row r="2278" spans="1:5" x14ac:dyDescent="0.25">
      <c r="A2278" s="35">
        <v>46009.405052187503</v>
      </c>
      <c r="B2278" s="22" t="s">
        <v>2442</v>
      </c>
      <c r="C2278" s="22" t="s">
        <v>489</v>
      </c>
      <c r="D2278" s="22" t="s">
        <v>468</v>
      </c>
      <c r="E2278" s="22" t="s">
        <v>1895</v>
      </c>
    </row>
    <row r="2279" spans="1:5" x14ac:dyDescent="0.25">
      <c r="A2279" s="35">
        <v>46009.405068622684</v>
      </c>
      <c r="B2279" s="22" t="s">
        <v>2443</v>
      </c>
      <c r="C2279" s="22" t="s">
        <v>489</v>
      </c>
      <c r="D2279" s="22" t="s">
        <v>468</v>
      </c>
      <c r="E2279" s="22" t="s">
        <v>1895</v>
      </c>
    </row>
    <row r="2280" spans="1:5" x14ac:dyDescent="0.25">
      <c r="A2280" s="35">
        <v>46009.428820648143</v>
      </c>
      <c r="B2280" s="22" t="s">
        <v>1703</v>
      </c>
      <c r="C2280" s="22" t="s">
        <v>449</v>
      </c>
      <c r="D2280" s="22" t="s">
        <v>470</v>
      </c>
      <c r="E2280" s="22" t="s">
        <v>1999</v>
      </c>
    </row>
    <row r="2281" spans="1:5" x14ac:dyDescent="0.25">
      <c r="A2281" s="35">
        <v>46009.429003726851</v>
      </c>
      <c r="B2281" s="22" t="s">
        <v>1763</v>
      </c>
      <c r="C2281" s="22" t="s">
        <v>449</v>
      </c>
      <c r="D2281" s="22" t="s">
        <v>470</v>
      </c>
      <c r="E2281" s="22" t="s">
        <v>1999</v>
      </c>
    </row>
    <row r="2282" spans="1:5" x14ac:dyDescent="0.25">
      <c r="A2282" s="35">
        <v>46009.429429108801</v>
      </c>
      <c r="B2282" s="22" t="s">
        <v>1840</v>
      </c>
      <c r="C2282" s="22" t="s">
        <v>449</v>
      </c>
      <c r="D2282" s="22" t="s">
        <v>470</v>
      </c>
      <c r="E2282" s="22" t="s">
        <v>1999</v>
      </c>
    </row>
    <row r="2283" spans="1:5" x14ac:dyDescent="0.25">
      <c r="A2283" s="35">
        <v>46009.431027002312</v>
      </c>
      <c r="B2283" s="22" t="s">
        <v>1932</v>
      </c>
      <c r="C2283" s="22" t="s">
        <v>468</v>
      </c>
      <c r="D2283" s="22" t="s">
        <v>470</v>
      </c>
      <c r="E2283" s="22" t="s">
        <v>1895</v>
      </c>
    </row>
    <row r="2284" spans="1:5" x14ac:dyDescent="0.25">
      <c r="A2284" s="35">
        <v>46009.431028611114</v>
      </c>
      <c r="B2284" s="22" t="s">
        <v>1933</v>
      </c>
      <c r="C2284" s="22" t="s">
        <v>468</v>
      </c>
      <c r="D2284" s="22" t="s">
        <v>470</v>
      </c>
      <c r="E2284" s="22" t="s">
        <v>1895</v>
      </c>
    </row>
    <row r="2285" spans="1:5" x14ac:dyDescent="0.25">
      <c r="A2285" s="35">
        <v>46009.431030300926</v>
      </c>
      <c r="B2285" s="22" t="s">
        <v>1934</v>
      </c>
      <c r="C2285" s="22" t="s">
        <v>468</v>
      </c>
      <c r="D2285" s="22" t="s">
        <v>470</v>
      </c>
      <c r="E2285" s="22" t="s">
        <v>1895</v>
      </c>
    </row>
    <row r="2286" spans="1:5" x14ac:dyDescent="0.25">
      <c r="A2286" s="35">
        <v>46009.43103180555</v>
      </c>
      <c r="B2286" s="22" t="s">
        <v>1937</v>
      </c>
      <c r="C2286" s="22" t="s">
        <v>468</v>
      </c>
      <c r="D2286" s="22" t="s">
        <v>470</v>
      </c>
      <c r="E2286" s="22" t="s">
        <v>1895</v>
      </c>
    </row>
    <row r="2287" spans="1:5" x14ac:dyDescent="0.25">
      <c r="A2287" s="35">
        <v>46009.431040393523</v>
      </c>
      <c r="B2287" s="22" t="s">
        <v>1938</v>
      </c>
      <c r="C2287" s="22" t="s">
        <v>468</v>
      </c>
      <c r="D2287" s="22" t="s">
        <v>470</v>
      </c>
      <c r="E2287" s="22" t="s">
        <v>1895</v>
      </c>
    </row>
    <row r="2288" spans="1:5" x14ac:dyDescent="0.25">
      <c r="A2288" s="35">
        <v>46009.431041967589</v>
      </c>
      <c r="B2288" s="22" t="s">
        <v>2151</v>
      </c>
      <c r="C2288" s="22" t="s">
        <v>468</v>
      </c>
      <c r="D2288" s="22" t="s">
        <v>470</v>
      </c>
      <c r="E2288" s="22" t="s">
        <v>1895</v>
      </c>
    </row>
    <row r="2289" spans="1:5" x14ac:dyDescent="0.25">
      <c r="A2289" s="35">
        <v>46009.431048472223</v>
      </c>
      <c r="B2289" s="22" t="s">
        <v>2164</v>
      </c>
      <c r="C2289" s="22" t="s">
        <v>468</v>
      </c>
      <c r="D2289" s="22" t="s">
        <v>470</v>
      </c>
      <c r="E2289" s="22" t="s">
        <v>1895</v>
      </c>
    </row>
    <row r="2290" spans="1:5" x14ac:dyDescent="0.25">
      <c r="A2290" s="35">
        <v>46009.431050208332</v>
      </c>
      <c r="B2290" s="22" t="s">
        <v>2162</v>
      </c>
      <c r="C2290" s="22" t="s">
        <v>468</v>
      </c>
      <c r="D2290" s="22" t="s">
        <v>470</v>
      </c>
      <c r="E2290" s="22" t="s">
        <v>1895</v>
      </c>
    </row>
    <row r="2291" spans="1:5" x14ac:dyDescent="0.25">
      <c r="A2291" s="35">
        <v>46009.431051979162</v>
      </c>
      <c r="B2291" s="22" t="s">
        <v>2160</v>
      </c>
      <c r="C2291" s="22" t="s">
        <v>468</v>
      </c>
      <c r="D2291" s="22" t="s">
        <v>470</v>
      </c>
      <c r="E2291" s="22" t="s">
        <v>1895</v>
      </c>
    </row>
    <row r="2292" spans="1:5" x14ac:dyDescent="0.25">
      <c r="A2292" s="35">
        <v>46009.431053437496</v>
      </c>
      <c r="B2292" s="22" t="s">
        <v>2158</v>
      </c>
      <c r="C2292" s="22" t="s">
        <v>468</v>
      </c>
      <c r="D2292" s="22" t="s">
        <v>470</v>
      </c>
      <c r="E2292" s="22" t="s">
        <v>1895</v>
      </c>
    </row>
    <row r="2293" spans="1:5" x14ac:dyDescent="0.25">
      <c r="A2293" s="35">
        <v>46009.433121527778</v>
      </c>
      <c r="B2293" s="22" t="s">
        <v>496</v>
      </c>
      <c r="C2293" s="22" t="s">
        <v>468</v>
      </c>
      <c r="D2293" s="22" t="s">
        <v>452</v>
      </c>
      <c r="E2293" s="22" t="s">
        <v>1999</v>
      </c>
    </row>
    <row r="2294" spans="1:5" x14ac:dyDescent="0.25">
      <c r="A2294" s="35">
        <v>46009.433207881943</v>
      </c>
      <c r="B2294" s="22" t="s">
        <v>509</v>
      </c>
      <c r="C2294" s="22" t="s">
        <v>468</v>
      </c>
      <c r="D2294" s="22" t="s">
        <v>470</v>
      </c>
      <c r="E2294" s="22" t="s">
        <v>1999</v>
      </c>
    </row>
    <row r="2295" spans="1:5" x14ac:dyDescent="0.25">
      <c r="A2295" s="35">
        <v>46009.435464629627</v>
      </c>
      <c r="B2295" s="22" t="s">
        <v>2444</v>
      </c>
      <c r="C2295" s="22" t="s">
        <v>2445</v>
      </c>
      <c r="D2295" s="22" t="s">
        <v>470</v>
      </c>
      <c r="E2295" s="22" t="s">
        <v>2446</v>
      </c>
    </row>
    <row r="2296" spans="1:5" x14ac:dyDescent="0.25">
      <c r="A2296" s="35">
        <v>46009.436445740736</v>
      </c>
      <c r="B2296" s="22" t="s">
        <v>2447</v>
      </c>
      <c r="C2296" s="22" t="s">
        <v>2445</v>
      </c>
      <c r="D2296" s="22" t="s">
        <v>470</v>
      </c>
      <c r="E2296" s="22" t="s">
        <v>2446</v>
      </c>
    </row>
    <row r="2297" spans="1:5" x14ac:dyDescent="0.25">
      <c r="A2297" s="35">
        <v>46009.437113935186</v>
      </c>
      <c r="B2297" s="22" t="s">
        <v>2448</v>
      </c>
      <c r="C2297" s="22" t="s">
        <v>2445</v>
      </c>
      <c r="D2297" s="22" t="s">
        <v>470</v>
      </c>
      <c r="E2297" s="22" t="s">
        <v>2446</v>
      </c>
    </row>
    <row r="2298" spans="1:5" x14ac:dyDescent="0.25">
      <c r="A2298" s="35">
        <v>46009.439431666666</v>
      </c>
      <c r="B2298" s="22" t="s">
        <v>1862</v>
      </c>
      <c r="C2298" s="22" t="s">
        <v>470</v>
      </c>
      <c r="D2298" s="22" t="s">
        <v>468</v>
      </c>
      <c r="E2298" s="22" t="s">
        <v>1999</v>
      </c>
    </row>
    <row r="2299" spans="1:5" x14ac:dyDescent="0.25">
      <c r="A2299" s="35">
        <v>46009.460748136575</v>
      </c>
      <c r="B2299" s="22" t="s">
        <v>2449</v>
      </c>
      <c r="C2299" s="22" t="s">
        <v>2445</v>
      </c>
      <c r="D2299" s="22" t="s">
        <v>471</v>
      </c>
      <c r="E2299" s="22" t="s">
        <v>2446</v>
      </c>
    </row>
    <row r="2300" spans="1:5" x14ac:dyDescent="0.25">
      <c r="A2300" s="35">
        <v>46009.463391342593</v>
      </c>
      <c r="B2300" s="22" t="s">
        <v>2450</v>
      </c>
      <c r="C2300" s="22" t="s">
        <v>2445</v>
      </c>
      <c r="D2300" s="22" t="s">
        <v>471</v>
      </c>
      <c r="E2300" s="22" t="s">
        <v>2446</v>
      </c>
    </row>
    <row r="2301" spans="1:5" x14ac:dyDescent="0.25">
      <c r="A2301" s="35">
        <v>46009.464158680552</v>
      </c>
      <c r="B2301" s="22" t="s">
        <v>2451</v>
      </c>
      <c r="C2301" s="22" t="s">
        <v>2445</v>
      </c>
      <c r="D2301" s="22" t="s">
        <v>471</v>
      </c>
      <c r="E2301" s="22" t="s">
        <v>2446</v>
      </c>
    </row>
    <row r="2302" spans="1:5" x14ac:dyDescent="0.25">
      <c r="A2302" s="35">
        <v>46009.464761261574</v>
      </c>
      <c r="B2302" s="22" t="s">
        <v>2452</v>
      </c>
      <c r="C2302" s="22" t="s">
        <v>2445</v>
      </c>
      <c r="D2302" s="22" t="s">
        <v>471</v>
      </c>
      <c r="E2302" s="22" t="s">
        <v>2446</v>
      </c>
    </row>
    <row r="2303" spans="1:5" x14ac:dyDescent="0.25">
      <c r="A2303" s="35">
        <v>46009.46585143519</v>
      </c>
      <c r="B2303" s="22" t="s">
        <v>2453</v>
      </c>
      <c r="C2303" s="22" t="s">
        <v>2445</v>
      </c>
      <c r="D2303" s="22" t="s">
        <v>471</v>
      </c>
      <c r="E2303" s="22" t="s">
        <v>2446</v>
      </c>
    </row>
    <row r="2304" spans="1:5" x14ac:dyDescent="0.25">
      <c r="A2304" s="35">
        <v>46009.467227638888</v>
      </c>
      <c r="B2304" s="22" t="s">
        <v>2454</v>
      </c>
      <c r="C2304" s="22" t="s">
        <v>2445</v>
      </c>
      <c r="D2304" s="22" t="s">
        <v>471</v>
      </c>
      <c r="E2304" s="22" t="s">
        <v>2446</v>
      </c>
    </row>
    <row r="2305" spans="1:5" x14ac:dyDescent="0.25">
      <c r="A2305" s="35">
        <v>46011.163997824071</v>
      </c>
      <c r="B2305" s="22" t="s">
        <v>1875</v>
      </c>
      <c r="C2305" s="22" t="s">
        <v>449</v>
      </c>
      <c r="D2305" s="22" t="s">
        <v>470</v>
      </c>
      <c r="E2305" s="22" t="s">
        <v>1999</v>
      </c>
    </row>
    <row r="2306" spans="1:5" x14ac:dyDescent="0.25">
      <c r="A2306" s="35">
        <v>46011.1650715625</v>
      </c>
      <c r="B2306" s="22" t="s">
        <v>1665</v>
      </c>
      <c r="C2306" s="22" t="s">
        <v>449</v>
      </c>
      <c r="D2306" s="22" t="s">
        <v>1894</v>
      </c>
      <c r="E2306" s="22" t="s">
        <v>1999</v>
      </c>
    </row>
    <row r="2307" spans="1:5" x14ac:dyDescent="0.25">
      <c r="A2307" s="35">
        <v>46011.167110555558</v>
      </c>
      <c r="B2307" s="22" t="s">
        <v>1325</v>
      </c>
      <c r="C2307" s="22" t="s">
        <v>449</v>
      </c>
      <c r="D2307" s="22" t="s">
        <v>1894</v>
      </c>
      <c r="E2307" s="22" t="s">
        <v>1999</v>
      </c>
    </row>
    <row r="2308" spans="1:5" x14ac:dyDescent="0.25">
      <c r="A2308" s="35">
        <v>46011.178654293981</v>
      </c>
      <c r="B2308" s="22" t="s">
        <v>789</v>
      </c>
      <c r="C2308" s="22" t="s">
        <v>1894</v>
      </c>
      <c r="D2308" s="22" t="s">
        <v>470</v>
      </c>
      <c r="E2308" s="22" t="s">
        <v>1999</v>
      </c>
    </row>
    <row r="2309" spans="1:5" x14ac:dyDescent="0.25">
      <c r="A2309" s="35">
        <v>46011.17887131944</v>
      </c>
      <c r="B2309" s="22" t="s">
        <v>646</v>
      </c>
      <c r="C2309" s="22" t="s">
        <v>1894</v>
      </c>
      <c r="D2309" s="22" t="s">
        <v>470</v>
      </c>
      <c r="E2309" s="22" t="s">
        <v>1999</v>
      </c>
    </row>
    <row r="2310" spans="1:5" x14ac:dyDescent="0.25">
      <c r="A2310" s="35">
        <v>46011.179042303236</v>
      </c>
      <c r="B2310" s="22" t="s">
        <v>1389</v>
      </c>
      <c r="C2310" s="22" t="s">
        <v>1894</v>
      </c>
      <c r="D2310" s="22" t="s">
        <v>470</v>
      </c>
      <c r="E2310" s="22" t="s">
        <v>1999</v>
      </c>
    </row>
    <row r="2311" spans="1:5" x14ac:dyDescent="0.25">
      <c r="A2311" s="35">
        <v>46011.179146631941</v>
      </c>
      <c r="B2311" s="22" t="s">
        <v>1665</v>
      </c>
      <c r="C2311" s="22" t="s">
        <v>1894</v>
      </c>
      <c r="D2311" s="22" t="s">
        <v>470</v>
      </c>
      <c r="E2311" s="22" t="s">
        <v>1999</v>
      </c>
    </row>
    <row r="2312" spans="1:5" x14ac:dyDescent="0.25">
      <c r="A2312" s="35">
        <v>46011.18038888889</v>
      </c>
      <c r="B2312" s="22" t="s">
        <v>1928</v>
      </c>
      <c r="C2312" s="22" t="s">
        <v>471</v>
      </c>
      <c r="D2312" s="22" t="s">
        <v>1894</v>
      </c>
      <c r="E2312" s="22" t="s">
        <v>1999</v>
      </c>
    </row>
    <row r="2313" spans="1:5" x14ac:dyDescent="0.25">
      <c r="A2313" s="35">
        <v>46011.180468680555</v>
      </c>
      <c r="B2313" s="22" t="s">
        <v>1929</v>
      </c>
      <c r="C2313" s="22" t="s">
        <v>471</v>
      </c>
      <c r="D2313" s="22" t="s">
        <v>1894</v>
      </c>
      <c r="E2313" s="22" t="s">
        <v>1999</v>
      </c>
    </row>
    <row r="2314" spans="1:5" x14ac:dyDescent="0.25">
      <c r="A2314" s="35">
        <v>46011.180532071754</v>
      </c>
      <c r="B2314" s="22" t="s">
        <v>1927</v>
      </c>
      <c r="C2314" s="22" t="s">
        <v>471</v>
      </c>
      <c r="D2314" s="22" t="s">
        <v>1894</v>
      </c>
      <c r="E2314" s="22" t="s">
        <v>1999</v>
      </c>
    </row>
    <row r="2315" spans="1:5" x14ac:dyDescent="0.25">
      <c r="A2315" s="35">
        <v>46011.184147141204</v>
      </c>
      <c r="B2315" s="22" t="s">
        <v>1757</v>
      </c>
      <c r="C2315" s="22" t="s">
        <v>468</v>
      </c>
      <c r="D2315" s="22" t="s">
        <v>471</v>
      </c>
      <c r="E2315" s="22" t="s">
        <v>1999</v>
      </c>
    </row>
    <row r="2316" spans="1:5" x14ac:dyDescent="0.25">
      <c r="A2316" s="35">
        <v>46011.184263449075</v>
      </c>
      <c r="B2316" s="22" t="s">
        <v>1775</v>
      </c>
      <c r="C2316" s="22" t="s">
        <v>468</v>
      </c>
      <c r="D2316" s="22" t="s">
        <v>471</v>
      </c>
      <c r="E2316" s="22" t="s">
        <v>1999</v>
      </c>
    </row>
    <row r="2317" spans="1:5" x14ac:dyDescent="0.25">
      <c r="A2317" s="35">
        <v>46011.184443356484</v>
      </c>
      <c r="B2317" s="22" t="s">
        <v>1941</v>
      </c>
      <c r="C2317" s="22" t="s">
        <v>468</v>
      </c>
      <c r="D2317" s="22" t="s">
        <v>471</v>
      </c>
      <c r="E2317" s="22" t="s">
        <v>1999</v>
      </c>
    </row>
    <row r="2318" spans="1:5" x14ac:dyDescent="0.25">
      <c r="A2318" s="35">
        <v>46011.197017175931</v>
      </c>
      <c r="B2318" s="22" t="s">
        <v>1183</v>
      </c>
      <c r="C2318" s="22" t="s">
        <v>492</v>
      </c>
      <c r="D2318" s="22" t="s">
        <v>582</v>
      </c>
      <c r="E2318" s="22" t="s">
        <v>1999</v>
      </c>
    </row>
    <row r="2319" spans="1:5" x14ac:dyDescent="0.25">
      <c r="A2319" s="35">
        <v>46011.197110682871</v>
      </c>
      <c r="B2319" s="22" t="s">
        <v>1055</v>
      </c>
      <c r="C2319" s="22" t="s">
        <v>492</v>
      </c>
      <c r="D2319" s="22" t="s">
        <v>468</v>
      </c>
      <c r="E2319" s="22" t="s">
        <v>1999</v>
      </c>
    </row>
    <row r="2320" spans="1:5" x14ac:dyDescent="0.25">
      <c r="A2320" s="35">
        <v>46011.198187835646</v>
      </c>
      <c r="B2320" s="22" t="s">
        <v>1430</v>
      </c>
      <c r="C2320" s="22" t="s">
        <v>582</v>
      </c>
      <c r="D2320" s="22" t="s">
        <v>470</v>
      </c>
      <c r="E2320" s="22" t="s">
        <v>1999</v>
      </c>
    </row>
    <row r="2321" spans="1:5" x14ac:dyDescent="0.25">
      <c r="A2321" s="35">
        <v>46011.198326898149</v>
      </c>
      <c r="B2321" s="22" t="s">
        <v>1544</v>
      </c>
      <c r="C2321" s="22" t="s">
        <v>582</v>
      </c>
      <c r="D2321" s="22" t="s">
        <v>470</v>
      </c>
      <c r="E2321" s="22" t="s">
        <v>1999</v>
      </c>
    </row>
    <row r="2322" spans="1:5" x14ac:dyDescent="0.25">
      <c r="A2322" s="35">
        <v>46011.19842951389</v>
      </c>
      <c r="B2322" s="22" t="s">
        <v>765</v>
      </c>
      <c r="C2322" s="22" t="s">
        <v>582</v>
      </c>
      <c r="D2322" s="22" t="s">
        <v>470</v>
      </c>
      <c r="E2322" s="22" t="s">
        <v>1999</v>
      </c>
    </row>
    <row r="2323" spans="1:5" x14ac:dyDescent="0.25">
      <c r="A2323" s="35">
        <v>46011.198756412035</v>
      </c>
      <c r="B2323" s="22" t="s">
        <v>798</v>
      </c>
      <c r="C2323" s="22" t="s">
        <v>1894</v>
      </c>
      <c r="D2323" s="22" t="s">
        <v>470</v>
      </c>
      <c r="E2323" s="22" t="s">
        <v>1999</v>
      </c>
    </row>
    <row r="2324" spans="1:5" x14ac:dyDescent="0.25">
      <c r="A2324" s="35">
        <v>46011.198899421295</v>
      </c>
      <c r="B2324" s="22" t="s">
        <v>799</v>
      </c>
      <c r="C2324" s="22" t="s">
        <v>1894</v>
      </c>
      <c r="D2324" s="22" t="s">
        <v>470</v>
      </c>
      <c r="E2324" s="22" t="s">
        <v>1999</v>
      </c>
    </row>
    <row r="2325" spans="1:5" x14ac:dyDescent="0.25">
      <c r="A2325" s="35">
        <v>46011.207361469904</v>
      </c>
      <c r="B2325" s="22" t="s">
        <v>2455</v>
      </c>
      <c r="C2325" s="22" t="s">
        <v>2445</v>
      </c>
      <c r="D2325" s="22" t="s">
        <v>470</v>
      </c>
      <c r="E2325" s="22" t="s">
        <v>2446</v>
      </c>
    </row>
    <row r="2326" spans="1:5" x14ac:dyDescent="0.25">
      <c r="A2326" s="35">
        <v>46011.207916967593</v>
      </c>
      <c r="B2326" s="22" t="s">
        <v>1366</v>
      </c>
      <c r="C2326" s="22" t="s">
        <v>469</v>
      </c>
      <c r="D2326" s="22" t="s">
        <v>492</v>
      </c>
      <c r="E2326" s="22" t="s">
        <v>1999</v>
      </c>
    </row>
    <row r="2327" spans="1:5" x14ac:dyDescent="0.25">
      <c r="A2327" s="35">
        <v>46011.208167962963</v>
      </c>
      <c r="B2327" s="22" t="s">
        <v>1553</v>
      </c>
      <c r="C2327" s="22" t="s">
        <v>469</v>
      </c>
      <c r="D2327" s="22" t="s">
        <v>492</v>
      </c>
      <c r="E2327" s="22" t="s">
        <v>1999</v>
      </c>
    </row>
    <row r="2328" spans="1:5" x14ac:dyDescent="0.25">
      <c r="A2328" s="35">
        <v>46011.208632592592</v>
      </c>
      <c r="B2328" s="22" t="s">
        <v>1453</v>
      </c>
      <c r="C2328" s="22" t="s">
        <v>469</v>
      </c>
      <c r="D2328" s="22" t="s">
        <v>492</v>
      </c>
      <c r="E2328" s="22" t="s">
        <v>1999</v>
      </c>
    </row>
    <row r="2329" spans="1:5" x14ac:dyDescent="0.25">
      <c r="A2329" s="35">
        <v>46011.208716168985</v>
      </c>
      <c r="B2329" s="22" t="s">
        <v>1460</v>
      </c>
      <c r="C2329" s="22" t="s">
        <v>469</v>
      </c>
      <c r="D2329" s="22" t="s">
        <v>492</v>
      </c>
      <c r="E2329" s="22" t="s">
        <v>1999</v>
      </c>
    </row>
    <row r="2330" spans="1:5" x14ac:dyDescent="0.25">
      <c r="A2330" s="35">
        <v>46011.208929629633</v>
      </c>
      <c r="B2330" s="22" t="s">
        <v>1054</v>
      </c>
      <c r="C2330" s="22" t="s">
        <v>469</v>
      </c>
      <c r="D2330" s="22" t="s">
        <v>492</v>
      </c>
      <c r="E2330" s="22" t="s">
        <v>1999</v>
      </c>
    </row>
    <row r="2331" spans="1:5" x14ac:dyDescent="0.25">
      <c r="A2331" s="35">
        <v>46011.209033634259</v>
      </c>
      <c r="B2331" s="22" t="s">
        <v>1065</v>
      </c>
      <c r="C2331" s="22" t="s">
        <v>469</v>
      </c>
      <c r="D2331" s="22" t="s">
        <v>492</v>
      </c>
      <c r="E2331" s="22" t="s">
        <v>1999</v>
      </c>
    </row>
    <row r="2332" spans="1:5" x14ac:dyDescent="0.25">
      <c r="A2332" s="35">
        <v>46011.209090011573</v>
      </c>
      <c r="B2332" s="22" t="s">
        <v>1049</v>
      </c>
      <c r="C2332" s="22" t="s">
        <v>469</v>
      </c>
      <c r="D2332" s="22" t="s">
        <v>492</v>
      </c>
      <c r="E2332" s="22" t="s">
        <v>1999</v>
      </c>
    </row>
    <row r="2333" spans="1:5" x14ac:dyDescent="0.25">
      <c r="A2333" s="35">
        <v>46011.209183194442</v>
      </c>
      <c r="B2333" s="22" t="s">
        <v>1042</v>
      </c>
      <c r="C2333" s="22" t="s">
        <v>469</v>
      </c>
      <c r="D2333" s="22" t="s">
        <v>492</v>
      </c>
      <c r="E2333" s="22" t="s">
        <v>1999</v>
      </c>
    </row>
    <row r="2334" spans="1:5" x14ac:dyDescent="0.25">
      <c r="A2334" s="35">
        <v>46011.209365891205</v>
      </c>
      <c r="B2334" s="22" t="s">
        <v>990</v>
      </c>
      <c r="C2334" s="22" t="s">
        <v>469</v>
      </c>
      <c r="D2334" s="22" t="s">
        <v>492</v>
      </c>
      <c r="E2334" s="22" t="s">
        <v>1999</v>
      </c>
    </row>
    <row r="2335" spans="1:5" x14ac:dyDescent="0.25">
      <c r="A2335" s="35">
        <v>46011.209425995374</v>
      </c>
      <c r="B2335" s="22" t="s">
        <v>980</v>
      </c>
      <c r="C2335" s="22" t="s">
        <v>469</v>
      </c>
      <c r="D2335" s="22" t="s">
        <v>492</v>
      </c>
      <c r="E2335" s="22" t="s">
        <v>1999</v>
      </c>
    </row>
    <row r="2336" spans="1:5" x14ac:dyDescent="0.25">
      <c r="A2336" s="35">
        <v>46011.20949212963</v>
      </c>
      <c r="B2336" s="22" t="s">
        <v>961</v>
      </c>
      <c r="C2336" s="22" t="s">
        <v>469</v>
      </c>
      <c r="D2336" s="22" t="s">
        <v>492</v>
      </c>
      <c r="E2336" s="22" t="s">
        <v>1999</v>
      </c>
    </row>
    <row r="2337" spans="1:5" x14ac:dyDescent="0.25">
      <c r="A2337" s="35">
        <v>46011.20963813657</v>
      </c>
      <c r="B2337" s="22" t="s">
        <v>885</v>
      </c>
      <c r="C2337" s="22" t="s">
        <v>469</v>
      </c>
      <c r="D2337" s="22" t="s">
        <v>492</v>
      </c>
      <c r="E2337" s="22" t="s">
        <v>1999</v>
      </c>
    </row>
    <row r="2338" spans="1:5" x14ac:dyDescent="0.25">
      <c r="A2338" s="35">
        <v>46011.21111606482</v>
      </c>
      <c r="B2338" s="22" t="s">
        <v>650</v>
      </c>
      <c r="C2338" s="22" t="s">
        <v>469</v>
      </c>
      <c r="D2338" s="22" t="s">
        <v>492</v>
      </c>
      <c r="E2338" s="22" t="s">
        <v>1895</v>
      </c>
    </row>
    <row r="2339" spans="1:5" x14ac:dyDescent="0.25">
      <c r="A2339" s="35">
        <v>46011.211118171297</v>
      </c>
      <c r="B2339" s="22" t="s">
        <v>766</v>
      </c>
      <c r="C2339" s="22" t="s">
        <v>469</v>
      </c>
      <c r="D2339" s="22" t="s">
        <v>492</v>
      </c>
      <c r="E2339" s="22" t="s">
        <v>1895</v>
      </c>
    </row>
    <row r="2340" spans="1:5" x14ac:dyDescent="0.25">
      <c r="A2340" s="35">
        <v>46011.21111971065</v>
      </c>
      <c r="B2340" s="22" t="s">
        <v>767</v>
      </c>
      <c r="C2340" s="22" t="s">
        <v>469</v>
      </c>
      <c r="D2340" s="22" t="s">
        <v>492</v>
      </c>
      <c r="E2340" s="22" t="s">
        <v>1895</v>
      </c>
    </row>
    <row r="2341" spans="1:5" x14ac:dyDescent="0.25">
      <c r="A2341" s="35">
        <v>46011.211121400462</v>
      </c>
      <c r="B2341" s="22" t="s">
        <v>837</v>
      </c>
      <c r="C2341" s="22" t="s">
        <v>469</v>
      </c>
      <c r="D2341" s="22" t="s">
        <v>492</v>
      </c>
      <c r="E2341" s="22" t="s">
        <v>1895</v>
      </c>
    </row>
    <row r="2342" spans="1:5" x14ac:dyDescent="0.25">
      <c r="A2342" s="35">
        <v>46011.211122939814</v>
      </c>
      <c r="B2342" s="22" t="s">
        <v>843</v>
      </c>
      <c r="C2342" s="22" t="s">
        <v>469</v>
      </c>
      <c r="D2342" s="22" t="s">
        <v>492</v>
      </c>
      <c r="E2342" s="22" t="s">
        <v>1895</v>
      </c>
    </row>
    <row r="2343" spans="1:5" x14ac:dyDescent="0.25">
      <c r="A2343" s="35">
        <v>46011.211124386573</v>
      </c>
      <c r="B2343" s="22" t="s">
        <v>859</v>
      </c>
      <c r="C2343" s="22" t="s">
        <v>469</v>
      </c>
      <c r="D2343" s="22" t="s">
        <v>492</v>
      </c>
      <c r="E2343" s="22" t="s">
        <v>1895</v>
      </c>
    </row>
    <row r="2344" spans="1:5" x14ac:dyDescent="0.25">
      <c r="A2344" s="35">
        <v>46011.211125856484</v>
      </c>
      <c r="B2344" s="22" t="s">
        <v>871</v>
      </c>
      <c r="C2344" s="22" t="s">
        <v>469</v>
      </c>
      <c r="D2344" s="22" t="s">
        <v>492</v>
      </c>
      <c r="E2344" s="22" t="s">
        <v>1895</v>
      </c>
    </row>
    <row r="2345" spans="1:5" x14ac:dyDescent="0.25">
      <c r="A2345" s="35">
        <v>46011.211127245369</v>
      </c>
      <c r="B2345" s="22" t="s">
        <v>872</v>
      </c>
      <c r="C2345" s="22" t="s">
        <v>469</v>
      </c>
      <c r="D2345" s="22" t="s">
        <v>492</v>
      </c>
      <c r="E2345" s="22" t="s">
        <v>1895</v>
      </c>
    </row>
    <row r="2346" spans="1:5" x14ac:dyDescent="0.25">
      <c r="A2346" s="35">
        <v>46011.211128738425</v>
      </c>
      <c r="B2346" s="22" t="s">
        <v>873</v>
      </c>
      <c r="C2346" s="22" t="s">
        <v>469</v>
      </c>
      <c r="D2346" s="22" t="s">
        <v>492</v>
      </c>
      <c r="E2346" s="22" t="s">
        <v>1895</v>
      </c>
    </row>
    <row r="2347" spans="1:5" x14ac:dyDescent="0.25">
      <c r="A2347" s="35">
        <v>46011.211130138894</v>
      </c>
      <c r="B2347" s="22" t="s">
        <v>876</v>
      </c>
      <c r="C2347" s="22" t="s">
        <v>469</v>
      </c>
      <c r="D2347" s="22" t="s">
        <v>492</v>
      </c>
      <c r="E2347" s="22" t="s">
        <v>1895</v>
      </c>
    </row>
    <row r="2348" spans="1:5" x14ac:dyDescent="0.25">
      <c r="A2348" s="35">
        <v>46011.211131620366</v>
      </c>
      <c r="B2348" s="22" t="s">
        <v>877</v>
      </c>
      <c r="C2348" s="22" t="s">
        <v>469</v>
      </c>
      <c r="D2348" s="22" t="s">
        <v>492</v>
      </c>
      <c r="E2348" s="22" t="s">
        <v>1895</v>
      </c>
    </row>
    <row r="2349" spans="1:5" x14ac:dyDescent="0.25">
      <c r="A2349" s="35">
        <v>46011.211133032411</v>
      </c>
      <c r="B2349" s="22" t="s">
        <v>919</v>
      </c>
      <c r="C2349" s="22" t="s">
        <v>469</v>
      </c>
      <c r="D2349" s="22" t="s">
        <v>492</v>
      </c>
      <c r="E2349" s="22" t="s">
        <v>1895</v>
      </c>
    </row>
    <row r="2350" spans="1:5" x14ac:dyDescent="0.25">
      <c r="A2350" s="35">
        <v>46011.211134606478</v>
      </c>
      <c r="B2350" s="22" t="s">
        <v>920</v>
      </c>
      <c r="C2350" s="22" t="s">
        <v>469</v>
      </c>
      <c r="D2350" s="22" t="s">
        <v>492</v>
      </c>
      <c r="E2350" s="22" t="s">
        <v>1895</v>
      </c>
    </row>
    <row r="2351" spans="1:5" x14ac:dyDescent="0.25">
      <c r="A2351" s="35">
        <v>46011.211136006939</v>
      </c>
      <c r="B2351" s="22" t="s">
        <v>1011</v>
      </c>
      <c r="C2351" s="22" t="s">
        <v>469</v>
      </c>
      <c r="D2351" s="22" t="s">
        <v>492</v>
      </c>
      <c r="E2351" s="22" t="s">
        <v>1895</v>
      </c>
    </row>
    <row r="2352" spans="1:5" x14ac:dyDescent="0.25">
      <c r="A2352" s="35">
        <v>46011.211137442129</v>
      </c>
      <c r="B2352" s="22" t="s">
        <v>1012</v>
      </c>
      <c r="C2352" s="22" t="s">
        <v>469</v>
      </c>
      <c r="D2352" s="22" t="s">
        <v>492</v>
      </c>
      <c r="E2352" s="22" t="s">
        <v>1895</v>
      </c>
    </row>
    <row r="2353" spans="1:5" x14ac:dyDescent="0.25">
      <c r="A2353" s="35">
        <v>46011.211139282408</v>
      </c>
      <c r="B2353" s="22" t="s">
        <v>1013</v>
      </c>
      <c r="C2353" s="22" t="s">
        <v>469</v>
      </c>
      <c r="D2353" s="22" t="s">
        <v>492</v>
      </c>
      <c r="E2353" s="22" t="s">
        <v>1895</v>
      </c>
    </row>
    <row r="2354" spans="1:5" x14ac:dyDescent="0.25">
      <c r="A2354" s="35">
        <v>46011.211140960644</v>
      </c>
      <c r="B2354" s="22" t="s">
        <v>1014</v>
      </c>
      <c r="C2354" s="22" t="s">
        <v>469</v>
      </c>
      <c r="D2354" s="22" t="s">
        <v>492</v>
      </c>
      <c r="E2354" s="22" t="s">
        <v>1895</v>
      </c>
    </row>
    <row r="2355" spans="1:5" x14ac:dyDescent="0.25">
      <c r="A2355" s="35">
        <v>46011.211143032408</v>
      </c>
      <c r="B2355" s="22" t="s">
        <v>1168</v>
      </c>
      <c r="C2355" s="22" t="s">
        <v>469</v>
      </c>
      <c r="D2355" s="22" t="s">
        <v>492</v>
      </c>
      <c r="E2355" s="22" t="s">
        <v>1895</v>
      </c>
    </row>
    <row r="2356" spans="1:5" x14ac:dyDescent="0.25">
      <c r="A2356" s="35">
        <v>46018.528356770832</v>
      </c>
      <c r="B2356" s="22" t="s">
        <v>2427</v>
      </c>
      <c r="C2356" s="22" t="s">
        <v>470</v>
      </c>
      <c r="D2356" s="22" t="s">
        <v>468</v>
      </c>
      <c r="E2356" s="22" t="s">
        <v>1999</v>
      </c>
    </row>
    <row r="2357" spans="1:5" x14ac:dyDescent="0.25">
      <c r="A2357" s="35">
        <v>46018.536460185183</v>
      </c>
      <c r="B2357" s="22" t="s">
        <v>651</v>
      </c>
      <c r="C2357" s="22" t="s">
        <v>470</v>
      </c>
      <c r="D2357" s="22" t="s">
        <v>468</v>
      </c>
      <c r="E2357" s="22" t="s">
        <v>1999</v>
      </c>
    </row>
    <row r="2358" spans="1:5" x14ac:dyDescent="0.25">
      <c r="A2358" s="35">
        <v>46018.540829756945</v>
      </c>
      <c r="B2358" s="22" t="s">
        <v>939</v>
      </c>
      <c r="C2358" s="22" t="s">
        <v>468</v>
      </c>
      <c r="D2358" s="22" t="s">
        <v>470</v>
      </c>
      <c r="E2358" s="22" t="s">
        <v>1999</v>
      </c>
    </row>
    <row r="2359" spans="1:5" x14ac:dyDescent="0.25">
      <c r="A2359" s="35">
        <v>46018.54832332176</v>
      </c>
      <c r="B2359" s="22" t="s">
        <v>1257</v>
      </c>
      <c r="C2359" s="22" t="s">
        <v>470</v>
      </c>
      <c r="D2359" s="22" t="s">
        <v>492</v>
      </c>
      <c r="E2359" s="22" t="s">
        <v>1999</v>
      </c>
    </row>
    <row r="2360" spans="1:5" x14ac:dyDescent="0.25">
      <c r="A2360" s="35">
        <v>46018.54839891204</v>
      </c>
      <c r="B2360" s="22" t="s">
        <v>1089</v>
      </c>
      <c r="C2360" s="22" t="s">
        <v>470</v>
      </c>
      <c r="D2360" s="22" t="s">
        <v>492</v>
      </c>
      <c r="E2360" s="22" t="s">
        <v>1999</v>
      </c>
    </row>
    <row r="2361" spans="1:5" x14ac:dyDescent="0.25">
      <c r="A2361" s="35">
        <v>46018.578803182871</v>
      </c>
      <c r="B2361" s="22" t="s">
        <v>1418</v>
      </c>
      <c r="C2361" s="22" t="s">
        <v>449</v>
      </c>
      <c r="D2361" s="22" t="s">
        <v>470</v>
      </c>
      <c r="E2361" s="22" t="s">
        <v>1999</v>
      </c>
    </row>
    <row r="2362" spans="1:5" x14ac:dyDescent="0.25">
      <c r="A2362" s="35">
        <v>46018.580038622684</v>
      </c>
      <c r="B2362" s="22" t="s">
        <v>1326</v>
      </c>
      <c r="C2362" s="22" t="s">
        <v>449</v>
      </c>
      <c r="D2362" s="22" t="s">
        <v>472</v>
      </c>
      <c r="E2362" s="22" t="s">
        <v>1999</v>
      </c>
    </row>
    <row r="2363" spans="1:5" x14ac:dyDescent="0.25">
      <c r="A2363" s="35">
        <v>46018.698053043983</v>
      </c>
      <c r="B2363" s="22" t="s">
        <v>2166</v>
      </c>
      <c r="C2363" s="22" t="s">
        <v>470</v>
      </c>
      <c r="D2363" s="22" t="s">
        <v>468</v>
      </c>
      <c r="E2363" s="22" t="s">
        <v>1895</v>
      </c>
    </row>
    <row r="2364" spans="1:5" x14ac:dyDescent="0.25">
      <c r="A2364" s="35">
        <v>46018.698054560184</v>
      </c>
      <c r="B2364" s="22" t="s">
        <v>2183</v>
      </c>
      <c r="C2364" s="22" t="s">
        <v>470</v>
      </c>
      <c r="D2364" s="22" t="s">
        <v>468</v>
      </c>
      <c r="E2364" s="22" t="s">
        <v>1895</v>
      </c>
    </row>
    <row r="2365" spans="1:5" x14ac:dyDescent="0.25">
      <c r="A2365" s="35">
        <v>46018.69805600695</v>
      </c>
      <c r="B2365" s="22" t="s">
        <v>2179</v>
      </c>
      <c r="C2365" s="22" t="s">
        <v>470</v>
      </c>
      <c r="D2365" s="22" t="s">
        <v>468</v>
      </c>
      <c r="E2365" s="22" t="s">
        <v>1895</v>
      </c>
    </row>
    <row r="2366" spans="1:5" x14ac:dyDescent="0.25">
      <c r="A2366" s="35">
        <v>46018.698057500005</v>
      </c>
      <c r="B2366" s="22" t="s">
        <v>2178</v>
      </c>
      <c r="C2366" s="22" t="s">
        <v>470</v>
      </c>
      <c r="D2366" s="22" t="s">
        <v>468</v>
      </c>
      <c r="E2366" s="22" t="s">
        <v>1895</v>
      </c>
    </row>
    <row r="2367" spans="1:5" x14ac:dyDescent="0.25">
      <c r="A2367" s="35">
        <v>46018.69805924769</v>
      </c>
      <c r="B2367" s="22" t="s">
        <v>2173</v>
      </c>
      <c r="C2367" s="22" t="s">
        <v>470</v>
      </c>
      <c r="D2367" s="22" t="s">
        <v>468</v>
      </c>
      <c r="E2367" s="22" t="s">
        <v>1895</v>
      </c>
    </row>
    <row r="2368" spans="1:5" x14ac:dyDescent="0.25">
      <c r="A2368" s="35">
        <v>46018.75038759259</v>
      </c>
      <c r="B2368" s="22" t="s">
        <v>1304</v>
      </c>
      <c r="C2368" s="22" t="s">
        <v>449</v>
      </c>
      <c r="D2368" s="22" t="s">
        <v>470</v>
      </c>
      <c r="E2368" s="22" t="s">
        <v>1895</v>
      </c>
    </row>
    <row r="2369" spans="1:5" x14ac:dyDescent="0.25">
      <c r="A2369" s="35">
        <v>46018.750389791661</v>
      </c>
      <c r="B2369" s="22" t="s">
        <v>1137</v>
      </c>
      <c r="C2369" s="22" t="s">
        <v>449</v>
      </c>
      <c r="D2369" s="22" t="s">
        <v>470</v>
      </c>
      <c r="E2369" s="22" t="s">
        <v>1895</v>
      </c>
    </row>
    <row r="2370" spans="1:5" x14ac:dyDescent="0.25">
      <c r="A2370" s="35">
        <v>46018.750392048612</v>
      </c>
      <c r="B2370" s="22" t="s">
        <v>1113</v>
      </c>
      <c r="C2370" s="22" t="s">
        <v>449</v>
      </c>
      <c r="D2370" s="22" t="s">
        <v>470</v>
      </c>
      <c r="E2370" s="22" t="s">
        <v>1895</v>
      </c>
    </row>
    <row r="2371" spans="1:5" x14ac:dyDescent="0.25">
      <c r="A2371" s="35">
        <v>46018.750394733797</v>
      </c>
      <c r="B2371" s="22" t="s">
        <v>1104</v>
      </c>
      <c r="C2371" s="22" t="s">
        <v>449</v>
      </c>
      <c r="D2371" s="22" t="s">
        <v>470</v>
      </c>
      <c r="E2371" s="22" t="s">
        <v>1895</v>
      </c>
    </row>
    <row r="2372" spans="1:5" x14ac:dyDescent="0.25">
      <c r="A2372" s="35">
        <v>46018.750396840274</v>
      </c>
      <c r="B2372" s="22" t="s">
        <v>1036</v>
      </c>
      <c r="C2372" s="22" t="s">
        <v>449</v>
      </c>
      <c r="D2372" s="22" t="s">
        <v>470</v>
      </c>
      <c r="E2372" s="22" t="s">
        <v>1895</v>
      </c>
    </row>
    <row r="2373" spans="1:5" x14ac:dyDescent="0.25">
      <c r="A2373" s="35">
        <v>46018.750399016208</v>
      </c>
      <c r="B2373" s="22" t="s">
        <v>1001</v>
      </c>
      <c r="C2373" s="22" t="s">
        <v>449</v>
      </c>
      <c r="D2373" s="22" t="s">
        <v>470</v>
      </c>
      <c r="E2373" s="22" t="s">
        <v>1895</v>
      </c>
    </row>
    <row r="2374" spans="1:5" x14ac:dyDescent="0.25">
      <c r="A2374" s="35">
        <v>46018.750401134261</v>
      </c>
      <c r="B2374" s="22" t="s">
        <v>835</v>
      </c>
      <c r="C2374" s="22" t="s">
        <v>449</v>
      </c>
      <c r="D2374" s="22" t="s">
        <v>470</v>
      </c>
      <c r="E2374" s="22" t="s">
        <v>1895</v>
      </c>
    </row>
    <row r="2375" spans="1:5" x14ac:dyDescent="0.25">
      <c r="A2375" s="35">
        <v>46018.755378726855</v>
      </c>
      <c r="B2375" s="22" t="s">
        <v>2456</v>
      </c>
      <c r="C2375" s="22" t="s">
        <v>2445</v>
      </c>
      <c r="D2375" s="22" t="s">
        <v>470</v>
      </c>
      <c r="E2375" s="22" t="s">
        <v>2446</v>
      </c>
    </row>
    <row r="2376" spans="1:5" x14ac:dyDescent="0.25">
      <c r="A2376" s="35">
        <v>46021.64242527778</v>
      </c>
      <c r="B2376" s="22" t="s">
        <v>895</v>
      </c>
      <c r="C2376" s="22" t="s">
        <v>470</v>
      </c>
      <c r="D2376" s="22" t="s">
        <v>468</v>
      </c>
      <c r="E2376" s="22" t="s">
        <v>1999</v>
      </c>
    </row>
    <row r="2377" spans="1:5" x14ac:dyDescent="0.25">
      <c r="A2377" s="35">
        <v>46021.74372356481</v>
      </c>
      <c r="B2377" s="22" t="s">
        <v>1109</v>
      </c>
      <c r="C2377" s="22" t="s">
        <v>449</v>
      </c>
      <c r="D2377" s="22" t="s">
        <v>470</v>
      </c>
      <c r="E2377" s="22" t="s">
        <v>1895</v>
      </c>
    </row>
    <row r="2378" spans="1:5" x14ac:dyDescent="0.25">
      <c r="A2378" s="35">
        <v>46021.74373725694</v>
      </c>
      <c r="B2378" s="22" t="s">
        <v>999</v>
      </c>
      <c r="C2378" s="22" t="s">
        <v>449</v>
      </c>
      <c r="D2378" s="22" t="s">
        <v>470</v>
      </c>
      <c r="E2378" s="22" t="s">
        <v>1895</v>
      </c>
    </row>
    <row r="2379" spans="1:5" x14ac:dyDescent="0.25">
      <c r="A2379" s="35">
        <v>46021.743746400462</v>
      </c>
      <c r="B2379" s="22" t="s">
        <v>774</v>
      </c>
      <c r="C2379" s="22" t="s">
        <v>449</v>
      </c>
      <c r="D2379" s="22" t="s">
        <v>470</v>
      </c>
      <c r="E2379" s="22" t="s">
        <v>1895</v>
      </c>
    </row>
    <row r="2380" spans="1:5" x14ac:dyDescent="0.25">
      <c r="A2380" s="35">
        <v>46021.743748564812</v>
      </c>
      <c r="B2380" s="22" t="s">
        <v>523</v>
      </c>
      <c r="C2380" s="22" t="s">
        <v>449</v>
      </c>
      <c r="D2380" s="22" t="s">
        <v>470</v>
      </c>
      <c r="E2380" s="22" t="s">
        <v>1895</v>
      </c>
    </row>
    <row r="2381" spans="1:5" x14ac:dyDescent="0.25">
      <c r="A2381" s="35">
        <v>46021.743750601847</v>
      </c>
      <c r="B2381" s="22" t="s">
        <v>1863</v>
      </c>
      <c r="C2381" s="22" t="s">
        <v>449</v>
      </c>
      <c r="D2381" s="22" t="s">
        <v>470</v>
      </c>
      <c r="E2381" s="22" t="s">
        <v>1895</v>
      </c>
    </row>
    <row r="2382" spans="1:5" x14ac:dyDescent="0.25">
      <c r="A2382" s="35">
        <v>46021.743752743059</v>
      </c>
      <c r="B2382" s="22" t="s">
        <v>1914</v>
      </c>
      <c r="C2382" s="22" t="s">
        <v>449</v>
      </c>
      <c r="D2382" s="22" t="s">
        <v>470</v>
      </c>
      <c r="E2382" s="22" t="s">
        <v>1895</v>
      </c>
    </row>
    <row r="2383" spans="1:5" x14ac:dyDescent="0.25">
      <c r="A2383" s="35">
        <v>46021.743755150463</v>
      </c>
      <c r="B2383" s="22" t="s">
        <v>1507</v>
      </c>
      <c r="C2383" s="22" t="s">
        <v>449</v>
      </c>
      <c r="D2383" s="22" t="s">
        <v>470</v>
      </c>
      <c r="E2383" s="22" t="s">
        <v>1895</v>
      </c>
    </row>
    <row r="2384" spans="1:5" x14ac:dyDescent="0.25">
      <c r="A2384" s="35">
        <v>46021.74375731482</v>
      </c>
      <c r="B2384" s="22" t="s">
        <v>1431</v>
      </c>
      <c r="C2384" s="22" t="s">
        <v>449</v>
      </c>
      <c r="D2384" s="22" t="s">
        <v>470</v>
      </c>
      <c r="E2384" s="22" t="s">
        <v>1895</v>
      </c>
    </row>
    <row r="2385" spans="1:5" x14ac:dyDescent="0.25">
      <c r="A2385" s="35">
        <v>46021.743759340279</v>
      </c>
      <c r="B2385" s="22" t="s">
        <v>1388</v>
      </c>
      <c r="C2385" s="22" t="s">
        <v>449</v>
      </c>
      <c r="D2385" s="22" t="s">
        <v>470</v>
      </c>
      <c r="E2385" s="22" t="s">
        <v>1895</v>
      </c>
    </row>
    <row r="2386" spans="1:5" x14ac:dyDescent="0.25">
      <c r="A2386" s="35">
        <v>46021.743761678241</v>
      </c>
      <c r="B2386" s="22" t="s">
        <v>1365</v>
      </c>
      <c r="C2386" s="22" t="s">
        <v>449</v>
      </c>
      <c r="D2386" s="22" t="s">
        <v>470</v>
      </c>
      <c r="E2386" s="22" t="s">
        <v>1895</v>
      </c>
    </row>
    <row r="2387" spans="1:5" x14ac:dyDescent="0.25">
      <c r="A2387" s="35">
        <v>46021.749309641207</v>
      </c>
      <c r="B2387" s="22" t="s">
        <v>1946</v>
      </c>
      <c r="C2387" s="22" t="s">
        <v>1894</v>
      </c>
      <c r="D2387" s="22" t="s">
        <v>449</v>
      </c>
      <c r="E2387" s="22" t="s">
        <v>1999</v>
      </c>
    </row>
    <row r="2388" spans="1:5" x14ac:dyDescent="0.25">
      <c r="A2388" s="35">
        <v>46021.749386493058</v>
      </c>
      <c r="B2388" s="22" t="s">
        <v>1945</v>
      </c>
      <c r="C2388" s="22" t="s">
        <v>1894</v>
      </c>
      <c r="D2388" s="22" t="s">
        <v>449</v>
      </c>
      <c r="E2388" s="22" t="s">
        <v>1999</v>
      </c>
    </row>
    <row r="2389" spans="1:5" x14ac:dyDescent="0.25">
      <c r="A2389" s="35">
        <v>46021.749461967593</v>
      </c>
      <c r="B2389" s="22" t="s">
        <v>1944</v>
      </c>
      <c r="C2389" s="22" t="s">
        <v>1894</v>
      </c>
      <c r="D2389" s="22" t="s">
        <v>449</v>
      </c>
      <c r="E2389" s="22" t="s">
        <v>1999</v>
      </c>
    </row>
    <row r="2390" spans="1:5" x14ac:dyDescent="0.25">
      <c r="A2390" s="35">
        <v>46022.737950196759</v>
      </c>
      <c r="B2390" s="22" t="s">
        <v>2116</v>
      </c>
      <c r="C2390" s="22" t="s">
        <v>450</v>
      </c>
      <c r="D2390" s="22" t="s">
        <v>470</v>
      </c>
      <c r="E2390" s="22" t="s">
        <v>1999</v>
      </c>
    </row>
    <row r="2391" spans="1:5" x14ac:dyDescent="0.25">
      <c r="A2391" s="35">
        <v>46022.738190787037</v>
      </c>
      <c r="B2391" s="22" t="s">
        <v>2106</v>
      </c>
      <c r="C2391" s="22" t="s">
        <v>450</v>
      </c>
      <c r="D2391" s="22" t="s">
        <v>470</v>
      </c>
      <c r="E2391" s="22" t="s">
        <v>1999</v>
      </c>
    </row>
    <row r="2392" spans="1:5" x14ac:dyDescent="0.25">
      <c r="A2392" s="35">
        <v>46022.738295648145</v>
      </c>
      <c r="B2392" s="22" t="s">
        <v>2107</v>
      </c>
      <c r="C2392" s="22" t="s">
        <v>450</v>
      </c>
      <c r="D2392" s="22" t="s">
        <v>470</v>
      </c>
      <c r="E2392" s="22" t="s">
        <v>1999</v>
      </c>
    </row>
    <row r="2393" spans="1:5" x14ac:dyDescent="0.25">
      <c r="A2393" s="35">
        <v>46022.738512731477</v>
      </c>
      <c r="B2393" s="22" t="s">
        <v>2101</v>
      </c>
      <c r="C2393" s="22" t="s">
        <v>450</v>
      </c>
      <c r="D2393" s="22" t="s">
        <v>470</v>
      </c>
      <c r="E2393" s="22" t="s">
        <v>1999</v>
      </c>
    </row>
    <row r="2394" spans="1:5" x14ac:dyDescent="0.25">
      <c r="A2394" s="35">
        <v>46022.739542939817</v>
      </c>
      <c r="B2394" s="22" t="s">
        <v>2363</v>
      </c>
      <c r="C2394" s="22" t="s">
        <v>450</v>
      </c>
      <c r="D2394" s="22" t="s">
        <v>492</v>
      </c>
      <c r="E2394" s="22" t="s">
        <v>1999</v>
      </c>
    </row>
    <row r="2395" spans="1:5" x14ac:dyDescent="0.25">
      <c r="A2395" s="35">
        <v>46022.739625347225</v>
      </c>
      <c r="B2395" s="22" t="s">
        <v>2364</v>
      </c>
      <c r="C2395" s="22" t="s">
        <v>450</v>
      </c>
      <c r="D2395" s="22" t="s">
        <v>492</v>
      </c>
      <c r="E2395" s="22" t="s">
        <v>1999</v>
      </c>
    </row>
    <row r="2396" spans="1:5" x14ac:dyDescent="0.25">
      <c r="A2396" s="35">
        <v>46022.740226759255</v>
      </c>
      <c r="B2396" s="22" t="s">
        <v>2049</v>
      </c>
      <c r="C2396" s="22" t="s">
        <v>450</v>
      </c>
      <c r="D2396" s="22" t="s">
        <v>470</v>
      </c>
      <c r="E2396" s="22" t="s">
        <v>1999</v>
      </c>
    </row>
    <row r="2397" spans="1:5" x14ac:dyDescent="0.25">
      <c r="A2397" s="35">
        <v>46022.740445347226</v>
      </c>
      <c r="B2397" s="22" t="s">
        <v>2365</v>
      </c>
      <c r="C2397" s="22" t="s">
        <v>450</v>
      </c>
      <c r="D2397" s="22" t="s">
        <v>470</v>
      </c>
      <c r="E2397" s="22" t="s">
        <v>1999</v>
      </c>
    </row>
    <row r="2398" spans="1:5" x14ac:dyDescent="0.25">
      <c r="A2398" s="35">
        <v>46022.740557384255</v>
      </c>
      <c r="B2398" s="22" t="s">
        <v>2236</v>
      </c>
      <c r="C2398" s="22" t="s">
        <v>450</v>
      </c>
      <c r="D2398" s="22" t="s">
        <v>470</v>
      </c>
      <c r="E2398" s="22" t="s">
        <v>1999</v>
      </c>
    </row>
    <row r="2399" spans="1:5" x14ac:dyDescent="0.25">
      <c r="A2399" s="35">
        <v>46022.740771307872</v>
      </c>
      <c r="B2399" s="22" t="s">
        <v>2234</v>
      </c>
      <c r="C2399" s="22" t="s">
        <v>450</v>
      </c>
      <c r="D2399" s="22" t="s">
        <v>470</v>
      </c>
      <c r="E2399" s="22" t="s">
        <v>1999</v>
      </c>
    </row>
    <row r="2400" spans="1:5" x14ac:dyDescent="0.25">
      <c r="A2400" s="35">
        <v>46022.740857743054</v>
      </c>
      <c r="B2400" s="22" t="s">
        <v>2229</v>
      </c>
      <c r="C2400" s="22" t="s">
        <v>450</v>
      </c>
      <c r="D2400" s="22" t="s">
        <v>452</v>
      </c>
      <c r="E2400" s="22" t="s">
        <v>1999</v>
      </c>
    </row>
    <row r="2401" spans="1:5" x14ac:dyDescent="0.25">
      <c r="A2401" s="35">
        <v>46022.741012523147</v>
      </c>
      <c r="B2401" s="22" t="s">
        <v>2229</v>
      </c>
      <c r="C2401" s="22" t="s">
        <v>452</v>
      </c>
      <c r="D2401" s="22" t="s">
        <v>470</v>
      </c>
      <c r="E2401" s="22" t="s">
        <v>1999</v>
      </c>
    </row>
    <row r="2402" spans="1:5" x14ac:dyDescent="0.25">
      <c r="A2402" s="35">
        <v>46022.741113449076</v>
      </c>
      <c r="B2402" s="22" t="s">
        <v>2228</v>
      </c>
      <c r="C2402" s="22" t="s">
        <v>450</v>
      </c>
      <c r="D2402" s="22" t="s">
        <v>470</v>
      </c>
      <c r="E2402" s="22" t="s">
        <v>1999</v>
      </c>
    </row>
    <row r="2403" spans="1:5" x14ac:dyDescent="0.25">
      <c r="A2403" s="35">
        <v>46022.743649143522</v>
      </c>
      <c r="B2403" s="22" t="s">
        <v>2077</v>
      </c>
      <c r="C2403" s="22" t="s">
        <v>450</v>
      </c>
      <c r="D2403" s="22" t="s">
        <v>471</v>
      </c>
      <c r="E2403" s="22" t="s">
        <v>1999</v>
      </c>
    </row>
    <row r="2404" spans="1:5" x14ac:dyDescent="0.25">
      <c r="A2404" s="35">
        <v>46022.746026608795</v>
      </c>
      <c r="B2404" s="22" t="s">
        <v>2256</v>
      </c>
      <c r="C2404" s="22" t="s">
        <v>450</v>
      </c>
      <c r="D2404" s="22" t="s">
        <v>471</v>
      </c>
      <c r="E2404" s="22" t="s">
        <v>1999</v>
      </c>
    </row>
    <row r="2405" spans="1:5" x14ac:dyDescent="0.25">
      <c r="A2405" s="35">
        <v>46024.356967372689</v>
      </c>
      <c r="B2405" s="22" t="s">
        <v>2457</v>
      </c>
      <c r="C2405" s="22" t="s">
        <v>2445</v>
      </c>
      <c r="D2405" s="22" t="s">
        <v>471</v>
      </c>
      <c r="E2405" s="22" t="s">
        <v>2446</v>
      </c>
    </row>
    <row r="2406" spans="1:5" x14ac:dyDescent="0.25">
      <c r="A2406" s="35">
        <v>46025.45989377315</v>
      </c>
      <c r="B2406" s="22" t="s">
        <v>2218</v>
      </c>
      <c r="C2406" s="22" t="s">
        <v>450</v>
      </c>
      <c r="D2406" s="22" t="s">
        <v>472</v>
      </c>
      <c r="E2406" s="22" t="s">
        <v>1895</v>
      </c>
    </row>
    <row r="2407" spans="1:5" x14ac:dyDescent="0.25">
      <c r="A2407" s="35">
        <v>46025.459895624997</v>
      </c>
      <c r="B2407" s="22" t="s">
        <v>2410</v>
      </c>
      <c r="C2407" s="22" t="s">
        <v>450</v>
      </c>
      <c r="D2407" s="22" t="s">
        <v>472</v>
      </c>
      <c r="E2407" s="22" t="s">
        <v>1895</v>
      </c>
    </row>
    <row r="2408" spans="1:5" x14ac:dyDescent="0.25">
      <c r="A2408" s="35">
        <v>46025.459897430555</v>
      </c>
      <c r="B2408" s="22" t="s">
        <v>2403</v>
      </c>
      <c r="C2408" s="22" t="s">
        <v>450</v>
      </c>
      <c r="D2408" s="22" t="s">
        <v>472</v>
      </c>
      <c r="E2408" s="22" t="s">
        <v>1895</v>
      </c>
    </row>
    <row r="2409" spans="1:5" x14ac:dyDescent="0.25">
      <c r="A2409" s="35">
        <v>46025.459899305555</v>
      </c>
      <c r="B2409" s="22" t="s">
        <v>2397</v>
      </c>
      <c r="C2409" s="22" t="s">
        <v>450</v>
      </c>
      <c r="D2409" s="22" t="s">
        <v>472</v>
      </c>
      <c r="E2409" s="22" t="s">
        <v>1895</v>
      </c>
    </row>
    <row r="2410" spans="1:5" x14ac:dyDescent="0.25">
      <c r="A2410" s="35">
        <v>46025.459907002311</v>
      </c>
      <c r="B2410" s="22" t="s">
        <v>2389</v>
      </c>
      <c r="C2410" s="22" t="s">
        <v>450</v>
      </c>
      <c r="D2410" s="22" t="s">
        <v>472</v>
      </c>
      <c r="E2410" s="22" t="s">
        <v>1895</v>
      </c>
    </row>
    <row r="2411" spans="1:5" x14ac:dyDescent="0.25">
      <c r="A2411" s="35">
        <v>46025.459908668985</v>
      </c>
      <c r="B2411" s="22" t="s">
        <v>2390</v>
      </c>
      <c r="C2411" s="22" t="s">
        <v>450</v>
      </c>
      <c r="D2411" s="22" t="s">
        <v>472</v>
      </c>
      <c r="E2411" s="22" t="s">
        <v>1895</v>
      </c>
    </row>
    <row r="2412" spans="1:5" x14ac:dyDescent="0.25">
      <c r="A2412" s="35">
        <v>46025.459910497681</v>
      </c>
      <c r="B2412" s="22" t="s">
        <v>2380</v>
      </c>
      <c r="C2412" s="22" t="s">
        <v>450</v>
      </c>
      <c r="D2412" s="22" t="s">
        <v>472</v>
      </c>
      <c r="E2412" s="22" t="s">
        <v>1895</v>
      </c>
    </row>
    <row r="2413" spans="1:5" x14ac:dyDescent="0.25">
      <c r="A2413" s="35">
        <v>46025.459912280094</v>
      </c>
      <c r="B2413" s="22" t="s">
        <v>2379</v>
      </c>
      <c r="C2413" s="22" t="s">
        <v>450</v>
      </c>
      <c r="D2413" s="22" t="s">
        <v>472</v>
      </c>
      <c r="E2413" s="22" t="s">
        <v>1895</v>
      </c>
    </row>
    <row r="2414" spans="1:5" x14ac:dyDescent="0.25">
      <c r="A2414" s="35">
        <v>46025.459914155093</v>
      </c>
      <c r="B2414" s="22" t="s">
        <v>2369</v>
      </c>
      <c r="C2414" s="22" t="s">
        <v>450</v>
      </c>
      <c r="D2414" s="22" t="s">
        <v>472</v>
      </c>
      <c r="E2414" s="22" t="s">
        <v>1895</v>
      </c>
    </row>
    <row r="2415" spans="1:5" x14ac:dyDescent="0.25">
      <c r="A2415" s="35">
        <v>46025.459916111111</v>
      </c>
      <c r="B2415" s="22" t="s">
        <v>2370</v>
      </c>
      <c r="C2415" s="22" t="s">
        <v>450</v>
      </c>
      <c r="D2415" s="22" t="s">
        <v>472</v>
      </c>
      <c r="E2415" s="22" t="s">
        <v>1895</v>
      </c>
    </row>
    <row r="2416" spans="1:5" x14ac:dyDescent="0.25">
      <c r="A2416" s="35">
        <v>46030.455115358796</v>
      </c>
      <c r="B2416" s="22" t="s">
        <v>2329</v>
      </c>
      <c r="C2416" s="22" t="s">
        <v>582</v>
      </c>
      <c r="D2416" s="22" t="s">
        <v>2458</v>
      </c>
      <c r="E2416" s="22" t="s">
        <v>1895</v>
      </c>
    </row>
    <row r="2417" spans="1:5" x14ac:dyDescent="0.25">
      <c r="A2417" s="35">
        <v>46030.455117557867</v>
      </c>
      <c r="B2417" s="22" t="s">
        <v>2327</v>
      </c>
      <c r="C2417" s="22" t="s">
        <v>582</v>
      </c>
      <c r="D2417" s="22" t="s">
        <v>2458</v>
      </c>
      <c r="E2417" s="22" t="s">
        <v>1895</v>
      </c>
    </row>
    <row r="2418" spans="1:5" x14ac:dyDescent="0.25">
      <c r="A2418" s="35">
        <v>46030.455119664352</v>
      </c>
      <c r="B2418" s="22" t="s">
        <v>2328</v>
      </c>
      <c r="C2418" s="22" t="s">
        <v>582</v>
      </c>
      <c r="D2418" s="22" t="s">
        <v>2458</v>
      </c>
      <c r="E2418" s="22" t="s">
        <v>1895</v>
      </c>
    </row>
    <row r="2419" spans="1:5" x14ac:dyDescent="0.25">
      <c r="A2419" s="35">
        <v>46030.455122280095</v>
      </c>
      <c r="B2419" s="22" t="s">
        <v>2326</v>
      </c>
      <c r="C2419" s="22" t="s">
        <v>582</v>
      </c>
      <c r="D2419" s="22" t="s">
        <v>2458</v>
      </c>
      <c r="E2419" s="22" t="s">
        <v>1895</v>
      </c>
    </row>
    <row r="2420" spans="1:5" x14ac:dyDescent="0.25">
      <c r="A2420" s="35">
        <v>46030.455124513886</v>
      </c>
      <c r="B2420" s="22" t="s">
        <v>2323</v>
      </c>
      <c r="C2420" s="22" t="s">
        <v>582</v>
      </c>
      <c r="D2420" s="22" t="s">
        <v>2458</v>
      </c>
      <c r="E2420" s="22" t="s">
        <v>1895</v>
      </c>
    </row>
    <row r="2421" spans="1:5" x14ac:dyDescent="0.25">
      <c r="A2421" s="35">
        <v>46030.455126909721</v>
      </c>
      <c r="B2421" s="22" t="s">
        <v>2324</v>
      </c>
      <c r="C2421" s="22" t="s">
        <v>582</v>
      </c>
      <c r="D2421" s="22" t="s">
        <v>2458</v>
      </c>
      <c r="E2421" s="22" t="s">
        <v>1895</v>
      </c>
    </row>
    <row r="2422" spans="1:5" x14ac:dyDescent="0.25">
      <c r="A2422" s="35">
        <v>46030.455129016205</v>
      </c>
      <c r="B2422" s="22" t="s">
        <v>2325</v>
      </c>
      <c r="C2422" s="22" t="s">
        <v>582</v>
      </c>
      <c r="D2422" s="22" t="s">
        <v>2458</v>
      </c>
      <c r="E2422" s="22" t="s">
        <v>1895</v>
      </c>
    </row>
    <row r="2423" spans="1:5" x14ac:dyDescent="0.25">
      <c r="A2423" s="35">
        <v>46030.466808553239</v>
      </c>
      <c r="B2423" s="22" t="s">
        <v>2459</v>
      </c>
      <c r="C2423" s="22" t="s">
        <v>2445</v>
      </c>
      <c r="D2423" s="22" t="s">
        <v>470</v>
      </c>
      <c r="E2423" s="22" t="s">
        <v>2446</v>
      </c>
    </row>
    <row r="2424" spans="1:5" x14ac:dyDescent="0.25">
      <c r="A2424" s="35">
        <v>46030.578877245367</v>
      </c>
      <c r="B2424" s="22" t="s">
        <v>2460</v>
      </c>
      <c r="C2424" s="22" t="s">
        <v>489</v>
      </c>
      <c r="D2424" s="22" t="s">
        <v>468</v>
      </c>
      <c r="E2424" s="22" t="s">
        <v>490</v>
      </c>
    </row>
    <row r="2425" spans="1:5" x14ac:dyDescent="0.25">
      <c r="A2425" s="35">
        <v>46030.578879027773</v>
      </c>
      <c r="B2425" s="22" t="s">
        <v>2461</v>
      </c>
      <c r="C2425" s="22" t="s">
        <v>489</v>
      </c>
      <c r="D2425" s="22" t="s">
        <v>468</v>
      </c>
      <c r="E2425" s="22" t="s">
        <v>490</v>
      </c>
    </row>
    <row r="2426" spans="1:5" x14ac:dyDescent="0.25">
      <c r="A2426" s="35">
        <v>46030.578880821762</v>
      </c>
      <c r="B2426" s="22" t="s">
        <v>2462</v>
      </c>
      <c r="C2426" s="22" t="s">
        <v>489</v>
      </c>
      <c r="D2426" s="22" t="s">
        <v>500</v>
      </c>
      <c r="E2426" s="22" t="s">
        <v>490</v>
      </c>
    </row>
    <row r="2427" spans="1:5" x14ac:dyDescent="0.25">
      <c r="A2427" s="35">
        <v>46030.578882546295</v>
      </c>
      <c r="B2427" s="22" t="s">
        <v>2463</v>
      </c>
      <c r="C2427" s="22" t="s">
        <v>489</v>
      </c>
      <c r="D2427" s="22" t="s">
        <v>500</v>
      </c>
      <c r="E2427" s="22" t="s">
        <v>490</v>
      </c>
    </row>
    <row r="2428" spans="1:5" x14ac:dyDescent="0.25">
      <c r="A2428" s="35">
        <v>46030.578884259259</v>
      </c>
      <c r="B2428" s="22" t="s">
        <v>2464</v>
      </c>
      <c r="C2428" s="22" t="s">
        <v>489</v>
      </c>
      <c r="D2428" s="22" t="s">
        <v>500</v>
      </c>
      <c r="E2428" s="22" t="s">
        <v>490</v>
      </c>
    </row>
    <row r="2429" spans="1:5" x14ac:dyDescent="0.25">
      <c r="A2429" s="35">
        <v>46030.578886261574</v>
      </c>
      <c r="B2429" s="22" t="s">
        <v>2465</v>
      </c>
      <c r="C2429" s="22" t="s">
        <v>489</v>
      </c>
      <c r="D2429" s="22" t="s">
        <v>500</v>
      </c>
      <c r="E2429" s="22" t="s">
        <v>490</v>
      </c>
    </row>
    <row r="2430" spans="1:5" x14ac:dyDescent="0.25">
      <c r="A2430" s="35">
        <v>46030.578888055556</v>
      </c>
      <c r="B2430" s="22" t="s">
        <v>2466</v>
      </c>
      <c r="C2430" s="22" t="s">
        <v>489</v>
      </c>
      <c r="D2430" s="22" t="s">
        <v>500</v>
      </c>
      <c r="E2430" s="22" t="s">
        <v>490</v>
      </c>
    </row>
    <row r="2431" spans="1:5" x14ac:dyDescent="0.25">
      <c r="A2431" s="35">
        <v>46030.578892835649</v>
      </c>
      <c r="B2431" s="22" t="s">
        <v>2467</v>
      </c>
      <c r="C2431" s="22" t="s">
        <v>489</v>
      </c>
      <c r="D2431" s="22" t="s">
        <v>468</v>
      </c>
      <c r="E2431" s="22" t="s">
        <v>490</v>
      </c>
    </row>
    <row r="2432" spans="1:5" x14ac:dyDescent="0.25">
      <c r="A2432" s="35">
        <v>46030.578894502316</v>
      </c>
      <c r="B2432" s="22" t="s">
        <v>2468</v>
      </c>
      <c r="C2432" s="22" t="s">
        <v>489</v>
      </c>
      <c r="D2432" s="22" t="s">
        <v>468</v>
      </c>
      <c r="E2432" s="22" t="s">
        <v>490</v>
      </c>
    </row>
    <row r="2433" spans="1:5" x14ac:dyDescent="0.25">
      <c r="A2433" s="35">
        <v>46030.578896481486</v>
      </c>
      <c r="B2433" s="22" t="s">
        <v>2469</v>
      </c>
      <c r="C2433" s="22" t="s">
        <v>489</v>
      </c>
      <c r="D2433" s="22" t="s">
        <v>492</v>
      </c>
      <c r="E2433" s="22" t="s">
        <v>490</v>
      </c>
    </row>
    <row r="2434" spans="1:5" x14ac:dyDescent="0.25">
      <c r="A2434" s="35">
        <v>46030.578898333333</v>
      </c>
      <c r="B2434" s="22" t="s">
        <v>2470</v>
      </c>
      <c r="C2434" s="22" t="s">
        <v>489</v>
      </c>
      <c r="D2434" s="22" t="s">
        <v>500</v>
      </c>
      <c r="E2434" s="22" t="s">
        <v>490</v>
      </c>
    </row>
    <row r="2435" spans="1:5" x14ac:dyDescent="0.25">
      <c r="A2435" s="35">
        <v>46030.578900069449</v>
      </c>
      <c r="B2435" s="22" t="s">
        <v>2471</v>
      </c>
      <c r="C2435" s="22" t="s">
        <v>489</v>
      </c>
      <c r="D2435" s="22" t="s">
        <v>500</v>
      </c>
      <c r="E2435" s="22" t="s">
        <v>490</v>
      </c>
    </row>
    <row r="2436" spans="1:5" x14ac:dyDescent="0.25">
      <c r="A2436" s="35">
        <v>46030.578902060181</v>
      </c>
      <c r="B2436" s="22" t="s">
        <v>2472</v>
      </c>
      <c r="C2436" s="22" t="s">
        <v>489</v>
      </c>
      <c r="D2436" s="22" t="s">
        <v>500</v>
      </c>
      <c r="E2436" s="22" t="s">
        <v>490</v>
      </c>
    </row>
    <row r="2437" spans="1:5" x14ac:dyDescent="0.25">
      <c r="A2437" s="35">
        <v>46030.578904062495</v>
      </c>
      <c r="B2437" s="22" t="s">
        <v>2473</v>
      </c>
      <c r="C2437" s="22" t="s">
        <v>482</v>
      </c>
      <c r="D2437" s="22" t="s">
        <v>449</v>
      </c>
      <c r="E2437" s="22" t="s">
        <v>490</v>
      </c>
    </row>
    <row r="2438" spans="1:5" x14ac:dyDescent="0.25">
      <c r="A2438" s="35">
        <v>46030.578905937495</v>
      </c>
      <c r="B2438" s="22" t="s">
        <v>2474</v>
      </c>
      <c r="C2438" s="22" t="s">
        <v>489</v>
      </c>
      <c r="D2438" s="22" t="s">
        <v>500</v>
      </c>
      <c r="E2438" s="22" t="s">
        <v>490</v>
      </c>
    </row>
    <row r="2439" spans="1:5" x14ac:dyDescent="0.25">
      <c r="A2439" s="35">
        <v>46030.578907731484</v>
      </c>
      <c r="B2439" s="22" t="s">
        <v>2475</v>
      </c>
      <c r="C2439" s="22" t="s">
        <v>489</v>
      </c>
      <c r="D2439" s="22" t="s">
        <v>468</v>
      </c>
      <c r="E2439" s="22" t="s">
        <v>490</v>
      </c>
    </row>
    <row r="2440" spans="1:5" x14ac:dyDescent="0.25">
      <c r="A2440" s="35">
        <v>46030.578909710646</v>
      </c>
      <c r="B2440" s="22" t="s">
        <v>2476</v>
      </c>
      <c r="C2440" s="22" t="s">
        <v>489</v>
      </c>
      <c r="D2440" s="22" t="s">
        <v>468</v>
      </c>
      <c r="E2440" s="22" t="s">
        <v>490</v>
      </c>
    </row>
    <row r="2441" spans="1:5" x14ac:dyDescent="0.25">
      <c r="A2441" s="35">
        <v>46030.578911435186</v>
      </c>
      <c r="B2441" s="22" t="s">
        <v>2477</v>
      </c>
      <c r="C2441" s="22" t="s">
        <v>489</v>
      </c>
      <c r="D2441" s="22" t="s">
        <v>468</v>
      </c>
      <c r="E2441" s="22" t="s">
        <v>490</v>
      </c>
    </row>
    <row r="2442" spans="1:5" x14ac:dyDescent="0.25">
      <c r="A2442" s="35">
        <v>46030.578913379628</v>
      </c>
      <c r="B2442" s="22" t="s">
        <v>2478</v>
      </c>
      <c r="C2442" s="22" t="s">
        <v>489</v>
      </c>
      <c r="D2442" s="22" t="s">
        <v>500</v>
      </c>
      <c r="E2442" s="22" t="s">
        <v>490</v>
      </c>
    </row>
    <row r="2443" spans="1:5" x14ac:dyDescent="0.25">
      <c r="A2443" s="35">
        <v>46030.578915289356</v>
      </c>
      <c r="B2443" s="22" t="s">
        <v>2479</v>
      </c>
      <c r="C2443" s="22" t="s">
        <v>489</v>
      </c>
      <c r="D2443" s="22" t="s">
        <v>468</v>
      </c>
      <c r="E2443" s="22" t="s">
        <v>490</v>
      </c>
    </row>
    <row r="2444" spans="1:5" x14ac:dyDescent="0.25">
      <c r="A2444" s="35">
        <v>46030.578917118051</v>
      </c>
      <c r="B2444" s="22" t="s">
        <v>2480</v>
      </c>
      <c r="C2444" s="22" t="s">
        <v>489</v>
      </c>
      <c r="D2444" s="22" t="s">
        <v>468</v>
      </c>
      <c r="E2444" s="22" t="s">
        <v>490</v>
      </c>
    </row>
    <row r="2445" spans="1:5" x14ac:dyDescent="0.25">
      <c r="A2445" s="35">
        <v>46030.578919016203</v>
      </c>
      <c r="B2445" s="22" t="s">
        <v>2481</v>
      </c>
      <c r="C2445" s="22" t="s">
        <v>489</v>
      </c>
      <c r="D2445" s="22" t="s">
        <v>468</v>
      </c>
      <c r="E2445" s="22" t="s">
        <v>490</v>
      </c>
    </row>
    <row r="2446" spans="1:5" x14ac:dyDescent="0.25">
      <c r="A2446" s="35">
        <v>46030.578920821761</v>
      </c>
      <c r="B2446" s="22" t="s">
        <v>2482</v>
      </c>
      <c r="C2446" s="22" t="s">
        <v>489</v>
      </c>
      <c r="D2446" s="22" t="s">
        <v>500</v>
      </c>
      <c r="E2446" s="22" t="s">
        <v>490</v>
      </c>
    </row>
    <row r="2447" spans="1:5" x14ac:dyDescent="0.25">
      <c r="A2447" s="35">
        <v>46030.578924097223</v>
      </c>
      <c r="B2447" s="22" t="s">
        <v>2483</v>
      </c>
      <c r="C2447" s="22" t="s">
        <v>489</v>
      </c>
      <c r="D2447" s="22" t="s">
        <v>468</v>
      </c>
      <c r="E2447" s="22" t="s">
        <v>490</v>
      </c>
    </row>
    <row r="2448" spans="1:5" x14ac:dyDescent="0.25">
      <c r="A2448" s="35">
        <v>46030.578925648151</v>
      </c>
      <c r="B2448" s="22" t="s">
        <v>2484</v>
      </c>
      <c r="C2448" s="22" t="s">
        <v>489</v>
      </c>
      <c r="D2448" s="22" t="s">
        <v>468</v>
      </c>
      <c r="E2448" s="22" t="s">
        <v>490</v>
      </c>
    </row>
    <row r="2449" spans="1:5" x14ac:dyDescent="0.25">
      <c r="A2449" s="35">
        <v>46030.578927465278</v>
      </c>
      <c r="B2449" s="22" t="s">
        <v>2485</v>
      </c>
      <c r="C2449" s="22" t="s">
        <v>489</v>
      </c>
      <c r="D2449" s="22" t="s">
        <v>500</v>
      </c>
      <c r="E2449" s="22" t="s">
        <v>490</v>
      </c>
    </row>
    <row r="2450" spans="1:5" x14ac:dyDescent="0.25">
      <c r="A2450" s="35">
        <v>46030.578929340278</v>
      </c>
      <c r="B2450" s="22" t="s">
        <v>2486</v>
      </c>
      <c r="C2450" s="22" t="s">
        <v>489</v>
      </c>
      <c r="D2450" s="22" t="s">
        <v>500</v>
      </c>
      <c r="E2450" s="22" t="s">
        <v>490</v>
      </c>
    </row>
    <row r="2451" spans="1:5" x14ac:dyDescent="0.25">
      <c r="A2451" s="35">
        <v>46030.5789309838</v>
      </c>
      <c r="B2451" s="22" t="s">
        <v>2487</v>
      </c>
      <c r="C2451" s="22" t="s">
        <v>489</v>
      </c>
      <c r="D2451" s="22" t="s">
        <v>500</v>
      </c>
      <c r="E2451" s="22" t="s">
        <v>490</v>
      </c>
    </row>
    <row r="2452" spans="1:5" x14ac:dyDescent="0.25">
      <c r="A2452" s="35">
        <v>46030.578932627315</v>
      </c>
      <c r="B2452" s="22" t="s">
        <v>2488</v>
      </c>
      <c r="C2452" s="22" t="s">
        <v>489</v>
      </c>
      <c r="D2452" s="22" t="s">
        <v>500</v>
      </c>
      <c r="E2452" s="22" t="s">
        <v>490</v>
      </c>
    </row>
    <row r="2453" spans="1:5" x14ac:dyDescent="0.25">
      <c r="A2453" s="35">
        <v>46030.578934502315</v>
      </c>
      <c r="B2453" s="22" t="s">
        <v>2489</v>
      </c>
      <c r="C2453" s="22" t="s">
        <v>489</v>
      </c>
      <c r="D2453" s="22" t="s">
        <v>468</v>
      </c>
      <c r="E2453" s="22" t="s">
        <v>490</v>
      </c>
    </row>
    <row r="2454" spans="1:5" x14ac:dyDescent="0.25">
      <c r="A2454" s="35">
        <v>46030.578936423612</v>
      </c>
      <c r="B2454" s="22" t="s">
        <v>2490</v>
      </c>
      <c r="C2454" s="22" t="s">
        <v>489</v>
      </c>
      <c r="D2454" s="22" t="s">
        <v>500</v>
      </c>
      <c r="E2454" s="22" t="s">
        <v>490</v>
      </c>
    </row>
    <row r="2455" spans="1:5" x14ac:dyDescent="0.25">
      <c r="A2455" s="35">
        <v>46030.57893797454</v>
      </c>
      <c r="B2455" s="22" t="s">
        <v>2491</v>
      </c>
      <c r="C2455" s="22" t="s">
        <v>489</v>
      </c>
      <c r="D2455" s="22" t="s">
        <v>500</v>
      </c>
      <c r="E2455" s="22" t="s">
        <v>490</v>
      </c>
    </row>
    <row r="2456" spans="1:5" x14ac:dyDescent="0.25">
      <c r="A2456" s="35">
        <v>46030.578946956019</v>
      </c>
      <c r="B2456" s="22" t="s">
        <v>2492</v>
      </c>
      <c r="C2456" s="22" t="s">
        <v>489</v>
      </c>
      <c r="D2456" s="22" t="s">
        <v>468</v>
      </c>
      <c r="E2456" s="22" t="s">
        <v>490</v>
      </c>
    </row>
    <row r="2457" spans="1:5" x14ac:dyDescent="0.25">
      <c r="A2457" s="35">
        <v>46030.578948599534</v>
      </c>
      <c r="B2457" s="22" t="s">
        <v>2493</v>
      </c>
      <c r="C2457" s="22" t="s">
        <v>482</v>
      </c>
      <c r="D2457" s="22" t="s">
        <v>449</v>
      </c>
      <c r="E2457" s="22" t="s">
        <v>490</v>
      </c>
    </row>
    <row r="2458" spans="1:5" x14ac:dyDescent="0.25">
      <c r="A2458" s="35">
        <v>46030.57895033565</v>
      </c>
      <c r="B2458" s="22" t="s">
        <v>2494</v>
      </c>
      <c r="C2458" s="22" t="s">
        <v>482</v>
      </c>
      <c r="D2458" s="22" t="s">
        <v>449</v>
      </c>
      <c r="E2458" s="22" t="s">
        <v>490</v>
      </c>
    </row>
    <row r="2459" spans="1:5" x14ac:dyDescent="0.25">
      <c r="A2459" s="35">
        <v>46030.578952048614</v>
      </c>
      <c r="B2459" s="22" t="s">
        <v>2495</v>
      </c>
      <c r="C2459" s="22" t="s">
        <v>489</v>
      </c>
      <c r="D2459" s="22" t="s">
        <v>469</v>
      </c>
      <c r="E2459" s="22" t="s">
        <v>490</v>
      </c>
    </row>
    <row r="2460" spans="1:5" x14ac:dyDescent="0.25">
      <c r="A2460" s="35">
        <v>46030.578953888893</v>
      </c>
      <c r="B2460" s="22" t="s">
        <v>2496</v>
      </c>
      <c r="C2460" s="22" t="s">
        <v>489</v>
      </c>
      <c r="D2460" s="22" t="s">
        <v>469</v>
      </c>
      <c r="E2460" s="22" t="s">
        <v>490</v>
      </c>
    </row>
    <row r="2461" spans="1:5" x14ac:dyDescent="0.25">
      <c r="A2461" s="35">
        <v>46030.578955636578</v>
      </c>
      <c r="B2461" s="22" t="s">
        <v>2497</v>
      </c>
      <c r="C2461" s="22" t="s">
        <v>489</v>
      </c>
      <c r="D2461" s="22" t="s">
        <v>500</v>
      </c>
      <c r="E2461" s="22" t="s">
        <v>490</v>
      </c>
    </row>
    <row r="2462" spans="1:5" x14ac:dyDescent="0.25">
      <c r="A2462" s="35">
        <v>46030.578957268517</v>
      </c>
      <c r="B2462" s="22" t="s">
        <v>2498</v>
      </c>
      <c r="C2462" s="22" t="s">
        <v>489</v>
      </c>
      <c r="D2462" s="22" t="s">
        <v>500</v>
      </c>
      <c r="E2462" s="22" t="s">
        <v>490</v>
      </c>
    </row>
    <row r="2463" spans="1:5" x14ac:dyDescent="0.25">
      <c r="A2463" s="35">
        <v>46030.578959039354</v>
      </c>
      <c r="B2463" s="22" t="s">
        <v>2499</v>
      </c>
      <c r="C2463" s="22" t="s">
        <v>489</v>
      </c>
      <c r="D2463" s="22" t="s">
        <v>500</v>
      </c>
      <c r="E2463" s="22" t="s">
        <v>490</v>
      </c>
    </row>
    <row r="2464" spans="1:5" x14ac:dyDescent="0.25">
      <c r="A2464" s="35">
        <v>46030.578973391202</v>
      </c>
      <c r="B2464" s="22" t="s">
        <v>2500</v>
      </c>
      <c r="C2464" s="22" t="s">
        <v>489</v>
      </c>
      <c r="D2464" s="22" t="s">
        <v>468</v>
      </c>
      <c r="E2464" s="22" t="s">
        <v>490</v>
      </c>
    </row>
    <row r="2465" spans="1:5" x14ac:dyDescent="0.25">
      <c r="A2465" s="35">
        <v>46030.578975150464</v>
      </c>
      <c r="B2465" s="22" t="s">
        <v>2501</v>
      </c>
      <c r="C2465" s="22" t="s">
        <v>482</v>
      </c>
      <c r="D2465" s="22" t="s">
        <v>449</v>
      </c>
      <c r="E2465" s="22" t="s">
        <v>490</v>
      </c>
    </row>
    <row r="2466" spans="1:5" x14ac:dyDescent="0.25">
      <c r="A2466" s="35">
        <v>46030.578976712961</v>
      </c>
      <c r="B2466" s="22" t="s">
        <v>2502</v>
      </c>
      <c r="C2466" s="22" t="s">
        <v>482</v>
      </c>
      <c r="D2466" s="22" t="s">
        <v>449</v>
      </c>
      <c r="E2466" s="22" t="s">
        <v>490</v>
      </c>
    </row>
    <row r="2467" spans="1:5" x14ac:dyDescent="0.25">
      <c r="A2467" s="35">
        <v>46030.578978611113</v>
      </c>
      <c r="B2467" s="22" t="s">
        <v>2503</v>
      </c>
      <c r="C2467" s="22" t="s">
        <v>482</v>
      </c>
      <c r="D2467" s="22" t="s">
        <v>449</v>
      </c>
      <c r="E2467" s="22" t="s">
        <v>490</v>
      </c>
    </row>
    <row r="2468" spans="1:5" x14ac:dyDescent="0.25">
      <c r="A2468" s="35">
        <v>46030.578985069442</v>
      </c>
      <c r="B2468" s="22" t="s">
        <v>2504</v>
      </c>
      <c r="C2468" s="22" t="s">
        <v>482</v>
      </c>
      <c r="D2468" s="22" t="s">
        <v>449</v>
      </c>
      <c r="E2468" s="22" t="s">
        <v>490</v>
      </c>
    </row>
    <row r="2469" spans="1:5" x14ac:dyDescent="0.25">
      <c r="A2469" s="35">
        <v>46030.578986851848</v>
      </c>
      <c r="B2469" s="22" t="s">
        <v>2505</v>
      </c>
      <c r="C2469" s="22" t="s">
        <v>489</v>
      </c>
      <c r="D2469" s="22" t="s">
        <v>500</v>
      </c>
      <c r="E2469" s="22" t="s">
        <v>490</v>
      </c>
    </row>
    <row r="2470" spans="1:5" x14ac:dyDescent="0.25">
      <c r="A2470" s="35">
        <v>46030.578988611116</v>
      </c>
      <c r="B2470" s="22" t="s">
        <v>2506</v>
      </c>
      <c r="C2470" s="22" t="s">
        <v>489</v>
      </c>
      <c r="D2470" s="22" t="s">
        <v>500</v>
      </c>
      <c r="E2470" s="22" t="s">
        <v>490</v>
      </c>
    </row>
    <row r="2471" spans="1:5" x14ac:dyDescent="0.25">
      <c r="A2471" s="35">
        <v>46030.578990428243</v>
      </c>
      <c r="B2471" s="22" t="s">
        <v>2507</v>
      </c>
      <c r="C2471" s="22" t="s">
        <v>489</v>
      </c>
      <c r="D2471" s="22" t="s">
        <v>500</v>
      </c>
      <c r="E2471" s="22" t="s">
        <v>490</v>
      </c>
    </row>
    <row r="2472" spans="1:5" x14ac:dyDescent="0.25">
      <c r="A2472" s="35">
        <v>46030.578992164352</v>
      </c>
      <c r="B2472" s="22" t="s">
        <v>2508</v>
      </c>
      <c r="C2472" s="22" t="s">
        <v>489</v>
      </c>
      <c r="D2472" s="22" t="s">
        <v>468</v>
      </c>
      <c r="E2472" s="22" t="s">
        <v>490</v>
      </c>
    </row>
    <row r="2473" spans="1:5" x14ac:dyDescent="0.25">
      <c r="A2473" s="35">
        <v>46030.578993958334</v>
      </c>
      <c r="B2473" s="22" t="s">
        <v>2509</v>
      </c>
      <c r="C2473" s="22" t="s">
        <v>489</v>
      </c>
      <c r="D2473" s="22" t="s">
        <v>500</v>
      </c>
      <c r="E2473" s="22" t="s">
        <v>490</v>
      </c>
    </row>
    <row r="2474" spans="1:5" x14ac:dyDescent="0.25">
      <c r="A2474" s="35">
        <v>46030.578995636577</v>
      </c>
      <c r="B2474" s="22" t="s">
        <v>2510</v>
      </c>
      <c r="C2474" s="22" t="s">
        <v>489</v>
      </c>
      <c r="D2474" s="22" t="s">
        <v>500</v>
      </c>
      <c r="E2474" s="22" t="s">
        <v>490</v>
      </c>
    </row>
    <row r="2475" spans="1:5" x14ac:dyDescent="0.25">
      <c r="A2475" s="35">
        <v>46030.578997291668</v>
      </c>
      <c r="B2475" s="22" t="s">
        <v>2511</v>
      </c>
      <c r="C2475" s="22" t="s">
        <v>482</v>
      </c>
      <c r="D2475" s="22" t="s">
        <v>449</v>
      </c>
      <c r="E2475" s="22" t="s">
        <v>490</v>
      </c>
    </row>
    <row r="2476" spans="1:5" x14ac:dyDescent="0.25">
      <c r="A2476" s="35">
        <v>46030.578998946759</v>
      </c>
      <c r="B2476" s="22" t="s">
        <v>2512</v>
      </c>
      <c r="C2476" s="22" t="s">
        <v>482</v>
      </c>
      <c r="D2476" s="22" t="s">
        <v>449</v>
      </c>
      <c r="E2476" s="22" t="s">
        <v>490</v>
      </c>
    </row>
    <row r="2477" spans="1:5" x14ac:dyDescent="0.25">
      <c r="A2477" s="35">
        <v>46030.579003356484</v>
      </c>
      <c r="B2477" s="22" t="s">
        <v>2513</v>
      </c>
      <c r="C2477" s="22" t="s">
        <v>482</v>
      </c>
      <c r="D2477" s="22" t="s">
        <v>449</v>
      </c>
      <c r="E2477" s="22" t="s">
        <v>490</v>
      </c>
    </row>
    <row r="2478" spans="1:5" x14ac:dyDescent="0.25">
      <c r="A2478" s="35">
        <v>46030.579005231484</v>
      </c>
      <c r="B2478" s="22" t="s">
        <v>2514</v>
      </c>
      <c r="C2478" s="22" t="s">
        <v>489</v>
      </c>
      <c r="D2478" s="22" t="s">
        <v>500</v>
      </c>
      <c r="E2478" s="22" t="s">
        <v>490</v>
      </c>
    </row>
    <row r="2479" spans="1:5" x14ac:dyDescent="0.25">
      <c r="A2479" s="35">
        <v>46030.579007002314</v>
      </c>
      <c r="B2479" s="22" t="s">
        <v>2515</v>
      </c>
      <c r="C2479" s="22" t="s">
        <v>489</v>
      </c>
      <c r="D2479" s="22" t="s">
        <v>468</v>
      </c>
      <c r="E2479" s="22" t="s">
        <v>490</v>
      </c>
    </row>
    <row r="2480" spans="1:5" x14ac:dyDescent="0.25">
      <c r="A2480" s="35">
        <v>46030.579008576387</v>
      </c>
      <c r="B2480" s="22" t="s">
        <v>2516</v>
      </c>
      <c r="C2480" s="22" t="s">
        <v>489</v>
      </c>
      <c r="D2480" s="22" t="s">
        <v>468</v>
      </c>
      <c r="E2480" s="22" t="s">
        <v>490</v>
      </c>
    </row>
    <row r="2481" spans="1:5" x14ac:dyDescent="0.25">
      <c r="A2481" s="35">
        <v>46030.579010358793</v>
      </c>
      <c r="B2481" s="22" t="s">
        <v>2517</v>
      </c>
      <c r="C2481" s="22" t="s">
        <v>489</v>
      </c>
      <c r="D2481" s="22" t="s">
        <v>468</v>
      </c>
      <c r="E2481" s="22" t="s">
        <v>490</v>
      </c>
    </row>
    <row r="2482" spans="1:5" x14ac:dyDescent="0.25">
      <c r="A2482" s="35">
        <v>46030.579012222224</v>
      </c>
      <c r="B2482" s="22" t="s">
        <v>2518</v>
      </c>
      <c r="C2482" s="22" t="s">
        <v>489</v>
      </c>
      <c r="D2482" s="22" t="s">
        <v>468</v>
      </c>
      <c r="E2482" s="22" t="s">
        <v>490</v>
      </c>
    </row>
    <row r="2483" spans="1:5" x14ac:dyDescent="0.25">
      <c r="A2483" s="35">
        <v>46030.579013900468</v>
      </c>
      <c r="B2483" s="22" t="s">
        <v>2519</v>
      </c>
      <c r="C2483" s="22" t="s">
        <v>489</v>
      </c>
      <c r="D2483" s="22" t="s">
        <v>469</v>
      </c>
      <c r="E2483" s="22" t="s">
        <v>490</v>
      </c>
    </row>
    <row r="2484" spans="1:5" x14ac:dyDescent="0.25">
      <c r="A2484" s="35">
        <v>46030.579015636569</v>
      </c>
      <c r="B2484" s="22" t="s">
        <v>2520</v>
      </c>
      <c r="C2484" s="22" t="s">
        <v>489</v>
      </c>
      <c r="D2484" s="22" t="s">
        <v>469</v>
      </c>
      <c r="E2484" s="22" t="s">
        <v>490</v>
      </c>
    </row>
    <row r="2485" spans="1:5" x14ac:dyDescent="0.25">
      <c r="A2485" s="35">
        <v>46030.579017372685</v>
      </c>
      <c r="B2485" s="22" t="s">
        <v>2521</v>
      </c>
      <c r="C2485" s="22" t="s">
        <v>489</v>
      </c>
      <c r="D2485" s="22" t="s">
        <v>468</v>
      </c>
      <c r="E2485" s="22" t="s">
        <v>490</v>
      </c>
    </row>
    <row r="2486" spans="1:5" x14ac:dyDescent="0.25">
      <c r="A2486" s="35">
        <v>46030.579019212964</v>
      </c>
      <c r="B2486" s="22" t="s">
        <v>2522</v>
      </c>
      <c r="C2486" s="22" t="s">
        <v>489</v>
      </c>
      <c r="D2486" s="22" t="s">
        <v>500</v>
      </c>
      <c r="E2486" s="22" t="s">
        <v>490</v>
      </c>
    </row>
    <row r="2487" spans="1:5" x14ac:dyDescent="0.25">
      <c r="A2487" s="35">
        <v>46030.579020879624</v>
      </c>
      <c r="B2487" s="22" t="s">
        <v>2523</v>
      </c>
      <c r="C2487" s="22" t="s">
        <v>489</v>
      </c>
      <c r="D2487" s="22" t="s">
        <v>500</v>
      </c>
      <c r="E2487" s="22" t="s">
        <v>490</v>
      </c>
    </row>
    <row r="2488" spans="1:5" x14ac:dyDescent="0.25">
      <c r="A2488" s="35">
        <v>46030.57902380787</v>
      </c>
      <c r="B2488" s="22" t="s">
        <v>2524</v>
      </c>
      <c r="C2488" s="22" t="s">
        <v>489</v>
      </c>
      <c r="D2488" s="22" t="s">
        <v>500</v>
      </c>
      <c r="E2488" s="22" t="s">
        <v>490</v>
      </c>
    </row>
    <row r="2489" spans="1:5" x14ac:dyDescent="0.25">
      <c r="A2489" s="35">
        <v>46030.579025567131</v>
      </c>
      <c r="B2489" s="22" t="s">
        <v>2525</v>
      </c>
      <c r="C2489" s="22" t="s">
        <v>489</v>
      </c>
      <c r="D2489" s="22" t="s">
        <v>500</v>
      </c>
      <c r="E2489" s="22" t="s">
        <v>490</v>
      </c>
    </row>
    <row r="2490" spans="1:5" x14ac:dyDescent="0.25">
      <c r="A2490" s="35">
        <v>46030.579027418979</v>
      </c>
      <c r="B2490" s="22" t="s">
        <v>2526</v>
      </c>
      <c r="C2490" s="22" t="s">
        <v>489</v>
      </c>
      <c r="D2490" s="22" t="s">
        <v>500</v>
      </c>
      <c r="E2490" s="22" t="s">
        <v>490</v>
      </c>
    </row>
    <row r="2491" spans="1:5" x14ac:dyDescent="0.25">
      <c r="A2491" s="35">
        <v>46030.579029143519</v>
      </c>
      <c r="B2491" s="22" t="s">
        <v>2527</v>
      </c>
      <c r="C2491" s="22" t="s">
        <v>489</v>
      </c>
      <c r="D2491" s="22" t="s">
        <v>500</v>
      </c>
      <c r="E2491" s="22" t="s">
        <v>490</v>
      </c>
    </row>
    <row r="2492" spans="1:5" x14ac:dyDescent="0.25">
      <c r="A2492" s="35">
        <v>46030.579030972222</v>
      </c>
      <c r="B2492" s="22" t="s">
        <v>2528</v>
      </c>
      <c r="C2492" s="22" t="s">
        <v>489</v>
      </c>
      <c r="D2492" s="22" t="s">
        <v>468</v>
      </c>
      <c r="E2492" s="22" t="s">
        <v>490</v>
      </c>
    </row>
    <row r="2493" spans="1:5" x14ac:dyDescent="0.25">
      <c r="A2493" s="35">
        <v>46030.579032696754</v>
      </c>
      <c r="B2493" s="22" t="s">
        <v>2529</v>
      </c>
      <c r="C2493" s="22" t="s">
        <v>489</v>
      </c>
      <c r="D2493" s="22" t="s">
        <v>468</v>
      </c>
      <c r="E2493" s="22" t="s">
        <v>490</v>
      </c>
    </row>
    <row r="2494" spans="1:5" x14ac:dyDescent="0.25">
      <c r="A2494" s="35">
        <v>46030.579034386574</v>
      </c>
      <c r="B2494" s="22" t="s">
        <v>2530</v>
      </c>
      <c r="C2494" s="22" t="s">
        <v>489</v>
      </c>
      <c r="D2494" s="22" t="s">
        <v>468</v>
      </c>
      <c r="E2494" s="22" t="s">
        <v>490</v>
      </c>
    </row>
    <row r="2495" spans="1:5" x14ac:dyDescent="0.25">
      <c r="A2495" s="35">
        <v>46030.579036249997</v>
      </c>
      <c r="B2495" s="22" t="s">
        <v>2531</v>
      </c>
      <c r="C2495" s="22" t="s">
        <v>489</v>
      </c>
      <c r="D2495" s="22" t="s">
        <v>500</v>
      </c>
      <c r="E2495" s="22" t="s">
        <v>490</v>
      </c>
    </row>
    <row r="2496" spans="1:5" x14ac:dyDescent="0.25">
      <c r="A2496" s="35">
        <v>46030.579037800926</v>
      </c>
      <c r="B2496" s="22" t="s">
        <v>2532</v>
      </c>
      <c r="C2496" s="22" t="s">
        <v>489</v>
      </c>
      <c r="D2496" s="22" t="s">
        <v>500</v>
      </c>
      <c r="E2496" s="22" t="s">
        <v>490</v>
      </c>
    </row>
    <row r="2497" spans="1:5" x14ac:dyDescent="0.25">
      <c r="A2497" s="35">
        <v>46030.579039537042</v>
      </c>
      <c r="B2497" s="22" t="s">
        <v>2533</v>
      </c>
      <c r="C2497" s="22" t="s">
        <v>489</v>
      </c>
      <c r="D2497" s="22" t="s">
        <v>500</v>
      </c>
      <c r="E2497" s="22" t="s">
        <v>490</v>
      </c>
    </row>
    <row r="2498" spans="1:5" x14ac:dyDescent="0.25">
      <c r="A2498" s="35">
        <v>46030.579041215278</v>
      </c>
      <c r="B2498" s="22" t="s">
        <v>2534</v>
      </c>
      <c r="C2498" s="22" t="s">
        <v>489</v>
      </c>
      <c r="D2498" s="22" t="s">
        <v>500</v>
      </c>
      <c r="E2498" s="22" t="s">
        <v>490</v>
      </c>
    </row>
    <row r="2499" spans="1:5" x14ac:dyDescent="0.25">
      <c r="A2499" s="35">
        <v>46030.579042800928</v>
      </c>
      <c r="B2499" s="22" t="s">
        <v>2535</v>
      </c>
      <c r="C2499" s="22" t="s">
        <v>489</v>
      </c>
      <c r="D2499" s="22" t="s">
        <v>468</v>
      </c>
      <c r="E2499" s="22" t="s">
        <v>490</v>
      </c>
    </row>
    <row r="2500" spans="1:5" x14ac:dyDescent="0.25">
      <c r="A2500" s="35">
        <v>46030.579044421298</v>
      </c>
      <c r="B2500" s="22" t="s">
        <v>2536</v>
      </c>
      <c r="C2500" s="22" t="s">
        <v>489</v>
      </c>
      <c r="D2500" s="22" t="s">
        <v>469</v>
      </c>
      <c r="E2500" s="22" t="s">
        <v>490</v>
      </c>
    </row>
    <row r="2501" spans="1:5" x14ac:dyDescent="0.25">
      <c r="A2501" s="35">
        <v>46030.579046076389</v>
      </c>
      <c r="B2501" s="22" t="s">
        <v>2537</v>
      </c>
      <c r="C2501" s="22" t="s">
        <v>489</v>
      </c>
      <c r="D2501" s="22" t="s">
        <v>500</v>
      </c>
      <c r="E2501" s="22" t="s">
        <v>490</v>
      </c>
    </row>
    <row r="2502" spans="1:5" x14ac:dyDescent="0.25">
      <c r="A2502" s="35">
        <v>46030.579047847219</v>
      </c>
      <c r="B2502" s="22" t="s">
        <v>2538</v>
      </c>
      <c r="C2502" s="22" t="s">
        <v>489</v>
      </c>
      <c r="D2502" s="22" t="s">
        <v>500</v>
      </c>
      <c r="E2502" s="22" t="s">
        <v>490</v>
      </c>
    </row>
    <row r="2503" spans="1:5" x14ac:dyDescent="0.25">
      <c r="A2503" s="35">
        <v>46030.579049340275</v>
      </c>
      <c r="B2503" s="22" t="s">
        <v>2539</v>
      </c>
      <c r="C2503" s="22" t="s">
        <v>489</v>
      </c>
      <c r="D2503" s="22" t="s">
        <v>500</v>
      </c>
      <c r="E2503" s="22" t="s">
        <v>490</v>
      </c>
    </row>
    <row r="2504" spans="1:5" x14ac:dyDescent="0.25">
      <c r="A2504" s="35">
        <v>46030.579050983797</v>
      </c>
      <c r="B2504" s="22" t="s">
        <v>2540</v>
      </c>
      <c r="C2504" s="22" t="s">
        <v>489</v>
      </c>
      <c r="D2504" s="22" t="s">
        <v>500</v>
      </c>
      <c r="E2504" s="22" t="s">
        <v>490</v>
      </c>
    </row>
    <row r="2505" spans="1:5" x14ac:dyDescent="0.25">
      <c r="A2505" s="35">
        <v>46030.579053009264</v>
      </c>
      <c r="B2505" s="22" t="s">
        <v>2541</v>
      </c>
      <c r="C2505" s="22" t="s">
        <v>489</v>
      </c>
      <c r="D2505" s="22" t="s">
        <v>500</v>
      </c>
      <c r="E2505" s="22" t="s">
        <v>490</v>
      </c>
    </row>
    <row r="2506" spans="1:5" x14ac:dyDescent="0.25">
      <c r="A2506" s="35">
        <v>46030.579057372684</v>
      </c>
      <c r="B2506" s="22" t="s">
        <v>2542</v>
      </c>
      <c r="C2506" s="22" t="s">
        <v>489</v>
      </c>
      <c r="D2506" s="22" t="s">
        <v>468</v>
      </c>
      <c r="E2506" s="22" t="s">
        <v>490</v>
      </c>
    </row>
    <row r="2507" spans="1:5" x14ac:dyDescent="0.25">
      <c r="A2507" s="35">
        <v>46030.579059039352</v>
      </c>
      <c r="B2507" s="22" t="s">
        <v>2543</v>
      </c>
      <c r="C2507" s="22" t="s">
        <v>489</v>
      </c>
      <c r="D2507" s="22" t="s">
        <v>500</v>
      </c>
      <c r="E2507" s="22" t="s">
        <v>490</v>
      </c>
    </row>
    <row r="2508" spans="1:5" x14ac:dyDescent="0.25">
      <c r="A2508" s="35">
        <v>46030.579060590273</v>
      </c>
      <c r="B2508" s="22" t="s">
        <v>2544</v>
      </c>
      <c r="C2508" s="22" t="s">
        <v>489</v>
      </c>
      <c r="D2508" s="22" t="s">
        <v>468</v>
      </c>
      <c r="E2508" s="22" t="s">
        <v>490</v>
      </c>
    </row>
    <row r="2509" spans="1:5" x14ac:dyDescent="0.25">
      <c r="A2509" s="35">
        <v>46030.57906207176</v>
      </c>
      <c r="B2509" s="22" t="s">
        <v>2545</v>
      </c>
      <c r="C2509" s="22" t="s">
        <v>489</v>
      </c>
      <c r="D2509" s="22" t="s">
        <v>500</v>
      </c>
      <c r="E2509" s="22" t="s">
        <v>490</v>
      </c>
    </row>
    <row r="2510" spans="1:5" x14ac:dyDescent="0.25">
      <c r="A2510" s="35">
        <v>46030.579063634257</v>
      </c>
      <c r="B2510" s="22" t="s">
        <v>2546</v>
      </c>
      <c r="C2510" s="22" t="s">
        <v>489</v>
      </c>
      <c r="D2510" s="22" t="s">
        <v>500</v>
      </c>
      <c r="E2510" s="22" t="s">
        <v>490</v>
      </c>
    </row>
    <row r="2511" spans="1:5" x14ac:dyDescent="0.25">
      <c r="A2511" s="35">
        <v>46030.579065613427</v>
      </c>
      <c r="B2511" s="22" t="s">
        <v>2547</v>
      </c>
      <c r="C2511" s="22" t="s">
        <v>489</v>
      </c>
      <c r="D2511" s="22" t="s">
        <v>500</v>
      </c>
      <c r="E2511" s="22" t="s">
        <v>490</v>
      </c>
    </row>
    <row r="2512" spans="1:5" x14ac:dyDescent="0.25">
      <c r="A2512" s="35">
        <v>46030.579067233797</v>
      </c>
      <c r="B2512" s="22" t="s">
        <v>2548</v>
      </c>
      <c r="C2512" s="22" t="s">
        <v>489</v>
      </c>
      <c r="D2512" s="22" t="s">
        <v>500</v>
      </c>
      <c r="E2512" s="22" t="s">
        <v>490</v>
      </c>
    </row>
    <row r="2513" spans="1:5" x14ac:dyDescent="0.25">
      <c r="A2513" s="35">
        <v>46030.579068912033</v>
      </c>
      <c r="B2513" s="22" t="s">
        <v>2549</v>
      </c>
      <c r="C2513" s="22" t="s">
        <v>489</v>
      </c>
      <c r="D2513" s="22" t="s">
        <v>468</v>
      </c>
      <c r="E2513" s="22" t="s">
        <v>490</v>
      </c>
    </row>
    <row r="2514" spans="1:5" x14ac:dyDescent="0.25">
      <c r="A2514" s="35">
        <v>46030.579070509259</v>
      </c>
      <c r="B2514" s="22" t="s">
        <v>2550</v>
      </c>
      <c r="C2514" s="22" t="s">
        <v>489</v>
      </c>
      <c r="D2514" s="22" t="s">
        <v>468</v>
      </c>
      <c r="E2514" s="22" t="s">
        <v>490</v>
      </c>
    </row>
    <row r="2515" spans="1:5" x14ac:dyDescent="0.25">
      <c r="A2515" s="35">
        <v>46030.579072164357</v>
      </c>
      <c r="B2515" s="22" t="s">
        <v>2551</v>
      </c>
      <c r="C2515" s="22" t="s">
        <v>482</v>
      </c>
      <c r="D2515" s="22" t="s">
        <v>449</v>
      </c>
      <c r="E2515" s="22" t="s">
        <v>490</v>
      </c>
    </row>
    <row r="2516" spans="1:5" x14ac:dyDescent="0.25">
      <c r="A2516" s="35">
        <v>46030.579084317127</v>
      </c>
      <c r="B2516" s="22" t="s">
        <v>2552</v>
      </c>
      <c r="C2516" s="22" t="s">
        <v>482</v>
      </c>
      <c r="D2516" s="22" t="s">
        <v>449</v>
      </c>
      <c r="E2516" s="22" t="s">
        <v>490</v>
      </c>
    </row>
    <row r="2517" spans="1:5" x14ac:dyDescent="0.25">
      <c r="A2517" s="35">
        <v>46030.579086030091</v>
      </c>
      <c r="B2517" s="22" t="s">
        <v>2553</v>
      </c>
      <c r="C2517" s="22" t="s">
        <v>482</v>
      </c>
      <c r="D2517" s="22" t="s">
        <v>449</v>
      </c>
      <c r="E2517" s="22" t="s">
        <v>490</v>
      </c>
    </row>
    <row r="2518" spans="1:5" x14ac:dyDescent="0.25">
      <c r="A2518" s="35">
        <v>46030.579087881946</v>
      </c>
      <c r="B2518" s="22" t="s">
        <v>2554</v>
      </c>
      <c r="C2518" s="22" t="s">
        <v>489</v>
      </c>
      <c r="D2518" s="22" t="s">
        <v>500</v>
      </c>
      <c r="E2518" s="22" t="s">
        <v>490</v>
      </c>
    </row>
    <row r="2519" spans="1:5" x14ac:dyDescent="0.25">
      <c r="A2519" s="35">
        <v>46030.579089583334</v>
      </c>
      <c r="B2519" s="22" t="s">
        <v>2555</v>
      </c>
      <c r="C2519" s="22" t="s">
        <v>489</v>
      </c>
      <c r="D2519" s="22" t="s">
        <v>468</v>
      </c>
      <c r="E2519" s="22" t="s">
        <v>490</v>
      </c>
    </row>
    <row r="2520" spans="1:5" x14ac:dyDescent="0.25">
      <c r="A2520" s="35">
        <v>46030.579092754633</v>
      </c>
      <c r="B2520" s="22" t="s">
        <v>2556</v>
      </c>
      <c r="C2520" s="22" t="s">
        <v>489</v>
      </c>
      <c r="D2520" s="22" t="s">
        <v>468</v>
      </c>
      <c r="E2520" s="22" t="s">
        <v>490</v>
      </c>
    </row>
    <row r="2521" spans="1:5" x14ac:dyDescent="0.25">
      <c r="A2521" s="35">
        <v>46030.579094375003</v>
      </c>
      <c r="B2521" s="22" t="s">
        <v>2557</v>
      </c>
      <c r="C2521" s="22" t="s">
        <v>489</v>
      </c>
      <c r="D2521" s="22" t="s">
        <v>500</v>
      </c>
      <c r="E2521" s="22" t="s">
        <v>490</v>
      </c>
    </row>
    <row r="2522" spans="1:5" x14ac:dyDescent="0.25">
      <c r="A2522" s="35">
        <v>46030.579096261572</v>
      </c>
      <c r="B2522" s="22" t="s">
        <v>2558</v>
      </c>
      <c r="C2522" s="22" t="s">
        <v>489</v>
      </c>
      <c r="D2522" s="22" t="s">
        <v>500</v>
      </c>
      <c r="E2522" s="22" t="s">
        <v>490</v>
      </c>
    </row>
    <row r="2523" spans="1:5" x14ac:dyDescent="0.25">
      <c r="A2523" s="35">
        <v>46030.579098009257</v>
      </c>
      <c r="B2523" s="22" t="s">
        <v>2559</v>
      </c>
      <c r="C2523" s="22" t="s">
        <v>489</v>
      </c>
      <c r="D2523" s="22" t="s">
        <v>500</v>
      </c>
      <c r="E2523" s="22" t="s">
        <v>490</v>
      </c>
    </row>
    <row r="2524" spans="1:5" x14ac:dyDescent="0.25">
      <c r="A2524" s="35">
        <v>46030.579099907409</v>
      </c>
      <c r="B2524" s="22" t="s">
        <v>2560</v>
      </c>
      <c r="C2524" s="22" t="s">
        <v>489</v>
      </c>
      <c r="D2524" s="22" t="s">
        <v>500</v>
      </c>
      <c r="E2524" s="22" t="s">
        <v>490</v>
      </c>
    </row>
    <row r="2525" spans="1:5" x14ac:dyDescent="0.25">
      <c r="A2525" s="35">
        <v>46030.579101712967</v>
      </c>
      <c r="B2525" s="22" t="s">
        <v>2561</v>
      </c>
      <c r="C2525" s="22" t="s">
        <v>489</v>
      </c>
      <c r="D2525" s="22" t="s">
        <v>582</v>
      </c>
      <c r="E2525" s="22" t="s">
        <v>490</v>
      </c>
    </row>
    <row r="2526" spans="1:5" x14ac:dyDescent="0.25">
      <c r="A2526" s="35">
        <v>46030.579111481478</v>
      </c>
      <c r="B2526" s="22" t="s">
        <v>2562</v>
      </c>
      <c r="C2526" s="22" t="s">
        <v>489</v>
      </c>
      <c r="D2526" s="22" t="s">
        <v>500</v>
      </c>
      <c r="E2526" s="22" t="s">
        <v>490</v>
      </c>
    </row>
    <row r="2527" spans="1:5" x14ac:dyDescent="0.25">
      <c r="A2527" s="35">
        <v>46030.579113148153</v>
      </c>
      <c r="B2527" s="22" t="s">
        <v>2563</v>
      </c>
      <c r="C2527" s="22" t="s">
        <v>482</v>
      </c>
      <c r="D2527" s="22" t="s">
        <v>449</v>
      </c>
      <c r="E2527" s="22" t="s">
        <v>490</v>
      </c>
    </row>
    <row r="2528" spans="1:5" x14ac:dyDescent="0.25">
      <c r="A2528" s="35">
        <v>46030.579115</v>
      </c>
      <c r="B2528" s="22" t="s">
        <v>2564</v>
      </c>
      <c r="C2528" s="22" t="s">
        <v>489</v>
      </c>
      <c r="D2528" s="22" t="s">
        <v>500</v>
      </c>
      <c r="E2528" s="22" t="s">
        <v>490</v>
      </c>
    </row>
    <row r="2529" spans="1:5" x14ac:dyDescent="0.25">
      <c r="A2529" s="35">
        <v>46030.579119108792</v>
      </c>
      <c r="B2529" s="22" t="s">
        <v>2565</v>
      </c>
      <c r="C2529" s="22" t="s">
        <v>489</v>
      </c>
      <c r="D2529" s="22" t="s">
        <v>500</v>
      </c>
      <c r="E2529" s="22" t="s">
        <v>490</v>
      </c>
    </row>
    <row r="2530" spans="1:5" x14ac:dyDescent="0.25">
      <c r="A2530" s="35">
        <v>46030.579120856477</v>
      </c>
      <c r="B2530" s="22" t="s">
        <v>2566</v>
      </c>
      <c r="C2530" s="22" t="s">
        <v>489</v>
      </c>
      <c r="D2530" s="22" t="s">
        <v>500</v>
      </c>
      <c r="E2530" s="22" t="s">
        <v>490</v>
      </c>
    </row>
    <row r="2531" spans="1:5" x14ac:dyDescent="0.25">
      <c r="A2531" s="35">
        <v>46030.579122523151</v>
      </c>
      <c r="B2531" s="22" t="s">
        <v>2567</v>
      </c>
      <c r="C2531" s="22" t="s">
        <v>489</v>
      </c>
      <c r="D2531" s="22" t="s">
        <v>500</v>
      </c>
      <c r="E2531" s="22" t="s">
        <v>490</v>
      </c>
    </row>
    <row r="2532" spans="1:5" x14ac:dyDescent="0.25">
      <c r="A2532" s="35">
        <v>46030.579124247684</v>
      </c>
      <c r="B2532" s="22" t="s">
        <v>2568</v>
      </c>
      <c r="C2532" s="22" t="s">
        <v>489</v>
      </c>
      <c r="D2532" s="22" t="s">
        <v>500</v>
      </c>
      <c r="E2532" s="22" t="s">
        <v>490</v>
      </c>
    </row>
    <row r="2533" spans="1:5" x14ac:dyDescent="0.25">
      <c r="A2533" s="35">
        <v>46030.579125925928</v>
      </c>
      <c r="B2533" s="22" t="s">
        <v>2569</v>
      </c>
      <c r="C2533" s="22" t="s">
        <v>489</v>
      </c>
      <c r="D2533" s="22" t="s">
        <v>500</v>
      </c>
      <c r="E2533" s="22" t="s">
        <v>490</v>
      </c>
    </row>
    <row r="2534" spans="1:5" x14ac:dyDescent="0.25">
      <c r="A2534" s="35">
        <v>46030.57912761574</v>
      </c>
      <c r="B2534" s="22" t="s">
        <v>2570</v>
      </c>
      <c r="C2534" s="22" t="s">
        <v>489</v>
      </c>
      <c r="D2534" s="22" t="s">
        <v>468</v>
      </c>
      <c r="E2534" s="22" t="s">
        <v>490</v>
      </c>
    </row>
    <row r="2535" spans="1:5" x14ac:dyDescent="0.25">
      <c r="A2535" s="35">
        <v>46030.579129583333</v>
      </c>
      <c r="B2535" s="22" t="s">
        <v>2571</v>
      </c>
      <c r="C2535" s="22" t="s">
        <v>489</v>
      </c>
      <c r="D2535" s="22" t="s">
        <v>500</v>
      </c>
      <c r="E2535" s="22" t="s">
        <v>490</v>
      </c>
    </row>
    <row r="2536" spans="1:5" x14ac:dyDescent="0.25">
      <c r="A2536" s="35">
        <v>46030.579131226856</v>
      </c>
      <c r="B2536" s="22" t="s">
        <v>2572</v>
      </c>
      <c r="C2536" s="22" t="s">
        <v>489</v>
      </c>
      <c r="D2536" s="22" t="s">
        <v>468</v>
      </c>
      <c r="E2536" s="22" t="s">
        <v>490</v>
      </c>
    </row>
    <row r="2537" spans="1:5" x14ac:dyDescent="0.25">
      <c r="A2537" s="35">
        <v>46030.579132881947</v>
      </c>
      <c r="B2537" s="22" t="s">
        <v>2573</v>
      </c>
      <c r="C2537" s="22" t="s">
        <v>482</v>
      </c>
      <c r="D2537" s="22" t="s">
        <v>449</v>
      </c>
      <c r="E2537" s="22" t="s">
        <v>490</v>
      </c>
    </row>
    <row r="2538" spans="1:5" x14ac:dyDescent="0.25">
      <c r="A2538" s="35">
        <v>46030.579134467596</v>
      </c>
      <c r="B2538" s="22" t="s">
        <v>2574</v>
      </c>
      <c r="C2538" s="22" t="s">
        <v>489</v>
      </c>
      <c r="D2538" s="22" t="s">
        <v>468</v>
      </c>
      <c r="E2538" s="22" t="s">
        <v>490</v>
      </c>
    </row>
    <row r="2539" spans="1:5" x14ac:dyDescent="0.25">
      <c r="A2539" s="35">
        <v>46030.579136192129</v>
      </c>
      <c r="B2539" s="22" t="s">
        <v>2575</v>
      </c>
      <c r="C2539" s="22" t="s">
        <v>489</v>
      </c>
      <c r="D2539" s="22" t="s">
        <v>500</v>
      </c>
      <c r="E2539" s="22" t="s">
        <v>490</v>
      </c>
    </row>
    <row r="2540" spans="1:5" x14ac:dyDescent="0.25">
      <c r="A2540" s="35">
        <v>46030.579137835652</v>
      </c>
      <c r="B2540" s="22" t="s">
        <v>2576</v>
      </c>
      <c r="C2540" s="22" t="s">
        <v>489</v>
      </c>
      <c r="D2540" s="22" t="s">
        <v>500</v>
      </c>
      <c r="E2540" s="22" t="s">
        <v>490</v>
      </c>
    </row>
    <row r="2541" spans="1:5" x14ac:dyDescent="0.25">
      <c r="A2541" s="35">
        <v>46030.579139421301</v>
      </c>
      <c r="B2541" s="22" t="s">
        <v>2577</v>
      </c>
      <c r="C2541" s="22" t="s">
        <v>489</v>
      </c>
      <c r="D2541" s="22" t="s">
        <v>500</v>
      </c>
      <c r="E2541" s="22" t="s">
        <v>490</v>
      </c>
    </row>
    <row r="2542" spans="1:5" x14ac:dyDescent="0.25">
      <c r="A2542" s="35">
        <v>46030.579148703706</v>
      </c>
      <c r="B2542" s="22" t="s">
        <v>2578</v>
      </c>
      <c r="C2542" s="22" t="s">
        <v>482</v>
      </c>
      <c r="D2542" s="22" t="s">
        <v>449</v>
      </c>
      <c r="E2542" s="22" t="s">
        <v>490</v>
      </c>
    </row>
    <row r="2543" spans="1:5" x14ac:dyDescent="0.25">
      <c r="A2543" s="35">
        <v>46030.579154560182</v>
      </c>
      <c r="B2543" s="22" t="s">
        <v>2579</v>
      </c>
      <c r="C2543" s="22" t="s">
        <v>482</v>
      </c>
      <c r="D2543" s="22" t="s">
        <v>449</v>
      </c>
      <c r="E2543" s="22" t="s">
        <v>490</v>
      </c>
    </row>
    <row r="2544" spans="1:5" x14ac:dyDescent="0.25">
      <c r="A2544" s="35">
        <v>46030.579157766202</v>
      </c>
      <c r="B2544" s="22" t="s">
        <v>2580</v>
      </c>
      <c r="C2544" s="22" t="s">
        <v>482</v>
      </c>
      <c r="D2544" s="22" t="s">
        <v>449</v>
      </c>
      <c r="E2544" s="22" t="s">
        <v>490</v>
      </c>
    </row>
    <row r="2545" spans="1:5" x14ac:dyDescent="0.25">
      <c r="A2545" s="35">
        <v>46030.579159328699</v>
      </c>
      <c r="B2545" s="22" t="s">
        <v>2581</v>
      </c>
      <c r="C2545" s="22" t="s">
        <v>482</v>
      </c>
      <c r="D2545" s="22" t="s">
        <v>449</v>
      </c>
      <c r="E2545" s="22" t="s">
        <v>490</v>
      </c>
    </row>
    <row r="2546" spans="1:5" x14ac:dyDescent="0.25">
      <c r="A2546" s="35">
        <v>46030.579161134257</v>
      </c>
      <c r="B2546" s="22" t="s">
        <v>2582</v>
      </c>
      <c r="C2546" s="22" t="s">
        <v>482</v>
      </c>
      <c r="D2546" s="22" t="s">
        <v>449</v>
      </c>
      <c r="E2546" s="22" t="s">
        <v>490</v>
      </c>
    </row>
    <row r="2547" spans="1:5" x14ac:dyDescent="0.25">
      <c r="A2547" s="35">
        <v>46030.579164363429</v>
      </c>
      <c r="B2547" s="22" t="s">
        <v>2583</v>
      </c>
      <c r="C2547" s="22" t="s">
        <v>489</v>
      </c>
      <c r="D2547" s="22" t="s">
        <v>468</v>
      </c>
      <c r="E2547" s="22" t="s">
        <v>490</v>
      </c>
    </row>
    <row r="2548" spans="1:5" x14ac:dyDescent="0.25">
      <c r="A2548" s="35">
        <v>46030.579166041665</v>
      </c>
      <c r="B2548" s="22" t="s">
        <v>2584</v>
      </c>
      <c r="C2548" s="22" t="s">
        <v>482</v>
      </c>
      <c r="D2548" s="22" t="s">
        <v>449</v>
      </c>
      <c r="E2548" s="22" t="s">
        <v>490</v>
      </c>
    </row>
    <row r="2549" spans="1:5" x14ac:dyDescent="0.25">
      <c r="A2549" s="35">
        <v>46030.579167557866</v>
      </c>
      <c r="B2549" s="22" t="s">
        <v>2585</v>
      </c>
      <c r="C2549" s="22" t="s">
        <v>489</v>
      </c>
      <c r="D2549" s="22" t="s">
        <v>500</v>
      </c>
      <c r="E2549" s="22" t="s">
        <v>490</v>
      </c>
    </row>
    <row r="2550" spans="1:5" x14ac:dyDescent="0.25">
      <c r="A2550" s="35">
        <v>46030.579169131946</v>
      </c>
      <c r="B2550" s="22" t="s">
        <v>2586</v>
      </c>
      <c r="C2550" s="22" t="s">
        <v>489</v>
      </c>
      <c r="D2550" s="22" t="s">
        <v>500</v>
      </c>
      <c r="E2550" s="22" t="s">
        <v>490</v>
      </c>
    </row>
    <row r="2551" spans="1:5" x14ac:dyDescent="0.25">
      <c r="A2551" s="35">
        <v>46030.57917060185</v>
      </c>
      <c r="B2551" s="22" t="s">
        <v>2587</v>
      </c>
      <c r="C2551" s="22" t="s">
        <v>489</v>
      </c>
      <c r="D2551" s="22" t="s">
        <v>500</v>
      </c>
      <c r="E2551" s="22" t="s">
        <v>490</v>
      </c>
    </row>
    <row r="2552" spans="1:5" x14ac:dyDescent="0.25">
      <c r="A2552" s="35">
        <v>46030.579172141202</v>
      </c>
      <c r="B2552" s="22" t="s">
        <v>2588</v>
      </c>
      <c r="C2552" s="22" t="s">
        <v>489</v>
      </c>
      <c r="D2552" s="22" t="s">
        <v>500</v>
      </c>
      <c r="E2552" s="22" t="s">
        <v>490</v>
      </c>
    </row>
    <row r="2553" spans="1:5" x14ac:dyDescent="0.25">
      <c r="A2553" s="35">
        <v>46030.579173645834</v>
      </c>
      <c r="B2553" s="22" t="s">
        <v>2589</v>
      </c>
      <c r="C2553" s="22" t="s">
        <v>489</v>
      </c>
      <c r="D2553" s="22" t="s">
        <v>468</v>
      </c>
      <c r="E2553" s="22" t="s">
        <v>490</v>
      </c>
    </row>
    <row r="2554" spans="1:5" x14ac:dyDescent="0.25">
      <c r="A2554" s="35">
        <v>46030.579175671301</v>
      </c>
      <c r="B2554" s="22" t="s">
        <v>2590</v>
      </c>
      <c r="C2554" s="22" t="s">
        <v>489</v>
      </c>
      <c r="D2554" s="22" t="s">
        <v>468</v>
      </c>
      <c r="E2554" s="22" t="s">
        <v>490</v>
      </c>
    </row>
    <row r="2555" spans="1:5" x14ac:dyDescent="0.25">
      <c r="A2555" s="35">
        <v>46030.579177118052</v>
      </c>
      <c r="B2555" s="22" t="s">
        <v>2591</v>
      </c>
      <c r="C2555" s="22" t="s">
        <v>489</v>
      </c>
      <c r="D2555" s="22" t="s">
        <v>500</v>
      </c>
      <c r="E2555" s="22" t="s">
        <v>490</v>
      </c>
    </row>
    <row r="2556" spans="1:5" x14ac:dyDescent="0.25">
      <c r="A2556" s="35">
        <v>46030.579178738422</v>
      </c>
      <c r="B2556" s="22" t="s">
        <v>2592</v>
      </c>
      <c r="C2556" s="22" t="s">
        <v>489</v>
      </c>
      <c r="D2556" s="22" t="s">
        <v>500</v>
      </c>
      <c r="E2556" s="22" t="s">
        <v>490</v>
      </c>
    </row>
    <row r="2557" spans="1:5" x14ac:dyDescent="0.25">
      <c r="A2557" s="35">
        <v>46030.579180312503</v>
      </c>
      <c r="B2557" s="22" t="s">
        <v>2593</v>
      </c>
      <c r="C2557" s="22" t="s">
        <v>489</v>
      </c>
      <c r="D2557" s="22" t="s">
        <v>500</v>
      </c>
      <c r="E2557" s="22" t="s">
        <v>490</v>
      </c>
    </row>
    <row r="2558" spans="1:5" x14ac:dyDescent="0.25">
      <c r="A2558" s="35">
        <v>46030.579181979163</v>
      </c>
      <c r="B2558" s="22" t="s">
        <v>2594</v>
      </c>
      <c r="C2558" s="22" t="s">
        <v>489</v>
      </c>
      <c r="D2558" s="22" t="s">
        <v>469</v>
      </c>
      <c r="E2558" s="22" t="s">
        <v>490</v>
      </c>
    </row>
    <row r="2559" spans="1:5" x14ac:dyDescent="0.25">
      <c r="A2559" s="35">
        <v>46030.579183599533</v>
      </c>
      <c r="B2559" s="22" t="s">
        <v>2595</v>
      </c>
      <c r="C2559" s="22" t="s">
        <v>482</v>
      </c>
      <c r="D2559" s="22" t="s">
        <v>449</v>
      </c>
      <c r="E2559" s="22" t="s">
        <v>490</v>
      </c>
    </row>
    <row r="2560" spans="1:5" x14ac:dyDescent="0.25">
      <c r="A2560" s="35">
        <v>46030.579185324073</v>
      </c>
      <c r="B2560" s="22" t="s">
        <v>2596</v>
      </c>
      <c r="C2560" s="22" t="s">
        <v>482</v>
      </c>
      <c r="D2560" s="22" t="s">
        <v>449</v>
      </c>
      <c r="E2560" s="22" t="s">
        <v>490</v>
      </c>
    </row>
    <row r="2561" spans="1:5" x14ac:dyDescent="0.25">
      <c r="A2561" s="35">
        <v>46030.579187002309</v>
      </c>
      <c r="B2561" s="22" t="s">
        <v>2597</v>
      </c>
      <c r="C2561" s="22" t="s">
        <v>482</v>
      </c>
      <c r="D2561" s="22" t="s">
        <v>449</v>
      </c>
      <c r="E2561" s="22" t="s">
        <v>490</v>
      </c>
    </row>
    <row r="2562" spans="1:5" x14ac:dyDescent="0.25">
      <c r="A2562" s="35">
        <v>46030.579189039352</v>
      </c>
      <c r="B2562" s="22" t="s">
        <v>2598</v>
      </c>
      <c r="C2562" s="22" t="s">
        <v>489</v>
      </c>
      <c r="D2562" s="22" t="s">
        <v>468</v>
      </c>
      <c r="E2562" s="22" t="s">
        <v>490</v>
      </c>
    </row>
    <row r="2563" spans="1:5" x14ac:dyDescent="0.25">
      <c r="A2563" s="35">
        <v>46030.579198263891</v>
      </c>
      <c r="B2563" s="22" t="s">
        <v>2599</v>
      </c>
      <c r="C2563" s="22" t="s">
        <v>489</v>
      </c>
      <c r="D2563" s="22" t="s">
        <v>468</v>
      </c>
      <c r="E2563" s="22" t="s">
        <v>490</v>
      </c>
    </row>
    <row r="2564" spans="1:5" x14ac:dyDescent="0.25">
      <c r="A2564" s="35">
        <v>46030.579206817129</v>
      </c>
      <c r="B2564" s="22" t="s">
        <v>2600</v>
      </c>
      <c r="C2564" s="22" t="s">
        <v>489</v>
      </c>
      <c r="D2564" s="22" t="s">
        <v>468</v>
      </c>
      <c r="E2564" s="22" t="s">
        <v>490</v>
      </c>
    </row>
    <row r="2565" spans="1:5" x14ac:dyDescent="0.25">
      <c r="A2565" s="35">
        <v>46030.579208310184</v>
      </c>
      <c r="B2565" s="22" t="s">
        <v>2601</v>
      </c>
      <c r="C2565" s="22" t="s">
        <v>489</v>
      </c>
      <c r="D2565" s="22" t="s">
        <v>500</v>
      </c>
      <c r="E2565" s="22" t="s">
        <v>490</v>
      </c>
    </row>
    <row r="2566" spans="1:5" x14ac:dyDescent="0.25">
      <c r="A2566" s="35">
        <v>46030.579220428241</v>
      </c>
      <c r="B2566" s="22" t="s">
        <v>2602</v>
      </c>
      <c r="C2566" s="22" t="s">
        <v>489</v>
      </c>
      <c r="D2566" s="22" t="s">
        <v>500</v>
      </c>
      <c r="E2566" s="22" t="s">
        <v>490</v>
      </c>
    </row>
    <row r="2567" spans="1:5" x14ac:dyDescent="0.25">
      <c r="A2567" s="35">
        <v>46030.579222025466</v>
      </c>
      <c r="B2567" s="22" t="s">
        <v>2603</v>
      </c>
      <c r="C2567" s="22" t="s">
        <v>489</v>
      </c>
      <c r="D2567" s="22" t="s">
        <v>468</v>
      </c>
      <c r="E2567" s="22" t="s">
        <v>490</v>
      </c>
    </row>
    <row r="2568" spans="1:5" x14ac:dyDescent="0.25">
      <c r="A2568" s="35">
        <v>46030.579223657405</v>
      </c>
      <c r="B2568" s="22" t="s">
        <v>2604</v>
      </c>
      <c r="C2568" s="22" t="s">
        <v>482</v>
      </c>
      <c r="D2568" s="22" t="s">
        <v>449</v>
      </c>
      <c r="E2568" s="22" t="s">
        <v>490</v>
      </c>
    </row>
    <row r="2569" spans="1:5" x14ac:dyDescent="0.25">
      <c r="A2569" s="35">
        <v>46030.579225127316</v>
      </c>
      <c r="B2569" s="22" t="s">
        <v>2605</v>
      </c>
      <c r="C2569" s="22" t="s">
        <v>489</v>
      </c>
      <c r="D2569" s="22" t="s">
        <v>468</v>
      </c>
      <c r="E2569" s="22" t="s">
        <v>490</v>
      </c>
    </row>
    <row r="2570" spans="1:5" x14ac:dyDescent="0.25">
      <c r="A2570" s="35">
        <v>46030.579226770831</v>
      </c>
      <c r="B2570" s="22" t="s">
        <v>2606</v>
      </c>
      <c r="C2570" s="22" t="s">
        <v>489</v>
      </c>
      <c r="D2570" s="22" t="s">
        <v>500</v>
      </c>
      <c r="E2570" s="22" t="s">
        <v>490</v>
      </c>
    </row>
    <row r="2571" spans="1:5" x14ac:dyDescent="0.25">
      <c r="A2571" s="35">
        <v>46030.579228437498</v>
      </c>
      <c r="B2571" s="22" t="s">
        <v>2607</v>
      </c>
      <c r="C2571" s="22" t="s">
        <v>489</v>
      </c>
      <c r="D2571" s="22" t="s">
        <v>500</v>
      </c>
      <c r="E2571" s="22" t="s">
        <v>490</v>
      </c>
    </row>
    <row r="2572" spans="1:5" x14ac:dyDescent="0.25">
      <c r="A2572" s="35">
        <v>46030.579229930554</v>
      </c>
      <c r="B2572" s="22" t="s">
        <v>2608</v>
      </c>
      <c r="C2572" s="22" t="s">
        <v>489</v>
      </c>
      <c r="D2572" s="22" t="s">
        <v>500</v>
      </c>
      <c r="E2572" s="22" t="s">
        <v>490</v>
      </c>
    </row>
    <row r="2573" spans="1:5" x14ac:dyDescent="0.25">
      <c r="A2573" s="35">
        <v>46030.579231597221</v>
      </c>
      <c r="B2573" s="22" t="s">
        <v>2609</v>
      </c>
      <c r="C2573" s="22" t="s">
        <v>489</v>
      </c>
      <c r="D2573" s="22" t="s">
        <v>500</v>
      </c>
      <c r="E2573" s="22" t="s">
        <v>490</v>
      </c>
    </row>
    <row r="2574" spans="1:5" x14ac:dyDescent="0.25">
      <c r="A2574" s="35">
        <v>46030.579233449069</v>
      </c>
      <c r="B2574" s="22" t="s">
        <v>2610</v>
      </c>
      <c r="C2574" s="22" t="s">
        <v>489</v>
      </c>
      <c r="D2574" s="22" t="s">
        <v>500</v>
      </c>
      <c r="E2574" s="22" t="s">
        <v>490</v>
      </c>
    </row>
    <row r="2575" spans="1:5" x14ac:dyDescent="0.25">
      <c r="A2575" s="35">
        <v>46030.579234953708</v>
      </c>
      <c r="B2575" s="22" t="s">
        <v>2611</v>
      </c>
      <c r="C2575" s="22" t="s">
        <v>489</v>
      </c>
      <c r="D2575" s="22" t="s">
        <v>468</v>
      </c>
      <c r="E2575" s="22" t="s">
        <v>490</v>
      </c>
    </row>
    <row r="2576" spans="1:5" x14ac:dyDescent="0.25">
      <c r="A2576" s="35">
        <v>46030.579236562495</v>
      </c>
      <c r="B2576" s="22" t="s">
        <v>2612</v>
      </c>
      <c r="C2576" s="22" t="s">
        <v>489</v>
      </c>
      <c r="D2576" s="22" t="s">
        <v>468</v>
      </c>
      <c r="E2576" s="22" t="s">
        <v>490</v>
      </c>
    </row>
    <row r="2577" spans="1:5" x14ac:dyDescent="0.25">
      <c r="A2577" s="35">
        <v>46030.579238113423</v>
      </c>
      <c r="B2577" s="22" t="s">
        <v>2613</v>
      </c>
      <c r="C2577" s="22" t="s">
        <v>489</v>
      </c>
      <c r="D2577" s="22" t="s">
        <v>500</v>
      </c>
      <c r="E2577" s="22" t="s">
        <v>490</v>
      </c>
    </row>
    <row r="2578" spans="1:5" x14ac:dyDescent="0.25">
      <c r="A2578" s="35">
        <v>46030.579239583334</v>
      </c>
      <c r="B2578" s="22" t="s">
        <v>2614</v>
      </c>
      <c r="C2578" s="22" t="s">
        <v>489</v>
      </c>
      <c r="D2578" s="22" t="s">
        <v>500</v>
      </c>
      <c r="E2578" s="22" t="s">
        <v>490</v>
      </c>
    </row>
    <row r="2579" spans="1:5" x14ac:dyDescent="0.25">
      <c r="A2579" s="35">
        <v>46030.579246990739</v>
      </c>
      <c r="B2579" s="22" t="s">
        <v>2615</v>
      </c>
      <c r="C2579" s="22" t="s">
        <v>489</v>
      </c>
      <c r="D2579" s="22" t="s">
        <v>468</v>
      </c>
      <c r="E2579" s="22" t="s">
        <v>490</v>
      </c>
    </row>
    <row r="2580" spans="1:5" x14ac:dyDescent="0.25">
      <c r="A2580" s="35">
        <v>46030.579248599533</v>
      </c>
      <c r="B2580" s="22" t="s">
        <v>2616</v>
      </c>
      <c r="C2580" s="22" t="s">
        <v>489</v>
      </c>
      <c r="D2580" s="22" t="s">
        <v>468</v>
      </c>
      <c r="E2580" s="22" t="s">
        <v>490</v>
      </c>
    </row>
    <row r="2581" spans="1:5" x14ac:dyDescent="0.25">
      <c r="A2581" s="35">
        <v>46030.579250451388</v>
      </c>
      <c r="B2581" s="22" t="s">
        <v>2617</v>
      </c>
      <c r="C2581" s="22" t="s">
        <v>489</v>
      </c>
      <c r="D2581" s="22" t="s">
        <v>468</v>
      </c>
      <c r="E2581" s="22" t="s">
        <v>490</v>
      </c>
    </row>
    <row r="2582" spans="1:5" x14ac:dyDescent="0.25">
      <c r="A2582" s="35">
        <v>46030.579252210649</v>
      </c>
      <c r="B2582" s="22" t="s">
        <v>2618</v>
      </c>
      <c r="C2582" s="22" t="s">
        <v>489</v>
      </c>
      <c r="D2582" s="22" t="s">
        <v>468</v>
      </c>
      <c r="E2582" s="22" t="s">
        <v>490</v>
      </c>
    </row>
    <row r="2583" spans="1:5" x14ac:dyDescent="0.25">
      <c r="A2583" s="35">
        <v>46030.579253854172</v>
      </c>
      <c r="B2583" s="22" t="s">
        <v>2619</v>
      </c>
      <c r="C2583" s="22" t="s">
        <v>489</v>
      </c>
      <c r="D2583" s="22" t="s">
        <v>469</v>
      </c>
      <c r="E2583" s="22" t="s">
        <v>490</v>
      </c>
    </row>
    <row r="2584" spans="1:5" x14ac:dyDescent="0.25">
      <c r="A2584" s="35">
        <v>46030.579255428238</v>
      </c>
      <c r="B2584" s="22" t="s">
        <v>2620</v>
      </c>
      <c r="C2584" s="22" t="s">
        <v>489</v>
      </c>
      <c r="D2584" s="22" t="s">
        <v>582</v>
      </c>
      <c r="E2584" s="22" t="s">
        <v>490</v>
      </c>
    </row>
    <row r="2585" spans="1:5" x14ac:dyDescent="0.25">
      <c r="A2585" s="35">
        <v>46030.579256967598</v>
      </c>
      <c r="B2585" s="22" t="s">
        <v>2621</v>
      </c>
      <c r="C2585" s="22" t="s">
        <v>489</v>
      </c>
      <c r="D2585" s="22" t="s">
        <v>500</v>
      </c>
      <c r="E2585" s="22" t="s">
        <v>490</v>
      </c>
    </row>
    <row r="2586" spans="1:5" x14ac:dyDescent="0.25">
      <c r="A2586" s="35">
        <v>46030.579258437501</v>
      </c>
      <c r="B2586" s="22" t="s">
        <v>2622</v>
      </c>
      <c r="C2586" s="22" t="s">
        <v>489</v>
      </c>
      <c r="D2586" s="22" t="s">
        <v>468</v>
      </c>
      <c r="E2586" s="22" t="s">
        <v>490</v>
      </c>
    </row>
    <row r="2587" spans="1:5" x14ac:dyDescent="0.25">
      <c r="A2587" s="35">
        <v>46030.579259942126</v>
      </c>
      <c r="B2587" s="22" t="s">
        <v>2623</v>
      </c>
      <c r="C2587" s="22" t="s">
        <v>482</v>
      </c>
      <c r="D2587" s="22" t="s">
        <v>449</v>
      </c>
      <c r="E2587" s="22" t="s">
        <v>490</v>
      </c>
    </row>
    <row r="2588" spans="1:5" x14ac:dyDescent="0.25">
      <c r="A2588" s="35">
        <v>46030.579261435181</v>
      </c>
      <c r="B2588" s="22" t="s">
        <v>2624</v>
      </c>
      <c r="C2588" s="22" t="s">
        <v>489</v>
      </c>
      <c r="D2588" s="22" t="s">
        <v>468</v>
      </c>
      <c r="E2588" s="22" t="s">
        <v>490</v>
      </c>
    </row>
    <row r="2589" spans="1:5" x14ac:dyDescent="0.25">
      <c r="A2589" s="35">
        <v>46030.579262997686</v>
      </c>
      <c r="B2589" s="22" t="s">
        <v>2625</v>
      </c>
      <c r="C2589" s="22" t="s">
        <v>489</v>
      </c>
      <c r="D2589" s="22" t="s">
        <v>468</v>
      </c>
      <c r="E2589" s="22" t="s">
        <v>490</v>
      </c>
    </row>
    <row r="2590" spans="1:5" x14ac:dyDescent="0.25">
      <c r="A2590" s="35">
        <v>46030.579265</v>
      </c>
      <c r="B2590" s="22" t="s">
        <v>2626</v>
      </c>
      <c r="C2590" s="22" t="s">
        <v>489</v>
      </c>
      <c r="D2590" s="22" t="s">
        <v>492</v>
      </c>
      <c r="E2590" s="22" t="s">
        <v>490</v>
      </c>
    </row>
    <row r="2591" spans="1:5" x14ac:dyDescent="0.25">
      <c r="A2591" s="35">
        <v>46030.579266736109</v>
      </c>
      <c r="B2591" s="22" t="s">
        <v>2627</v>
      </c>
      <c r="C2591" s="22" t="s">
        <v>489</v>
      </c>
      <c r="D2591" s="22" t="s">
        <v>468</v>
      </c>
      <c r="E2591" s="22" t="s">
        <v>490</v>
      </c>
    </row>
    <row r="2592" spans="1:5" x14ac:dyDescent="0.25">
      <c r="A2592" s="35">
        <v>46030.579268275462</v>
      </c>
      <c r="B2592" s="22" t="s">
        <v>2628</v>
      </c>
      <c r="C2592" s="22" t="s">
        <v>489</v>
      </c>
      <c r="D2592" s="22" t="s">
        <v>469</v>
      </c>
      <c r="E2592" s="22" t="s">
        <v>490</v>
      </c>
    </row>
    <row r="2593" spans="1:5" x14ac:dyDescent="0.25">
      <c r="A2593" s="35">
        <v>46030.579269884256</v>
      </c>
      <c r="B2593" s="22" t="s">
        <v>2629</v>
      </c>
      <c r="C2593" s="22" t="s">
        <v>489</v>
      </c>
      <c r="D2593" s="22" t="s">
        <v>468</v>
      </c>
      <c r="E2593" s="22" t="s">
        <v>490</v>
      </c>
    </row>
    <row r="2594" spans="1:5" x14ac:dyDescent="0.25">
      <c r="A2594" s="35">
        <v>46030.579271446761</v>
      </c>
      <c r="B2594" s="22" t="s">
        <v>2630</v>
      </c>
      <c r="C2594" s="22" t="s">
        <v>482</v>
      </c>
      <c r="D2594" s="22" t="s">
        <v>449</v>
      </c>
      <c r="E2594" s="22" t="s">
        <v>490</v>
      </c>
    </row>
    <row r="2595" spans="1:5" x14ac:dyDescent="0.25">
      <c r="A2595" s="35">
        <v>46030.579273043986</v>
      </c>
      <c r="B2595" s="22" t="s">
        <v>2631</v>
      </c>
      <c r="C2595" s="22" t="s">
        <v>482</v>
      </c>
      <c r="D2595" s="22" t="s">
        <v>449</v>
      </c>
      <c r="E2595" s="22" t="s">
        <v>490</v>
      </c>
    </row>
    <row r="2596" spans="1:5" x14ac:dyDescent="0.25">
      <c r="A2596" s="35">
        <v>46030.579274594907</v>
      </c>
      <c r="B2596" s="22" t="s">
        <v>2632</v>
      </c>
      <c r="C2596" s="22" t="s">
        <v>482</v>
      </c>
      <c r="D2596" s="22" t="s">
        <v>449</v>
      </c>
      <c r="E2596" s="22" t="s">
        <v>490</v>
      </c>
    </row>
    <row r="2597" spans="1:5" x14ac:dyDescent="0.25">
      <c r="A2597" s="35">
        <v>46030.579276238423</v>
      </c>
      <c r="B2597" s="22" t="s">
        <v>2633</v>
      </c>
      <c r="C2597" s="22" t="s">
        <v>482</v>
      </c>
      <c r="D2597" s="22" t="s">
        <v>449</v>
      </c>
      <c r="E2597" s="22" t="s">
        <v>490</v>
      </c>
    </row>
    <row r="2598" spans="1:5" x14ac:dyDescent="0.25">
      <c r="A2598" s="35">
        <v>46030.579278078701</v>
      </c>
      <c r="B2598" s="22" t="s">
        <v>2634</v>
      </c>
      <c r="C2598" s="22" t="s">
        <v>489</v>
      </c>
      <c r="D2598" s="22" t="s">
        <v>468</v>
      </c>
      <c r="E2598" s="22" t="s">
        <v>490</v>
      </c>
    </row>
    <row r="2599" spans="1:5" x14ac:dyDescent="0.25">
      <c r="A2599" s="35">
        <v>46030.579279780097</v>
      </c>
      <c r="B2599" s="22" t="s">
        <v>2635</v>
      </c>
      <c r="C2599" s="22" t="s">
        <v>489</v>
      </c>
      <c r="D2599" s="22" t="s">
        <v>468</v>
      </c>
      <c r="E2599" s="22" t="s">
        <v>490</v>
      </c>
    </row>
    <row r="2600" spans="1:5" x14ac:dyDescent="0.25">
      <c r="A2600" s="35">
        <v>46030.579281365739</v>
      </c>
      <c r="B2600" s="22" t="s">
        <v>2636</v>
      </c>
      <c r="C2600" s="22" t="s">
        <v>489</v>
      </c>
      <c r="D2600" s="22" t="s">
        <v>500</v>
      </c>
      <c r="E2600" s="22" t="s">
        <v>490</v>
      </c>
    </row>
    <row r="2601" spans="1:5" x14ac:dyDescent="0.25">
      <c r="A2601" s="35">
        <v>46030.579282962964</v>
      </c>
      <c r="B2601" s="22" t="s">
        <v>2637</v>
      </c>
      <c r="C2601" s="22" t="s">
        <v>489</v>
      </c>
      <c r="D2601" s="22" t="s">
        <v>500</v>
      </c>
      <c r="E2601" s="22" t="s">
        <v>490</v>
      </c>
    </row>
    <row r="2602" spans="1:5" x14ac:dyDescent="0.25">
      <c r="A2602" s="35">
        <v>46030.579284490741</v>
      </c>
      <c r="B2602" s="22" t="s">
        <v>2638</v>
      </c>
      <c r="C2602" s="22" t="s">
        <v>489</v>
      </c>
      <c r="D2602" s="22" t="s">
        <v>468</v>
      </c>
      <c r="E2602" s="22" t="s">
        <v>490</v>
      </c>
    </row>
    <row r="2603" spans="1:5" x14ac:dyDescent="0.25">
      <c r="A2603" s="35">
        <v>46030.579285995365</v>
      </c>
      <c r="B2603" s="22" t="s">
        <v>2639</v>
      </c>
      <c r="C2603" s="22" t="s">
        <v>489</v>
      </c>
      <c r="D2603" s="22" t="s">
        <v>492</v>
      </c>
      <c r="E2603" s="22" t="s">
        <v>490</v>
      </c>
    </row>
    <row r="2604" spans="1:5" x14ac:dyDescent="0.25">
      <c r="A2604" s="35">
        <v>46030.579287835644</v>
      </c>
      <c r="B2604" s="22" t="s">
        <v>2640</v>
      </c>
      <c r="C2604" s="22" t="s">
        <v>489</v>
      </c>
      <c r="D2604" s="22" t="s">
        <v>468</v>
      </c>
      <c r="E2604" s="22" t="s">
        <v>490</v>
      </c>
    </row>
    <row r="2605" spans="1:5" x14ac:dyDescent="0.25">
      <c r="A2605" s="35">
        <v>46030.579290173613</v>
      </c>
      <c r="B2605" s="22" t="s">
        <v>2641</v>
      </c>
      <c r="C2605" s="22" t="s">
        <v>482</v>
      </c>
      <c r="D2605" s="22" t="s">
        <v>449</v>
      </c>
      <c r="E2605" s="22" t="s">
        <v>490</v>
      </c>
    </row>
    <row r="2606" spans="1:5" x14ac:dyDescent="0.25">
      <c r="A2606" s="35">
        <v>46030.579291666669</v>
      </c>
      <c r="B2606" s="22" t="s">
        <v>2642</v>
      </c>
      <c r="C2606" s="22" t="s">
        <v>482</v>
      </c>
      <c r="D2606" s="22" t="s">
        <v>449</v>
      </c>
      <c r="E2606" s="22" t="s">
        <v>490</v>
      </c>
    </row>
    <row r="2607" spans="1:5" x14ac:dyDescent="0.25">
      <c r="A2607" s="35">
        <v>46030.579293356481</v>
      </c>
      <c r="B2607" s="22" t="s">
        <v>2643</v>
      </c>
      <c r="C2607" s="22" t="s">
        <v>482</v>
      </c>
      <c r="D2607" s="22" t="s">
        <v>449</v>
      </c>
      <c r="E2607" s="22" t="s">
        <v>490</v>
      </c>
    </row>
    <row r="2608" spans="1:5" x14ac:dyDescent="0.25">
      <c r="A2608" s="35">
        <v>46030.579295706018</v>
      </c>
      <c r="B2608" s="22" t="s">
        <v>2644</v>
      </c>
      <c r="C2608" s="22" t="s">
        <v>482</v>
      </c>
      <c r="D2608" s="22" t="s">
        <v>449</v>
      </c>
      <c r="E2608" s="22" t="s">
        <v>490</v>
      </c>
    </row>
    <row r="2609" spans="1:5" x14ac:dyDescent="0.25">
      <c r="A2609" s="35">
        <v>46030.579297256947</v>
      </c>
      <c r="B2609" s="22" t="s">
        <v>2645</v>
      </c>
      <c r="C2609" s="22" t="s">
        <v>489</v>
      </c>
      <c r="D2609" s="22" t="s">
        <v>469</v>
      </c>
      <c r="E2609" s="22" t="s">
        <v>490</v>
      </c>
    </row>
    <row r="2610" spans="1:5" x14ac:dyDescent="0.25">
      <c r="A2610" s="35">
        <v>46030.579298831013</v>
      </c>
      <c r="B2610" s="22" t="s">
        <v>2646</v>
      </c>
      <c r="C2610" s="22" t="s">
        <v>489</v>
      </c>
      <c r="D2610" s="22" t="s">
        <v>469</v>
      </c>
      <c r="E2610" s="22" t="s">
        <v>490</v>
      </c>
    </row>
    <row r="2611" spans="1:5" x14ac:dyDescent="0.25">
      <c r="A2611" s="35">
        <v>46030.579300405094</v>
      </c>
      <c r="B2611" s="22" t="s">
        <v>2647</v>
      </c>
      <c r="C2611" s="22" t="s">
        <v>489</v>
      </c>
      <c r="D2611" s="22" t="s">
        <v>468</v>
      </c>
      <c r="E2611" s="22" t="s">
        <v>490</v>
      </c>
    </row>
    <row r="2612" spans="1:5" x14ac:dyDescent="0.25">
      <c r="A2612" s="35">
        <v>46030.579301851853</v>
      </c>
      <c r="B2612" s="22" t="s">
        <v>2648</v>
      </c>
      <c r="C2612" s="22" t="s">
        <v>489</v>
      </c>
      <c r="D2612" s="22" t="s">
        <v>468</v>
      </c>
      <c r="E2612" s="22" t="s">
        <v>490</v>
      </c>
    </row>
    <row r="2613" spans="1:5" x14ac:dyDescent="0.25">
      <c r="A2613" s="35">
        <v>46030.57930326389</v>
      </c>
      <c r="B2613" s="22" t="s">
        <v>2649</v>
      </c>
      <c r="C2613" s="22" t="s">
        <v>489</v>
      </c>
      <c r="D2613" s="22" t="s">
        <v>468</v>
      </c>
      <c r="E2613" s="22" t="s">
        <v>490</v>
      </c>
    </row>
    <row r="2614" spans="1:5" x14ac:dyDescent="0.25">
      <c r="A2614" s="35">
        <v>46030.579304861109</v>
      </c>
      <c r="B2614" s="22" t="s">
        <v>2650</v>
      </c>
      <c r="C2614" s="22" t="s">
        <v>489</v>
      </c>
      <c r="D2614" s="22" t="s">
        <v>500</v>
      </c>
      <c r="E2614" s="22" t="s">
        <v>490</v>
      </c>
    </row>
    <row r="2615" spans="1:5" x14ac:dyDescent="0.25">
      <c r="A2615" s="35">
        <v>46030.579316111107</v>
      </c>
      <c r="B2615" s="22" t="s">
        <v>2651</v>
      </c>
      <c r="C2615" s="22" t="s">
        <v>482</v>
      </c>
      <c r="D2615" s="22" t="s">
        <v>449</v>
      </c>
      <c r="E2615" s="22" t="s">
        <v>490</v>
      </c>
    </row>
    <row r="2616" spans="1:5" x14ac:dyDescent="0.25">
      <c r="A2616" s="35">
        <v>46030.579317824071</v>
      </c>
      <c r="B2616" s="22" t="s">
        <v>2652</v>
      </c>
      <c r="C2616" s="22" t="s">
        <v>482</v>
      </c>
      <c r="D2616" s="22" t="s">
        <v>449</v>
      </c>
      <c r="E2616" s="22" t="s">
        <v>490</v>
      </c>
    </row>
    <row r="2617" spans="1:5" x14ac:dyDescent="0.25">
      <c r="A2617" s="35">
        <v>46030.579319583332</v>
      </c>
      <c r="B2617" s="22" t="s">
        <v>2653</v>
      </c>
      <c r="C2617" s="22" t="s">
        <v>489</v>
      </c>
      <c r="D2617" s="22" t="s">
        <v>500</v>
      </c>
      <c r="E2617" s="22" t="s">
        <v>490</v>
      </c>
    </row>
    <row r="2618" spans="1:5" x14ac:dyDescent="0.25">
      <c r="A2618" s="35">
        <v>46030.5793218287</v>
      </c>
      <c r="B2618" s="22" t="s">
        <v>2654</v>
      </c>
      <c r="C2618" s="22" t="s">
        <v>489</v>
      </c>
      <c r="D2618" s="22" t="s">
        <v>500</v>
      </c>
      <c r="E2618" s="22" t="s">
        <v>490</v>
      </c>
    </row>
    <row r="2619" spans="1:5" x14ac:dyDescent="0.25">
      <c r="A2619" s="35">
        <v>46030.579323437501</v>
      </c>
      <c r="B2619" s="22" t="s">
        <v>2655</v>
      </c>
      <c r="C2619" s="22" t="s">
        <v>489</v>
      </c>
      <c r="D2619" s="22" t="s">
        <v>500</v>
      </c>
      <c r="E2619" s="22" t="s">
        <v>490</v>
      </c>
    </row>
    <row r="2620" spans="1:5" x14ac:dyDescent="0.25">
      <c r="A2620" s="35">
        <v>46030.579326412037</v>
      </c>
      <c r="B2620" s="22" t="s">
        <v>2656</v>
      </c>
      <c r="C2620" s="22" t="s">
        <v>489</v>
      </c>
      <c r="D2620" s="22" t="s">
        <v>468</v>
      </c>
      <c r="E2620" s="22" t="s">
        <v>490</v>
      </c>
    </row>
    <row r="2621" spans="1:5" x14ac:dyDescent="0.25">
      <c r="A2621" s="35">
        <v>46030.579328009262</v>
      </c>
      <c r="B2621" s="22" t="s">
        <v>2657</v>
      </c>
      <c r="C2621" s="22" t="s">
        <v>489</v>
      </c>
      <c r="D2621" s="22" t="s">
        <v>469</v>
      </c>
      <c r="E2621" s="22" t="s">
        <v>490</v>
      </c>
    </row>
    <row r="2622" spans="1:5" x14ac:dyDescent="0.25">
      <c r="A2622" s="35">
        <v>46030.579329756947</v>
      </c>
      <c r="B2622" s="22" t="s">
        <v>2658</v>
      </c>
      <c r="C2622" s="22" t="s">
        <v>489</v>
      </c>
      <c r="D2622" s="22" t="s">
        <v>468</v>
      </c>
      <c r="E2622" s="22" t="s">
        <v>490</v>
      </c>
    </row>
    <row r="2623" spans="1:5" x14ac:dyDescent="0.25">
      <c r="A2623" s="35">
        <v>46030.579331296292</v>
      </c>
      <c r="B2623" s="22" t="s">
        <v>2659</v>
      </c>
      <c r="C2623" s="22" t="s">
        <v>489</v>
      </c>
      <c r="D2623" s="22" t="s">
        <v>500</v>
      </c>
      <c r="E2623" s="22" t="s">
        <v>490</v>
      </c>
    </row>
    <row r="2624" spans="1:5" x14ac:dyDescent="0.25">
      <c r="A2624" s="35">
        <v>46030.579332870373</v>
      </c>
      <c r="B2624" s="22" t="s">
        <v>2660</v>
      </c>
      <c r="C2624" s="22" t="s">
        <v>489</v>
      </c>
      <c r="D2624" s="22" t="s">
        <v>500</v>
      </c>
      <c r="E2624" s="22" t="s">
        <v>490</v>
      </c>
    </row>
    <row r="2625" spans="1:5" x14ac:dyDescent="0.25">
      <c r="A2625" s="35">
        <v>46030.579334780094</v>
      </c>
      <c r="B2625" s="22" t="s">
        <v>2661</v>
      </c>
      <c r="C2625" s="22" t="s">
        <v>489</v>
      </c>
      <c r="D2625" s="22" t="s">
        <v>468</v>
      </c>
      <c r="E2625" s="22" t="s">
        <v>490</v>
      </c>
    </row>
    <row r="2626" spans="1:5" x14ac:dyDescent="0.25">
      <c r="A2626" s="35">
        <v>46030.579336331022</v>
      </c>
      <c r="B2626" s="22" t="s">
        <v>2662</v>
      </c>
      <c r="C2626" s="22" t="s">
        <v>489</v>
      </c>
      <c r="D2626" s="22" t="s">
        <v>468</v>
      </c>
      <c r="E2626" s="22" t="s">
        <v>490</v>
      </c>
    </row>
    <row r="2627" spans="1:5" x14ac:dyDescent="0.25">
      <c r="A2627" s="35">
        <v>46030.579337835647</v>
      </c>
      <c r="B2627" s="22" t="s">
        <v>2663</v>
      </c>
      <c r="C2627" s="22" t="s">
        <v>489</v>
      </c>
      <c r="D2627" s="22" t="s">
        <v>469</v>
      </c>
      <c r="E2627" s="22" t="s">
        <v>490</v>
      </c>
    </row>
    <row r="2628" spans="1:5" x14ac:dyDescent="0.25">
      <c r="A2628" s="35">
        <v>46030.579339479169</v>
      </c>
      <c r="B2628" s="22" t="s">
        <v>2664</v>
      </c>
      <c r="C2628" s="22" t="s">
        <v>489</v>
      </c>
      <c r="D2628" s="22" t="s">
        <v>468</v>
      </c>
      <c r="E2628" s="22" t="s">
        <v>490</v>
      </c>
    </row>
    <row r="2629" spans="1:5" x14ac:dyDescent="0.25">
      <c r="A2629" s="35">
        <v>46030.5793408912</v>
      </c>
      <c r="B2629" s="22" t="s">
        <v>2665</v>
      </c>
      <c r="C2629" s="22" t="s">
        <v>489</v>
      </c>
      <c r="D2629" s="22" t="s">
        <v>468</v>
      </c>
      <c r="E2629" s="22" t="s">
        <v>490</v>
      </c>
    </row>
    <row r="2630" spans="1:5" x14ac:dyDescent="0.25">
      <c r="A2630" s="35">
        <v>46030.579342372686</v>
      </c>
      <c r="B2630" s="22" t="s">
        <v>2666</v>
      </c>
      <c r="C2630" s="22" t="s">
        <v>489</v>
      </c>
      <c r="D2630" s="22" t="s">
        <v>468</v>
      </c>
      <c r="E2630" s="22" t="s">
        <v>490</v>
      </c>
    </row>
    <row r="2631" spans="1:5" x14ac:dyDescent="0.25">
      <c r="A2631" s="35">
        <v>46030.579343819445</v>
      </c>
      <c r="B2631" s="22" t="s">
        <v>2667</v>
      </c>
      <c r="C2631" s="22" t="s">
        <v>489</v>
      </c>
      <c r="D2631" s="22" t="s">
        <v>500</v>
      </c>
      <c r="E2631" s="22" t="s">
        <v>490</v>
      </c>
    </row>
    <row r="2632" spans="1:5" x14ac:dyDescent="0.25">
      <c r="A2632" s="35">
        <v>46030.579347673614</v>
      </c>
      <c r="B2632" s="22" t="s">
        <v>2668</v>
      </c>
      <c r="C2632" s="22" t="s">
        <v>489</v>
      </c>
      <c r="D2632" s="22" t="s">
        <v>468</v>
      </c>
      <c r="E2632" s="22" t="s">
        <v>490</v>
      </c>
    </row>
    <row r="2633" spans="1:5" x14ac:dyDescent="0.25">
      <c r="A2633" s="35">
        <v>46030.579349155094</v>
      </c>
      <c r="B2633" s="22" t="s">
        <v>2669</v>
      </c>
      <c r="C2633" s="22" t="s">
        <v>489</v>
      </c>
      <c r="D2633" s="22" t="s">
        <v>468</v>
      </c>
      <c r="E2633" s="22" t="s">
        <v>490</v>
      </c>
    </row>
    <row r="2634" spans="1:5" x14ac:dyDescent="0.25">
      <c r="A2634" s="35">
        <v>46030.579350891203</v>
      </c>
      <c r="B2634" s="22" t="s">
        <v>2670</v>
      </c>
      <c r="C2634" s="22" t="s">
        <v>489</v>
      </c>
      <c r="D2634" s="22" t="s">
        <v>500</v>
      </c>
      <c r="E2634" s="22" t="s">
        <v>490</v>
      </c>
    </row>
    <row r="2635" spans="1:5" x14ac:dyDescent="0.25">
      <c r="A2635" s="35">
        <v>46030.579355844908</v>
      </c>
      <c r="B2635" s="22" t="s">
        <v>2671</v>
      </c>
      <c r="C2635" s="22" t="s">
        <v>489</v>
      </c>
      <c r="D2635" s="22" t="s">
        <v>468</v>
      </c>
      <c r="E2635" s="22" t="s">
        <v>490</v>
      </c>
    </row>
    <row r="2636" spans="1:5" x14ac:dyDescent="0.25">
      <c r="A2636" s="35">
        <v>46030.579357407405</v>
      </c>
      <c r="B2636" s="22" t="s">
        <v>2672</v>
      </c>
      <c r="C2636" s="22" t="s">
        <v>489</v>
      </c>
      <c r="D2636" s="22" t="s">
        <v>468</v>
      </c>
      <c r="E2636" s="22" t="s">
        <v>490</v>
      </c>
    </row>
    <row r="2637" spans="1:5" x14ac:dyDescent="0.25">
      <c r="A2637" s="35">
        <v>46030.579358958334</v>
      </c>
      <c r="B2637" s="22" t="s">
        <v>2673</v>
      </c>
      <c r="C2637" s="22" t="s">
        <v>482</v>
      </c>
      <c r="D2637" s="22" t="s">
        <v>449</v>
      </c>
      <c r="E2637" s="22" t="s">
        <v>490</v>
      </c>
    </row>
    <row r="2638" spans="1:5" x14ac:dyDescent="0.25">
      <c r="A2638" s="35">
        <v>46030.579360543983</v>
      </c>
      <c r="B2638" s="22" t="s">
        <v>2674</v>
      </c>
      <c r="C2638" s="22" t="s">
        <v>489</v>
      </c>
      <c r="D2638" s="22" t="s">
        <v>469</v>
      </c>
      <c r="E2638" s="22" t="s">
        <v>490</v>
      </c>
    </row>
    <row r="2639" spans="1:5" x14ac:dyDescent="0.25">
      <c r="A2639" s="35">
        <v>46030.579362083328</v>
      </c>
      <c r="B2639" s="22" t="s">
        <v>2675</v>
      </c>
      <c r="C2639" s="22" t="s">
        <v>489</v>
      </c>
      <c r="D2639" s="22" t="s">
        <v>468</v>
      </c>
      <c r="E2639" s="22" t="s">
        <v>490</v>
      </c>
    </row>
    <row r="2640" spans="1:5" x14ac:dyDescent="0.25">
      <c r="A2640" s="35">
        <v>46030.57936481481</v>
      </c>
      <c r="B2640" s="22" t="s">
        <v>2676</v>
      </c>
      <c r="C2640" s="22" t="s">
        <v>489</v>
      </c>
      <c r="D2640" s="22" t="s">
        <v>468</v>
      </c>
      <c r="E2640" s="22" t="s">
        <v>490</v>
      </c>
    </row>
    <row r="2641" spans="1:5" x14ac:dyDescent="0.25">
      <c r="A2641" s="35">
        <v>46030.579366319449</v>
      </c>
      <c r="B2641" s="22" t="s">
        <v>2677</v>
      </c>
      <c r="C2641" s="22" t="s">
        <v>489</v>
      </c>
      <c r="D2641" s="22" t="s">
        <v>500</v>
      </c>
      <c r="E2641" s="22" t="s">
        <v>490</v>
      </c>
    </row>
    <row r="2642" spans="1:5" x14ac:dyDescent="0.25">
      <c r="A2642" s="35">
        <v>46030.579367951388</v>
      </c>
      <c r="B2642" s="22" t="s">
        <v>2678</v>
      </c>
      <c r="C2642" s="22" t="s">
        <v>482</v>
      </c>
      <c r="D2642" s="22" t="s">
        <v>449</v>
      </c>
      <c r="E2642" s="22" t="s">
        <v>490</v>
      </c>
    </row>
    <row r="2643" spans="1:5" x14ac:dyDescent="0.25">
      <c r="A2643" s="35">
        <v>46030.579369664352</v>
      </c>
      <c r="B2643" s="22" t="s">
        <v>2679</v>
      </c>
      <c r="C2643" s="22" t="s">
        <v>489</v>
      </c>
      <c r="D2643" s="22" t="s">
        <v>468</v>
      </c>
      <c r="E2643" s="22" t="s">
        <v>490</v>
      </c>
    </row>
    <row r="2644" spans="1:5" x14ac:dyDescent="0.25">
      <c r="A2644" s="35">
        <v>46030.579371597225</v>
      </c>
      <c r="B2644" s="22" t="s">
        <v>2680</v>
      </c>
      <c r="C2644" s="22" t="s">
        <v>482</v>
      </c>
      <c r="D2644" s="22" t="s">
        <v>449</v>
      </c>
      <c r="E2644" s="22" t="s">
        <v>490</v>
      </c>
    </row>
    <row r="2645" spans="1:5" x14ac:dyDescent="0.25">
      <c r="A2645" s="35">
        <v>46030.579373310189</v>
      </c>
      <c r="B2645" s="22" t="s">
        <v>2681</v>
      </c>
      <c r="C2645" s="22" t="s">
        <v>489</v>
      </c>
      <c r="D2645" s="22" t="s">
        <v>468</v>
      </c>
      <c r="E2645" s="22" t="s">
        <v>490</v>
      </c>
    </row>
    <row r="2646" spans="1:5" x14ac:dyDescent="0.25">
      <c r="A2646" s="35">
        <v>46030.579375162037</v>
      </c>
      <c r="B2646" s="22" t="s">
        <v>2682</v>
      </c>
      <c r="C2646" s="22" t="s">
        <v>482</v>
      </c>
      <c r="D2646" s="22" t="s">
        <v>449</v>
      </c>
      <c r="E2646" s="22" t="s">
        <v>490</v>
      </c>
    </row>
    <row r="2647" spans="1:5" x14ac:dyDescent="0.25">
      <c r="A2647" s="35">
        <v>46030.579377615737</v>
      </c>
      <c r="B2647" s="22" t="s">
        <v>2683</v>
      </c>
      <c r="C2647" s="22" t="s">
        <v>482</v>
      </c>
      <c r="D2647" s="22" t="s">
        <v>449</v>
      </c>
      <c r="E2647" s="22" t="s">
        <v>490</v>
      </c>
    </row>
    <row r="2648" spans="1:5" x14ac:dyDescent="0.25">
      <c r="A2648" s="35">
        <v>46030.579379340277</v>
      </c>
      <c r="B2648" s="22" t="s">
        <v>2684</v>
      </c>
      <c r="C2648" s="22" t="s">
        <v>482</v>
      </c>
      <c r="D2648" s="22" t="s">
        <v>449</v>
      </c>
      <c r="E2648" s="22" t="s">
        <v>490</v>
      </c>
    </row>
    <row r="2649" spans="1:5" x14ac:dyDescent="0.25">
      <c r="A2649" s="35">
        <v>46030.579381053241</v>
      </c>
      <c r="B2649" s="22" t="s">
        <v>2685</v>
      </c>
      <c r="C2649" s="22" t="s">
        <v>489</v>
      </c>
      <c r="D2649" s="22" t="s">
        <v>468</v>
      </c>
      <c r="E2649" s="22" t="s">
        <v>490</v>
      </c>
    </row>
    <row r="2650" spans="1:5" x14ac:dyDescent="0.25">
      <c r="A2650" s="35">
        <v>46030.579382638884</v>
      </c>
      <c r="B2650" s="22" t="s">
        <v>2686</v>
      </c>
      <c r="C2650" s="22" t="s">
        <v>482</v>
      </c>
      <c r="D2650" s="22" t="s">
        <v>449</v>
      </c>
      <c r="E2650" s="22" t="s">
        <v>490</v>
      </c>
    </row>
    <row r="2651" spans="1:5" x14ac:dyDescent="0.25">
      <c r="A2651" s="35">
        <v>46030.583487592594</v>
      </c>
      <c r="B2651" s="22" t="s">
        <v>2687</v>
      </c>
      <c r="C2651" s="22" t="s">
        <v>489</v>
      </c>
      <c r="D2651" s="22" t="s">
        <v>2458</v>
      </c>
      <c r="E2651" s="22" t="s">
        <v>1999</v>
      </c>
    </row>
    <row r="2652" spans="1:5" x14ac:dyDescent="0.25">
      <c r="A2652" s="35">
        <v>46030.584458518519</v>
      </c>
      <c r="B2652" s="22" t="s">
        <v>2688</v>
      </c>
      <c r="C2652" s="22" t="s">
        <v>489</v>
      </c>
      <c r="D2652" s="22" t="s">
        <v>2458</v>
      </c>
      <c r="E2652" s="22" t="s">
        <v>1895</v>
      </c>
    </row>
    <row r="2653" spans="1:5" x14ac:dyDescent="0.25">
      <c r="A2653" s="35">
        <v>46030.584467673616</v>
      </c>
      <c r="B2653" s="22" t="s">
        <v>2689</v>
      </c>
      <c r="C2653" s="22" t="s">
        <v>489</v>
      </c>
      <c r="D2653" s="22" t="s">
        <v>2458</v>
      </c>
      <c r="E2653" s="22" t="s">
        <v>1895</v>
      </c>
    </row>
    <row r="2654" spans="1:5" x14ac:dyDescent="0.25">
      <c r="A2654" s="35">
        <v>46030.584470300921</v>
      </c>
      <c r="B2654" s="22" t="s">
        <v>2690</v>
      </c>
      <c r="C2654" s="22" t="s">
        <v>489</v>
      </c>
      <c r="D2654" s="22" t="s">
        <v>2458</v>
      </c>
      <c r="E2654" s="22" t="s">
        <v>1895</v>
      </c>
    </row>
    <row r="2655" spans="1:5" x14ac:dyDescent="0.25">
      <c r="A2655" s="35">
        <v>46030.584472511575</v>
      </c>
      <c r="B2655" s="22" t="s">
        <v>2691</v>
      </c>
      <c r="C2655" s="22" t="s">
        <v>489</v>
      </c>
      <c r="D2655" s="22" t="s">
        <v>2458</v>
      </c>
      <c r="E2655" s="22" t="s">
        <v>1895</v>
      </c>
    </row>
    <row r="2656" spans="1:5" x14ac:dyDescent="0.25">
      <c r="A2656" s="35">
        <v>46030.585996770838</v>
      </c>
      <c r="B2656" s="22" t="s">
        <v>2692</v>
      </c>
      <c r="C2656" s="22" t="s">
        <v>482</v>
      </c>
      <c r="D2656" s="22" t="s">
        <v>451</v>
      </c>
      <c r="E2656" s="22" t="s">
        <v>1895</v>
      </c>
    </row>
    <row r="2657" spans="1:5" x14ac:dyDescent="0.25">
      <c r="A2657" s="35">
        <v>46030.585998923612</v>
      </c>
      <c r="B2657" s="22" t="s">
        <v>2693</v>
      </c>
      <c r="C2657" s="22" t="s">
        <v>482</v>
      </c>
      <c r="D2657" s="22" t="s">
        <v>451</v>
      </c>
      <c r="E2657" s="22" t="s">
        <v>1895</v>
      </c>
    </row>
    <row r="2658" spans="1:5" x14ac:dyDescent="0.25">
      <c r="A2658" s="35">
        <v>46030.586000891199</v>
      </c>
      <c r="B2658" s="22" t="s">
        <v>2694</v>
      </c>
      <c r="C2658" s="22" t="s">
        <v>482</v>
      </c>
      <c r="D2658" s="22" t="s">
        <v>451</v>
      </c>
      <c r="E2658" s="22" t="s">
        <v>1895</v>
      </c>
    </row>
    <row r="2659" spans="1:5" x14ac:dyDescent="0.25">
      <c r="A2659" s="35">
        <v>46030.586002893513</v>
      </c>
      <c r="B2659" s="22" t="s">
        <v>2695</v>
      </c>
      <c r="C2659" s="22" t="s">
        <v>482</v>
      </c>
      <c r="D2659" s="22" t="s">
        <v>451</v>
      </c>
      <c r="E2659" s="22" t="s">
        <v>1895</v>
      </c>
    </row>
    <row r="2660" spans="1:5" x14ac:dyDescent="0.25">
      <c r="A2660" s="35">
        <v>46030.586004930556</v>
      </c>
      <c r="B2660" s="22" t="s">
        <v>2696</v>
      </c>
      <c r="C2660" s="22" t="s">
        <v>482</v>
      </c>
      <c r="D2660" s="22" t="s">
        <v>451</v>
      </c>
      <c r="E2660" s="22" t="s">
        <v>1895</v>
      </c>
    </row>
    <row r="2661" spans="1:5" x14ac:dyDescent="0.25">
      <c r="A2661" s="35">
        <v>46030.586219803241</v>
      </c>
      <c r="B2661" s="22" t="s">
        <v>2697</v>
      </c>
      <c r="C2661" s="22" t="s">
        <v>482</v>
      </c>
      <c r="D2661" s="22" t="s">
        <v>449</v>
      </c>
      <c r="E2661" s="22" t="s">
        <v>1999</v>
      </c>
    </row>
    <row r="2662" spans="1:5" x14ac:dyDescent="0.25">
      <c r="A2662" s="35">
        <v>46030.586317604168</v>
      </c>
      <c r="B2662" s="22" t="s">
        <v>2698</v>
      </c>
      <c r="C2662" s="22" t="s">
        <v>482</v>
      </c>
      <c r="D2662" s="22" t="s">
        <v>468</v>
      </c>
      <c r="E2662" s="22" t="s">
        <v>1999</v>
      </c>
    </row>
    <row r="2663" spans="1:5" x14ac:dyDescent="0.25">
      <c r="A2663" s="35">
        <v>46030.591715752314</v>
      </c>
      <c r="B2663" s="22" t="s">
        <v>2699</v>
      </c>
      <c r="C2663" s="22" t="s">
        <v>489</v>
      </c>
      <c r="D2663" s="22" t="s">
        <v>492</v>
      </c>
      <c r="E2663" s="22" t="s">
        <v>1895</v>
      </c>
    </row>
    <row r="2664" spans="1:5" x14ac:dyDescent="0.25">
      <c r="A2664" s="35">
        <v>46030.591717372685</v>
      </c>
      <c r="B2664" s="22" t="s">
        <v>2700</v>
      </c>
      <c r="C2664" s="22" t="s">
        <v>489</v>
      </c>
      <c r="D2664" s="22" t="s">
        <v>492</v>
      </c>
      <c r="E2664" s="22" t="s">
        <v>1895</v>
      </c>
    </row>
    <row r="2665" spans="1:5" x14ac:dyDescent="0.25">
      <c r="A2665" s="35">
        <v>46030.591718761571</v>
      </c>
      <c r="B2665" s="22" t="s">
        <v>2701</v>
      </c>
      <c r="C2665" s="22" t="s">
        <v>489</v>
      </c>
      <c r="D2665" s="22" t="s">
        <v>492</v>
      </c>
      <c r="E2665" s="22" t="s">
        <v>1895</v>
      </c>
    </row>
    <row r="2666" spans="1:5" x14ac:dyDescent="0.25">
      <c r="A2666" s="35">
        <v>46030.591727673615</v>
      </c>
      <c r="B2666" s="22" t="s">
        <v>2702</v>
      </c>
      <c r="C2666" s="22" t="s">
        <v>489</v>
      </c>
      <c r="D2666" s="22" t="s">
        <v>492</v>
      </c>
      <c r="E2666" s="22" t="s">
        <v>1895</v>
      </c>
    </row>
    <row r="2667" spans="1:5" x14ac:dyDescent="0.25">
      <c r="A2667" s="35">
        <v>46030.591729282409</v>
      </c>
      <c r="B2667" s="22" t="s">
        <v>2703</v>
      </c>
      <c r="C2667" s="22" t="s">
        <v>489</v>
      </c>
      <c r="D2667" s="22" t="s">
        <v>492</v>
      </c>
      <c r="E2667" s="22" t="s">
        <v>1895</v>
      </c>
    </row>
    <row r="2668" spans="1:5" x14ac:dyDescent="0.25">
      <c r="A2668" s="35">
        <v>46030.592445937495</v>
      </c>
      <c r="B2668" s="22" t="s">
        <v>2704</v>
      </c>
      <c r="C2668" s="22" t="s">
        <v>489</v>
      </c>
      <c r="D2668" s="22" t="s">
        <v>468</v>
      </c>
      <c r="E2668" s="22" t="s">
        <v>1999</v>
      </c>
    </row>
    <row r="2669" spans="1:5" x14ac:dyDescent="0.25">
      <c r="A2669" s="35">
        <v>46030.592554884264</v>
      </c>
      <c r="B2669" s="22" t="s">
        <v>2705</v>
      </c>
      <c r="C2669" s="22" t="s">
        <v>489</v>
      </c>
      <c r="D2669" s="22" t="s">
        <v>468</v>
      </c>
      <c r="E2669" s="22" t="s">
        <v>1999</v>
      </c>
    </row>
    <row r="2670" spans="1:5" x14ac:dyDescent="0.25">
      <c r="A2670" s="35">
        <v>46030.593321597218</v>
      </c>
      <c r="B2670" s="22" t="s">
        <v>2706</v>
      </c>
      <c r="C2670" s="22" t="s">
        <v>489</v>
      </c>
      <c r="D2670" s="22" t="s">
        <v>582</v>
      </c>
      <c r="E2670" s="22" t="s">
        <v>1999</v>
      </c>
    </row>
    <row r="2671" spans="1:5" x14ac:dyDescent="0.25">
      <c r="A2671" s="35">
        <v>46030.593428935186</v>
      </c>
      <c r="B2671" s="22" t="s">
        <v>2707</v>
      </c>
      <c r="C2671" s="22" t="s">
        <v>489</v>
      </c>
      <c r="D2671" s="22" t="s">
        <v>470</v>
      </c>
      <c r="E2671" s="22" t="s">
        <v>1999</v>
      </c>
    </row>
    <row r="2672" spans="1:5" x14ac:dyDescent="0.25">
      <c r="A2672" s="35">
        <v>46030.593521377319</v>
      </c>
      <c r="B2672" s="22" t="s">
        <v>2708</v>
      </c>
      <c r="C2672" s="22" t="s">
        <v>489</v>
      </c>
      <c r="D2672" s="22" t="s">
        <v>470</v>
      </c>
      <c r="E2672" s="22" t="s">
        <v>1999</v>
      </c>
    </row>
    <row r="2673" spans="1:5" x14ac:dyDescent="0.25">
      <c r="A2673" s="35">
        <v>46030.594011655092</v>
      </c>
      <c r="B2673" s="22" t="s">
        <v>2709</v>
      </c>
      <c r="C2673" s="22" t="s">
        <v>489</v>
      </c>
      <c r="D2673" s="22" t="s">
        <v>468</v>
      </c>
      <c r="E2673" s="22" t="s">
        <v>1999</v>
      </c>
    </row>
    <row r="2674" spans="1:5" x14ac:dyDescent="0.25">
      <c r="A2674" s="35">
        <v>46030.595183645833</v>
      </c>
      <c r="B2674" s="22" t="s">
        <v>2710</v>
      </c>
      <c r="C2674" s="22" t="s">
        <v>489</v>
      </c>
      <c r="D2674" s="22" t="s">
        <v>450</v>
      </c>
      <c r="E2674" s="22" t="s">
        <v>1895</v>
      </c>
    </row>
    <row r="2675" spans="1:5" x14ac:dyDescent="0.25">
      <c r="A2675" s="35">
        <v>46030.595188749998</v>
      </c>
      <c r="B2675" s="22" t="s">
        <v>2711</v>
      </c>
      <c r="C2675" s="22" t="s">
        <v>489</v>
      </c>
      <c r="D2675" s="22" t="s">
        <v>450</v>
      </c>
      <c r="E2675" s="22" t="s">
        <v>1895</v>
      </c>
    </row>
    <row r="2676" spans="1:5" x14ac:dyDescent="0.25">
      <c r="A2676" s="35">
        <v>46030.595190578708</v>
      </c>
      <c r="B2676" s="22" t="s">
        <v>2712</v>
      </c>
      <c r="C2676" s="22" t="s">
        <v>489</v>
      </c>
      <c r="D2676" s="22" t="s">
        <v>450</v>
      </c>
      <c r="E2676" s="22" t="s">
        <v>1895</v>
      </c>
    </row>
    <row r="2677" spans="1:5" x14ac:dyDescent="0.25">
      <c r="A2677" s="35">
        <v>46030.595196828705</v>
      </c>
      <c r="B2677" s="22" t="s">
        <v>2713</v>
      </c>
      <c r="C2677" s="22" t="s">
        <v>489</v>
      </c>
      <c r="D2677" s="22" t="s">
        <v>450</v>
      </c>
      <c r="E2677" s="22" t="s">
        <v>1895</v>
      </c>
    </row>
    <row r="2678" spans="1:5" x14ac:dyDescent="0.25">
      <c r="A2678" s="35">
        <v>46030.59519876157</v>
      </c>
      <c r="B2678" s="22" t="s">
        <v>2714</v>
      </c>
      <c r="C2678" s="22" t="s">
        <v>489</v>
      </c>
      <c r="D2678" s="22" t="s">
        <v>450</v>
      </c>
      <c r="E2678" s="22" t="s">
        <v>1895</v>
      </c>
    </row>
    <row r="2679" spans="1:5" x14ac:dyDescent="0.25">
      <c r="A2679" s="35">
        <v>46030.595210069441</v>
      </c>
      <c r="B2679" s="22" t="s">
        <v>2715</v>
      </c>
      <c r="C2679" s="22" t="s">
        <v>489</v>
      </c>
      <c r="D2679" s="22" t="s">
        <v>450</v>
      </c>
      <c r="E2679" s="22" t="s">
        <v>1895</v>
      </c>
    </row>
    <row r="2680" spans="1:5" x14ac:dyDescent="0.25">
      <c r="A2680" s="35">
        <v>46030.595211736116</v>
      </c>
      <c r="B2680" s="22" t="s">
        <v>2716</v>
      </c>
      <c r="C2680" s="22" t="s">
        <v>489</v>
      </c>
      <c r="D2680" s="22" t="s">
        <v>450</v>
      </c>
      <c r="E2680" s="22" t="s">
        <v>1895</v>
      </c>
    </row>
    <row r="2681" spans="1:5" x14ac:dyDescent="0.25">
      <c r="A2681" s="35">
        <v>46030.595213414352</v>
      </c>
      <c r="B2681" s="22" t="s">
        <v>2717</v>
      </c>
      <c r="C2681" s="22" t="s">
        <v>489</v>
      </c>
      <c r="D2681" s="22" t="s">
        <v>450</v>
      </c>
      <c r="E2681" s="22" t="s">
        <v>1895</v>
      </c>
    </row>
    <row r="2682" spans="1:5" x14ac:dyDescent="0.25">
      <c r="A2682" s="35">
        <v>46030.5952153588</v>
      </c>
      <c r="B2682" s="22" t="s">
        <v>2718</v>
      </c>
      <c r="C2682" s="22" t="s">
        <v>489</v>
      </c>
      <c r="D2682" s="22" t="s">
        <v>450</v>
      </c>
      <c r="E2682" s="22" t="s">
        <v>1895</v>
      </c>
    </row>
    <row r="2683" spans="1:5" x14ac:dyDescent="0.25">
      <c r="A2683" s="35">
        <v>46030.595217337963</v>
      </c>
      <c r="B2683" s="22" t="s">
        <v>2719</v>
      </c>
      <c r="C2683" s="22" t="s">
        <v>489</v>
      </c>
      <c r="D2683" s="22" t="s">
        <v>450</v>
      </c>
      <c r="E2683" s="22" t="s">
        <v>1895</v>
      </c>
    </row>
    <row r="2684" spans="1:5" x14ac:dyDescent="0.25">
      <c r="A2684" s="35">
        <v>46030.595218877315</v>
      </c>
      <c r="B2684" s="22" t="s">
        <v>2720</v>
      </c>
      <c r="C2684" s="22" t="s">
        <v>489</v>
      </c>
      <c r="D2684" s="22" t="s">
        <v>450</v>
      </c>
      <c r="E2684" s="22" t="s">
        <v>1895</v>
      </c>
    </row>
    <row r="2685" spans="1:5" x14ac:dyDescent="0.25">
      <c r="A2685" s="35">
        <v>46030.595220613424</v>
      </c>
      <c r="B2685" s="22" t="s">
        <v>2721</v>
      </c>
      <c r="C2685" s="22" t="s">
        <v>489</v>
      </c>
      <c r="D2685" s="22" t="s">
        <v>450</v>
      </c>
      <c r="E2685" s="22" t="s">
        <v>1895</v>
      </c>
    </row>
    <row r="2686" spans="1:5" x14ac:dyDescent="0.25">
      <c r="A2686" s="35">
        <v>46030.595222256947</v>
      </c>
      <c r="B2686" s="22" t="s">
        <v>2722</v>
      </c>
      <c r="C2686" s="22" t="s">
        <v>489</v>
      </c>
      <c r="D2686" s="22" t="s">
        <v>450</v>
      </c>
      <c r="E2686" s="22" t="s">
        <v>1895</v>
      </c>
    </row>
    <row r="2687" spans="1:5" x14ac:dyDescent="0.25">
      <c r="A2687" s="35">
        <v>46030.595224502315</v>
      </c>
      <c r="B2687" s="22" t="s">
        <v>2723</v>
      </c>
      <c r="C2687" s="22" t="s">
        <v>489</v>
      </c>
      <c r="D2687" s="22" t="s">
        <v>450</v>
      </c>
      <c r="E2687" s="22" t="s">
        <v>1895</v>
      </c>
    </row>
    <row r="2688" spans="1:5" x14ac:dyDescent="0.25">
      <c r="A2688" s="35">
        <v>46030.595226053236</v>
      </c>
      <c r="B2688" s="22" t="s">
        <v>2724</v>
      </c>
      <c r="C2688" s="22" t="s">
        <v>489</v>
      </c>
      <c r="D2688" s="22" t="s">
        <v>450</v>
      </c>
      <c r="E2688" s="22" t="s">
        <v>1895</v>
      </c>
    </row>
    <row r="2689" spans="1:5" x14ac:dyDescent="0.25">
      <c r="A2689" s="35">
        <v>46030.595227662037</v>
      </c>
      <c r="B2689" s="22" t="s">
        <v>2725</v>
      </c>
      <c r="C2689" s="22" t="s">
        <v>489</v>
      </c>
      <c r="D2689" s="22" t="s">
        <v>450</v>
      </c>
      <c r="E2689" s="22" t="s">
        <v>1895</v>
      </c>
    </row>
    <row r="2690" spans="1:5" x14ac:dyDescent="0.25">
      <c r="A2690" s="35">
        <v>46030.595229317129</v>
      </c>
      <c r="B2690" s="22" t="s">
        <v>2726</v>
      </c>
      <c r="C2690" s="22" t="s">
        <v>489</v>
      </c>
      <c r="D2690" s="22" t="s">
        <v>450</v>
      </c>
      <c r="E2690" s="22" t="s">
        <v>1895</v>
      </c>
    </row>
    <row r="2691" spans="1:5" x14ac:dyDescent="0.25">
      <c r="A2691" s="35">
        <v>46030.595230891202</v>
      </c>
      <c r="B2691" s="22" t="s">
        <v>2727</v>
      </c>
      <c r="C2691" s="22" t="s">
        <v>489</v>
      </c>
      <c r="D2691" s="22" t="s">
        <v>450</v>
      </c>
      <c r="E2691" s="22" t="s">
        <v>1895</v>
      </c>
    </row>
    <row r="2692" spans="1:5" x14ac:dyDescent="0.25">
      <c r="A2692" s="35">
        <v>46030.63260759259</v>
      </c>
      <c r="B2692" s="22" t="s">
        <v>2728</v>
      </c>
      <c r="C2692" s="22" t="s">
        <v>489</v>
      </c>
      <c r="D2692" s="22" t="s">
        <v>582</v>
      </c>
      <c r="E2692" s="22" t="s">
        <v>1999</v>
      </c>
    </row>
    <row r="2693" spans="1:5" x14ac:dyDescent="0.25">
      <c r="A2693" s="35">
        <v>46030.632649027779</v>
      </c>
      <c r="B2693" s="22" t="s">
        <v>2729</v>
      </c>
      <c r="C2693" s="22" t="s">
        <v>489</v>
      </c>
      <c r="D2693" s="22" t="s">
        <v>582</v>
      </c>
      <c r="E2693" s="22" t="s">
        <v>1999</v>
      </c>
    </row>
    <row r="2694" spans="1:5" x14ac:dyDescent="0.25">
      <c r="A2694" s="35">
        <v>46030.6331965625</v>
      </c>
      <c r="B2694" s="22" t="s">
        <v>2730</v>
      </c>
      <c r="C2694" s="22" t="s">
        <v>489</v>
      </c>
      <c r="D2694" s="22" t="s">
        <v>582</v>
      </c>
      <c r="E2694" s="22" t="s">
        <v>1895</v>
      </c>
    </row>
    <row r="2695" spans="1:5" x14ac:dyDescent="0.25">
      <c r="A2695" s="35">
        <v>46030.633211863431</v>
      </c>
      <c r="B2695" s="22" t="s">
        <v>2731</v>
      </c>
      <c r="C2695" s="22" t="s">
        <v>489</v>
      </c>
      <c r="D2695" s="22" t="s">
        <v>582</v>
      </c>
      <c r="E2695" s="22" t="s">
        <v>1895</v>
      </c>
    </row>
    <row r="2696" spans="1:5" x14ac:dyDescent="0.25">
      <c r="A2696" s="35">
        <v>46030.633213425928</v>
      </c>
      <c r="B2696" s="22" t="s">
        <v>2732</v>
      </c>
      <c r="C2696" s="22" t="s">
        <v>489</v>
      </c>
      <c r="D2696" s="22" t="s">
        <v>582</v>
      </c>
      <c r="E2696" s="22" t="s">
        <v>1895</v>
      </c>
    </row>
    <row r="2697" spans="1:5" x14ac:dyDescent="0.25">
      <c r="A2697" s="35">
        <v>46030.633214803238</v>
      </c>
      <c r="B2697" s="22" t="s">
        <v>2733</v>
      </c>
      <c r="C2697" s="22" t="s">
        <v>489</v>
      </c>
      <c r="D2697" s="22" t="s">
        <v>582</v>
      </c>
      <c r="E2697" s="22" t="s">
        <v>1895</v>
      </c>
    </row>
    <row r="2698" spans="1:5" x14ac:dyDescent="0.25">
      <c r="A2698" s="35">
        <v>46030.633216261573</v>
      </c>
      <c r="B2698" s="22" t="s">
        <v>2734</v>
      </c>
      <c r="C2698" s="22" t="s">
        <v>489</v>
      </c>
      <c r="D2698" s="22" t="s">
        <v>582</v>
      </c>
      <c r="E2698" s="22" t="s">
        <v>1895</v>
      </c>
    </row>
    <row r="2699" spans="1:5" x14ac:dyDescent="0.25">
      <c r="A2699" s="35">
        <v>46030.633920925931</v>
      </c>
      <c r="B2699" s="22" t="s">
        <v>2155</v>
      </c>
      <c r="C2699" s="22" t="s">
        <v>582</v>
      </c>
      <c r="D2699" s="22" t="s">
        <v>470</v>
      </c>
      <c r="E2699" s="22" t="s">
        <v>1895</v>
      </c>
    </row>
    <row r="2700" spans="1:5" x14ac:dyDescent="0.25">
      <c r="A2700" s="35">
        <v>46030.635081388886</v>
      </c>
      <c r="B2700" s="22" t="s">
        <v>390</v>
      </c>
      <c r="C2700" s="22" t="s">
        <v>482</v>
      </c>
      <c r="D2700" s="22" t="s">
        <v>449</v>
      </c>
      <c r="E2700" s="22" t="s">
        <v>490</v>
      </c>
    </row>
    <row r="2701" spans="1:5" x14ac:dyDescent="0.25">
      <c r="A2701" s="35">
        <v>46030.635084872687</v>
      </c>
      <c r="B2701" s="22" t="s">
        <v>395</v>
      </c>
      <c r="C2701" s="22" t="s">
        <v>482</v>
      </c>
      <c r="D2701" s="22" t="s">
        <v>449</v>
      </c>
      <c r="E2701" s="22" t="s">
        <v>490</v>
      </c>
    </row>
    <row r="2702" spans="1:5" x14ac:dyDescent="0.25">
      <c r="A2702" s="35">
        <v>46030.635097743056</v>
      </c>
      <c r="B2702" s="22" t="s">
        <v>397</v>
      </c>
      <c r="C2702" s="22" t="s">
        <v>482</v>
      </c>
      <c r="D2702" s="22" t="s">
        <v>449</v>
      </c>
      <c r="E2702" s="22" t="s">
        <v>490</v>
      </c>
    </row>
    <row r="2703" spans="1:5" x14ac:dyDescent="0.25">
      <c r="A2703" s="35">
        <v>46030.63509924768</v>
      </c>
      <c r="B2703" s="22" t="s">
        <v>400</v>
      </c>
      <c r="C2703" s="22" t="s">
        <v>489</v>
      </c>
      <c r="D2703" s="22" t="s">
        <v>468</v>
      </c>
      <c r="E2703" s="22" t="s">
        <v>490</v>
      </c>
    </row>
    <row r="2704" spans="1:5" x14ac:dyDescent="0.25">
      <c r="A2704" s="35">
        <v>46030.635100717591</v>
      </c>
      <c r="B2704" s="22" t="s">
        <v>402</v>
      </c>
      <c r="C2704" s="22" t="s">
        <v>482</v>
      </c>
      <c r="D2704" s="22" t="s">
        <v>516</v>
      </c>
      <c r="E2704" s="22" t="s">
        <v>490</v>
      </c>
    </row>
    <row r="2705" spans="1:5" x14ac:dyDescent="0.25">
      <c r="A2705" s="35">
        <v>46030.635102129629</v>
      </c>
      <c r="B2705" s="22" t="s">
        <v>403</v>
      </c>
      <c r="C2705" s="22" t="s">
        <v>489</v>
      </c>
      <c r="D2705" s="22" t="s">
        <v>500</v>
      </c>
      <c r="E2705" s="22" t="s">
        <v>490</v>
      </c>
    </row>
    <row r="2706" spans="1:5" x14ac:dyDescent="0.25">
      <c r="A2706" s="35">
        <v>46030.635103761575</v>
      </c>
      <c r="B2706" s="22" t="s">
        <v>404</v>
      </c>
      <c r="C2706" s="22" t="s">
        <v>489</v>
      </c>
      <c r="D2706" s="22" t="s">
        <v>500</v>
      </c>
      <c r="E2706" s="22" t="s">
        <v>490</v>
      </c>
    </row>
    <row r="2707" spans="1:5" x14ac:dyDescent="0.25">
      <c r="A2707" s="35">
        <v>46030.635105381945</v>
      </c>
      <c r="B2707" s="22" t="s">
        <v>405</v>
      </c>
      <c r="C2707" s="22" t="s">
        <v>489</v>
      </c>
      <c r="D2707" s="22" t="s">
        <v>582</v>
      </c>
      <c r="E2707" s="22" t="s">
        <v>490</v>
      </c>
    </row>
    <row r="2708" spans="1:5" x14ac:dyDescent="0.25">
      <c r="A2708" s="35">
        <v>46030.635106944443</v>
      </c>
      <c r="B2708" s="22" t="s">
        <v>406</v>
      </c>
      <c r="C2708" s="22" t="s">
        <v>489</v>
      </c>
      <c r="D2708" s="22" t="s">
        <v>582</v>
      </c>
      <c r="E2708" s="22" t="s">
        <v>490</v>
      </c>
    </row>
    <row r="2709" spans="1:5" x14ac:dyDescent="0.25">
      <c r="A2709" s="35">
        <v>46030.635108344912</v>
      </c>
      <c r="B2709" s="22" t="s">
        <v>408</v>
      </c>
      <c r="C2709" s="22" t="s">
        <v>482</v>
      </c>
      <c r="D2709" s="22" t="s">
        <v>449</v>
      </c>
      <c r="E2709" s="22" t="s">
        <v>490</v>
      </c>
    </row>
    <row r="2710" spans="1:5" x14ac:dyDescent="0.25">
      <c r="A2710" s="35">
        <v>46030.635109861112</v>
      </c>
      <c r="B2710" s="22" t="s">
        <v>410</v>
      </c>
      <c r="C2710" s="22" t="s">
        <v>482</v>
      </c>
      <c r="D2710" s="22" t="s">
        <v>449</v>
      </c>
      <c r="E2710" s="22" t="s">
        <v>490</v>
      </c>
    </row>
    <row r="2711" spans="1:5" x14ac:dyDescent="0.25">
      <c r="A2711" s="35">
        <v>46030.635111388889</v>
      </c>
      <c r="B2711" s="22" t="s">
        <v>414</v>
      </c>
      <c r="C2711" s="22" t="s">
        <v>489</v>
      </c>
      <c r="D2711" s="22" t="s">
        <v>500</v>
      </c>
      <c r="E2711" s="22" t="s">
        <v>490</v>
      </c>
    </row>
    <row r="2712" spans="1:5" x14ac:dyDescent="0.25">
      <c r="A2712" s="35">
        <v>46030.635113078708</v>
      </c>
      <c r="B2712" s="22" t="s">
        <v>415</v>
      </c>
      <c r="C2712" s="22" t="s">
        <v>489</v>
      </c>
      <c r="D2712" s="22" t="s">
        <v>468</v>
      </c>
      <c r="E2712" s="22" t="s">
        <v>490</v>
      </c>
    </row>
    <row r="2713" spans="1:5" x14ac:dyDescent="0.25">
      <c r="A2713" s="35">
        <v>46030.635114571764</v>
      </c>
      <c r="B2713" s="22" t="s">
        <v>417</v>
      </c>
      <c r="C2713" s="22" t="s">
        <v>489</v>
      </c>
      <c r="D2713" s="22" t="s">
        <v>468</v>
      </c>
      <c r="E2713" s="22" t="s">
        <v>490</v>
      </c>
    </row>
    <row r="2714" spans="1:5" x14ac:dyDescent="0.25">
      <c r="A2714" s="35">
        <v>46030.635116064819</v>
      </c>
      <c r="B2714" s="22" t="s">
        <v>419</v>
      </c>
      <c r="C2714" s="22" t="s">
        <v>489</v>
      </c>
      <c r="D2714" s="22" t="s">
        <v>468</v>
      </c>
      <c r="E2714" s="22" t="s">
        <v>490</v>
      </c>
    </row>
    <row r="2715" spans="1:5" x14ac:dyDescent="0.25">
      <c r="A2715" s="35">
        <v>46030.635117638885</v>
      </c>
      <c r="B2715" s="22" t="s">
        <v>420</v>
      </c>
      <c r="C2715" s="22" t="s">
        <v>489</v>
      </c>
      <c r="D2715" s="22" t="s">
        <v>468</v>
      </c>
      <c r="E2715" s="22" t="s">
        <v>490</v>
      </c>
    </row>
    <row r="2716" spans="1:5" x14ac:dyDescent="0.25">
      <c r="A2716" s="35">
        <v>46030.635119513885</v>
      </c>
      <c r="B2716" s="22" t="s">
        <v>421</v>
      </c>
      <c r="C2716" s="22" t="s">
        <v>489</v>
      </c>
      <c r="D2716" s="22" t="s">
        <v>468</v>
      </c>
      <c r="E2716" s="22" t="s">
        <v>490</v>
      </c>
    </row>
    <row r="2717" spans="1:5" x14ac:dyDescent="0.25">
      <c r="A2717" s="35">
        <v>46030.635121238425</v>
      </c>
      <c r="B2717" s="22" t="s">
        <v>422</v>
      </c>
      <c r="C2717" s="22" t="s">
        <v>489</v>
      </c>
      <c r="D2717" s="22" t="s">
        <v>468</v>
      </c>
      <c r="E2717" s="22" t="s">
        <v>490</v>
      </c>
    </row>
    <row r="2718" spans="1:5" x14ac:dyDescent="0.25">
      <c r="A2718" s="35">
        <v>46030.635123009255</v>
      </c>
      <c r="B2718" s="22" t="s">
        <v>424</v>
      </c>
      <c r="C2718" s="22" t="s">
        <v>489</v>
      </c>
      <c r="D2718" s="22" t="s">
        <v>500</v>
      </c>
      <c r="E2718" s="22" t="s">
        <v>490</v>
      </c>
    </row>
    <row r="2719" spans="1:5" x14ac:dyDescent="0.25">
      <c r="A2719" s="35">
        <v>46030.635124444445</v>
      </c>
      <c r="B2719" s="22" t="s">
        <v>427</v>
      </c>
      <c r="C2719" s="22" t="s">
        <v>489</v>
      </c>
      <c r="D2719" s="22" t="s">
        <v>500</v>
      </c>
      <c r="E2719" s="22" t="s">
        <v>490</v>
      </c>
    </row>
    <row r="2720" spans="1:5" x14ac:dyDescent="0.25">
      <c r="A2720" s="35">
        <v>46030.635125902772</v>
      </c>
      <c r="B2720" s="22" t="s">
        <v>428</v>
      </c>
      <c r="C2720" s="22" t="s">
        <v>489</v>
      </c>
      <c r="D2720" s="22" t="s">
        <v>500</v>
      </c>
      <c r="E2720" s="22" t="s">
        <v>490</v>
      </c>
    </row>
    <row r="2721" spans="1:5" x14ac:dyDescent="0.25">
      <c r="A2721" s="35">
        <v>46030.635127407411</v>
      </c>
      <c r="B2721" s="22" t="s">
        <v>439</v>
      </c>
      <c r="C2721" s="22" t="s">
        <v>489</v>
      </c>
      <c r="D2721" s="22" t="s">
        <v>492</v>
      </c>
      <c r="E2721" s="22" t="s">
        <v>490</v>
      </c>
    </row>
    <row r="2722" spans="1:5" x14ac:dyDescent="0.25">
      <c r="A2722" s="35">
        <v>46030.635130416667</v>
      </c>
      <c r="B2722" s="22" t="s">
        <v>441</v>
      </c>
      <c r="C2722" s="22" t="s">
        <v>489</v>
      </c>
      <c r="D2722" s="22" t="s">
        <v>500</v>
      </c>
      <c r="E2722" s="22" t="s">
        <v>490</v>
      </c>
    </row>
    <row r="2723" spans="1:5" x14ac:dyDescent="0.25">
      <c r="A2723" s="35">
        <v>46030.63513195602</v>
      </c>
      <c r="B2723" s="22" t="s">
        <v>442</v>
      </c>
      <c r="C2723" s="22" t="s">
        <v>489</v>
      </c>
      <c r="D2723" s="22" t="s">
        <v>468</v>
      </c>
      <c r="E2723" s="22" t="s">
        <v>490</v>
      </c>
    </row>
    <row r="2724" spans="1:5" x14ac:dyDescent="0.25">
      <c r="A2724" s="35">
        <v>46030.635133472228</v>
      </c>
      <c r="B2724" s="22" t="s">
        <v>443</v>
      </c>
      <c r="C2724" s="22" t="s">
        <v>489</v>
      </c>
      <c r="D2724" s="22" t="s">
        <v>500</v>
      </c>
      <c r="E2724" s="22" t="s">
        <v>490</v>
      </c>
    </row>
    <row r="2725" spans="1:5" x14ac:dyDescent="0.25">
      <c r="A2725" s="35">
        <v>46030.635135115735</v>
      </c>
      <c r="B2725" s="22" t="s">
        <v>444</v>
      </c>
      <c r="C2725" s="22" t="s">
        <v>489</v>
      </c>
      <c r="D2725" s="22" t="s">
        <v>500</v>
      </c>
      <c r="E2725" s="22" t="s">
        <v>490</v>
      </c>
    </row>
    <row r="2726" spans="1:5" x14ac:dyDescent="0.25">
      <c r="A2726" s="35">
        <v>46030.635136527781</v>
      </c>
      <c r="B2726" s="22" t="s">
        <v>2735</v>
      </c>
      <c r="C2726" s="22" t="s">
        <v>482</v>
      </c>
      <c r="D2726" s="22" t="s">
        <v>449</v>
      </c>
      <c r="E2726" s="22" t="s">
        <v>490</v>
      </c>
    </row>
    <row r="2727" spans="1:5" x14ac:dyDescent="0.25">
      <c r="A2727" s="35">
        <v>46030.635138587968</v>
      </c>
      <c r="B2727" s="22" t="s">
        <v>2736</v>
      </c>
      <c r="C2727" s="22" t="s">
        <v>489</v>
      </c>
      <c r="D2727" s="22" t="s">
        <v>468</v>
      </c>
      <c r="E2727" s="22" t="s">
        <v>490</v>
      </c>
    </row>
    <row r="2728" spans="1:5" x14ac:dyDescent="0.25">
      <c r="A2728" s="35">
        <v>46030.635140254628</v>
      </c>
      <c r="B2728" s="22" t="s">
        <v>2737</v>
      </c>
      <c r="C2728" s="22" t="s">
        <v>489</v>
      </c>
      <c r="D2728" s="22" t="s">
        <v>492</v>
      </c>
      <c r="E2728" s="22" t="s">
        <v>490</v>
      </c>
    </row>
    <row r="2729" spans="1:5" x14ac:dyDescent="0.25">
      <c r="A2729" s="35">
        <v>46030.635153692128</v>
      </c>
      <c r="B2729" s="22" t="s">
        <v>2738</v>
      </c>
      <c r="C2729" s="22" t="s">
        <v>489</v>
      </c>
      <c r="D2729" s="22" t="s">
        <v>468</v>
      </c>
      <c r="E2729" s="22" t="s">
        <v>490</v>
      </c>
    </row>
    <row r="2730" spans="1:5" x14ac:dyDescent="0.25">
      <c r="A2730" s="35">
        <v>46030.635155254626</v>
      </c>
      <c r="B2730" s="22" t="s">
        <v>2739</v>
      </c>
      <c r="C2730" s="22" t="s">
        <v>482</v>
      </c>
      <c r="D2730" s="22" t="s">
        <v>516</v>
      </c>
      <c r="E2730" s="22" t="s">
        <v>490</v>
      </c>
    </row>
    <row r="2731" spans="1:5" x14ac:dyDescent="0.25">
      <c r="A2731" s="35">
        <v>46030.635167638888</v>
      </c>
      <c r="B2731" s="22" t="s">
        <v>2740</v>
      </c>
      <c r="C2731" s="22" t="s">
        <v>489</v>
      </c>
      <c r="D2731" s="22" t="s">
        <v>500</v>
      </c>
      <c r="E2731" s="22" t="s">
        <v>490</v>
      </c>
    </row>
    <row r="2732" spans="1:5" x14ac:dyDescent="0.25">
      <c r="A2732" s="35">
        <v>46030.635169085646</v>
      </c>
      <c r="B2732" s="22" t="s">
        <v>2741</v>
      </c>
      <c r="C2732" s="22" t="s">
        <v>489</v>
      </c>
      <c r="D2732" s="22" t="s">
        <v>500</v>
      </c>
      <c r="E2732" s="22" t="s">
        <v>490</v>
      </c>
    </row>
    <row r="2733" spans="1:5" x14ac:dyDescent="0.25">
      <c r="A2733" s="35">
        <v>46030.635174212963</v>
      </c>
      <c r="B2733" s="22" t="s">
        <v>2742</v>
      </c>
      <c r="C2733" s="22" t="s">
        <v>489</v>
      </c>
      <c r="D2733" s="22" t="s">
        <v>492</v>
      </c>
      <c r="E2733" s="22" t="s">
        <v>490</v>
      </c>
    </row>
    <row r="2734" spans="1:5" x14ac:dyDescent="0.25">
      <c r="A2734" s="35">
        <v>46030.635175659721</v>
      </c>
      <c r="B2734" s="22" t="s">
        <v>2743</v>
      </c>
      <c r="C2734" s="22" t="s">
        <v>482</v>
      </c>
      <c r="D2734" s="22" t="s">
        <v>449</v>
      </c>
      <c r="E2734" s="22" t="s">
        <v>490</v>
      </c>
    </row>
    <row r="2735" spans="1:5" x14ac:dyDescent="0.25">
      <c r="A2735" s="35">
        <v>46030.63517731482</v>
      </c>
      <c r="B2735" s="22" t="s">
        <v>2744</v>
      </c>
      <c r="C2735" s="22" t="s">
        <v>489</v>
      </c>
      <c r="D2735" s="22" t="s">
        <v>492</v>
      </c>
      <c r="E2735" s="22" t="s">
        <v>490</v>
      </c>
    </row>
    <row r="2736" spans="1:5" x14ac:dyDescent="0.25">
      <c r="A2736" s="35">
        <v>46030.635179097226</v>
      </c>
      <c r="B2736" s="22" t="s">
        <v>2745</v>
      </c>
      <c r="C2736" s="22" t="s">
        <v>489</v>
      </c>
      <c r="D2736" s="22" t="s">
        <v>500</v>
      </c>
      <c r="E2736" s="22" t="s">
        <v>490</v>
      </c>
    </row>
    <row r="2737" spans="1:5" x14ac:dyDescent="0.25">
      <c r="A2737" s="35">
        <v>46030.63518070602</v>
      </c>
      <c r="B2737" s="22" t="s">
        <v>2746</v>
      </c>
      <c r="C2737" s="22" t="s">
        <v>489</v>
      </c>
      <c r="D2737" s="22" t="s">
        <v>500</v>
      </c>
      <c r="E2737" s="22" t="s">
        <v>490</v>
      </c>
    </row>
    <row r="2738" spans="1:5" x14ac:dyDescent="0.25">
      <c r="A2738" s="35">
        <v>46030.635183703707</v>
      </c>
      <c r="B2738" s="22" t="s">
        <v>2747</v>
      </c>
      <c r="C2738" s="22" t="s">
        <v>482</v>
      </c>
      <c r="D2738" s="22" t="s">
        <v>449</v>
      </c>
      <c r="E2738" s="22" t="s">
        <v>490</v>
      </c>
    </row>
    <row r="2739" spans="1:5" x14ac:dyDescent="0.25">
      <c r="A2739" s="35">
        <v>46030.635185555555</v>
      </c>
      <c r="B2739" s="22" t="s">
        <v>2748</v>
      </c>
      <c r="C2739" s="22" t="s">
        <v>489</v>
      </c>
      <c r="D2739" s="22" t="s">
        <v>500</v>
      </c>
      <c r="E2739" s="22" t="s">
        <v>490</v>
      </c>
    </row>
    <row r="2740" spans="1:5" x14ac:dyDescent="0.25">
      <c r="A2740" s="35">
        <v>46030.635187210646</v>
      </c>
      <c r="B2740" s="22" t="s">
        <v>2749</v>
      </c>
      <c r="C2740" s="22" t="s">
        <v>489</v>
      </c>
      <c r="D2740" s="22" t="s">
        <v>500</v>
      </c>
      <c r="E2740" s="22" t="s">
        <v>490</v>
      </c>
    </row>
    <row r="2741" spans="1:5" x14ac:dyDescent="0.25">
      <c r="A2741" s="35">
        <v>46030.635188935186</v>
      </c>
      <c r="B2741" s="22" t="s">
        <v>2750</v>
      </c>
      <c r="C2741" s="22" t="s">
        <v>482</v>
      </c>
      <c r="D2741" s="22" t="s">
        <v>449</v>
      </c>
      <c r="E2741" s="22" t="s">
        <v>490</v>
      </c>
    </row>
    <row r="2742" spans="1:5" x14ac:dyDescent="0.25">
      <c r="A2742" s="35">
        <v>46030.635203993057</v>
      </c>
      <c r="B2742" s="22" t="s">
        <v>2751</v>
      </c>
      <c r="C2742" s="22" t="s">
        <v>489</v>
      </c>
      <c r="D2742" s="22" t="s">
        <v>500</v>
      </c>
      <c r="E2742" s="22" t="s">
        <v>490</v>
      </c>
    </row>
    <row r="2743" spans="1:5" x14ac:dyDescent="0.25">
      <c r="A2743" s="35">
        <v>46030.635205497689</v>
      </c>
      <c r="B2743" s="22" t="s">
        <v>2752</v>
      </c>
      <c r="C2743" s="22" t="s">
        <v>489</v>
      </c>
      <c r="D2743" s="22" t="s">
        <v>500</v>
      </c>
      <c r="E2743" s="22" t="s">
        <v>490</v>
      </c>
    </row>
    <row r="2744" spans="1:5" x14ac:dyDescent="0.25">
      <c r="A2744" s="35">
        <v>46030.635210185181</v>
      </c>
      <c r="B2744" s="22" t="s">
        <v>2753</v>
      </c>
      <c r="C2744" s="22" t="s">
        <v>489</v>
      </c>
      <c r="D2744" s="22" t="s">
        <v>468</v>
      </c>
      <c r="E2744" s="22" t="s">
        <v>490</v>
      </c>
    </row>
    <row r="2745" spans="1:5" x14ac:dyDescent="0.25">
      <c r="A2745" s="35">
        <v>46030.635211736109</v>
      </c>
      <c r="B2745" s="22" t="s">
        <v>2754</v>
      </c>
      <c r="C2745" s="22" t="s">
        <v>489</v>
      </c>
      <c r="D2745" s="22" t="s">
        <v>468</v>
      </c>
      <c r="E2745" s="22" t="s">
        <v>490</v>
      </c>
    </row>
    <row r="2746" spans="1:5" x14ac:dyDescent="0.25">
      <c r="A2746" s="35">
        <v>46030.635213229165</v>
      </c>
      <c r="B2746" s="22" t="s">
        <v>2755</v>
      </c>
      <c r="C2746" s="22" t="s">
        <v>489</v>
      </c>
      <c r="D2746" s="22" t="s">
        <v>500</v>
      </c>
      <c r="E2746" s="22" t="s">
        <v>490</v>
      </c>
    </row>
    <row r="2747" spans="1:5" x14ac:dyDescent="0.25">
      <c r="A2747" s="35">
        <v>46030.63521482639</v>
      </c>
      <c r="B2747" s="22" t="s">
        <v>2756</v>
      </c>
      <c r="C2747" s="22" t="s">
        <v>489</v>
      </c>
      <c r="D2747" s="22" t="s">
        <v>500</v>
      </c>
      <c r="E2747" s="22" t="s">
        <v>490</v>
      </c>
    </row>
    <row r="2748" spans="1:5" x14ac:dyDescent="0.25">
      <c r="A2748" s="35">
        <v>46030.635216319446</v>
      </c>
      <c r="B2748" s="22" t="s">
        <v>2757</v>
      </c>
      <c r="C2748" s="22" t="s">
        <v>489</v>
      </c>
      <c r="D2748" s="22" t="s">
        <v>469</v>
      </c>
      <c r="E2748" s="22" t="s">
        <v>490</v>
      </c>
    </row>
    <row r="2749" spans="1:5" x14ac:dyDescent="0.25">
      <c r="A2749" s="35">
        <v>46030.635218148149</v>
      </c>
      <c r="B2749" s="22" t="s">
        <v>2758</v>
      </c>
      <c r="C2749" s="22" t="s">
        <v>489</v>
      </c>
      <c r="D2749" s="22" t="s">
        <v>468</v>
      </c>
      <c r="E2749" s="22" t="s">
        <v>490</v>
      </c>
    </row>
    <row r="2750" spans="1:5" x14ac:dyDescent="0.25">
      <c r="A2750" s="35">
        <v>46030.635219780088</v>
      </c>
      <c r="B2750" s="22" t="s">
        <v>2759</v>
      </c>
      <c r="C2750" s="22" t="s">
        <v>489</v>
      </c>
      <c r="D2750" s="22" t="s">
        <v>492</v>
      </c>
      <c r="E2750" s="22" t="s">
        <v>490</v>
      </c>
    </row>
    <row r="2751" spans="1:5" x14ac:dyDescent="0.25">
      <c r="A2751" s="35">
        <v>46030.635227314815</v>
      </c>
      <c r="B2751" s="22" t="s">
        <v>2760</v>
      </c>
      <c r="C2751" s="22" t="s">
        <v>482</v>
      </c>
      <c r="D2751" s="22" t="s">
        <v>449</v>
      </c>
      <c r="E2751" s="22" t="s">
        <v>490</v>
      </c>
    </row>
    <row r="2752" spans="1:5" x14ac:dyDescent="0.25">
      <c r="A2752" s="35">
        <v>46030.635228981482</v>
      </c>
      <c r="B2752" s="22" t="s">
        <v>2761</v>
      </c>
      <c r="C2752" s="22" t="s">
        <v>489</v>
      </c>
      <c r="D2752" s="22" t="s">
        <v>492</v>
      </c>
      <c r="E2752" s="22" t="s">
        <v>490</v>
      </c>
    </row>
    <row r="2753" spans="1:5" x14ac:dyDescent="0.25">
      <c r="A2753" s="35">
        <v>46030.635233078705</v>
      </c>
      <c r="B2753" s="22" t="s">
        <v>2762</v>
      </c>
      <c r="C2753" s="22" t="s">
        <v>489</v>
      </c>
      <c r="D2753" s="22" t="s">
        <v>500</v>
      </c>
      <c r="E2753" s="22" t="s">
        <v>490</v>
      </c>
    </row>
    <row r="2754" spans="1:5" x14ac:dyDescent="0.25">
      <c r="A2754" s="35">
        <v>46030.635234710644</v>
      </c>
      <c r="B2754" s="22" t="s">
        <v>2763</v>
      </c>
      <c r="C2754" s="22" t="s">
        <v>489</v>
      </c>
      <c r="D2754" s="22" t="s">
        <v>500</v>
      </c>
      <c r="E2754" s="22" t="s">
        <v>490</v>
      </c>
    </row>
    <row r="2755" spans="1:5" x14ac:dyDescent="0.25">
      <c r="A2755" s="35">
        <v>46030.635239247684</v>
      </c>
      <c r="B2755" s="22" t="s">
        <v>2764</v>
      </c>
      <c r="C2755" s="22" t="s">
        <v>482</v>
      </c>
      <c r="D2755" s="22" t="s">
        <v>449</v>
      </c>
      <c r="E2755" s="22" t="s">
        <v>490</v>
      </c>
    </row>
    <row r="2756" spans="1:5" x14ac:dyDescent="0.25">
      <c r="A2756" s="35">
        <v>46030.635240833333</v>
      </c>
      <c r="B2756" s="22" t="s">
        <v>2765</v>
      </c>
      <c r="C2756" s="22" t="s">
        <v>489</v>
      </c>
      <c r="D2756" s="22" t="s">
        <v>468</v>
      </c>
      <c r="E2756" s="22" t="s">
        <v>490</v>
      </c>
    </row>
    <row r="2757" spans="1:5" x14ac:dyDescent="0.25">
      <c r="A2757" s="35">
        <v>46030.635252141205</v>
      </c>
      <c r="B2757" s="22" t="s">
        <v>2766</v>
      </c>
      <c r="C2757" s="22" t="s">
        <v>489</v>
      </c>
      <c r="D2757" s="22" t="s">
        <v>500</v>
      </c>
      <c r="E2757" s="22" t="s">
        <v>490</v>
      </c>
    </row>
    <row r="2758" spans="1:5" x14ac:dyDescent="0.25">
      <c r="A2758" s="35">
        <v>46030.635253842593</v>
      </c>
      <c r="B2758" s="22" t="s">
        <v>2767</v>
      </c>
      <c r="C2758" s="22" t="s">
        <v>489</v>
      </c>
      <c r="D2758" s="22" t="s">
        <v>468</v>
      </c>
      <c r="E2758" s="22" t="s">
        <v>490</v>
      </c>
    </row>
    <row r="2759" spans="1:5" x14ac:dyDescent="0.25">
      <c r="A2759" s="35">
        <v>46030.635255439818</v>
      </c>
      <c r="B2759" s="22" t="s">
        <v>2768</v>
      </c>
      <c r="C2759" s="22" t="s">
        <v>489</v>
      </c>
      <c r="D2759" s="22" t="s">
        <v>492</v>
      </c>
      <c r="E2759" s="22" t="s">
        <v>490</v>
      </c>
    </row>
    <row r="2760" spans="1:5" x14ac:dyDescent="0.25">
      <c r="A2760" s="35">
        <v>46030.635257013884</v>
      </c>
      <c r="B2760" s="22" t="s">
        <v>2769</v>
      </c>
      <c r="C2760" s="22" t="s">
        <v>489</v>
      </c>
      <c r="D2760" s="22" t="s">
        <v>500</v>
      </c>
      <c r="E2760" s="22" t="s">
        <v>490</v>
      </c>
    </row>
    <row r="2761" spans="1:5" x14ac:dyDescent="0.25">
      <c r="A2761" s="35">
        <v>46030.635259606483</v>
      </c>
      <c r="B2761" s="22" t="s">
        <v>2770</v>
      </c>
      <c r="C2761" s="22" t="s">
        <v>489</v>
      </c>
      <c r="D2761" s="22" t="s">
        <v>468</v>
      </c>
      <c r="E2761" s="22" t="s">
        <v>490</v>
      </c>
    </row>
    <row r="2762" spans="1:5" x14ac:dyDescent="0.25">
      <c r="A2762" s="35">
        <v>46030.635261145835</v>
      </c>
      <c r="B2762" s="22" t="s">
        <v>2771</v>
      </c>
      <c r="C2762" s="22" t="s">
        <v>489</v>
      </c>
      <c r="D2762" s="22" t="s">
        <v>468</v>
      </c>
      <c r="E2762" s="22" t="s">
        <v>490</v>
      </c>
    </row>
    <row r="2763" spans="1:5" x14ac:dyDescent="0.25">
      <c r="A2763" s="35">
        <v>46030.63526304398</v>
      </c>
      <c r="B2763" s="22" t="s">
        <v>2772</v>
      </c>
      <c r="C2763" s="22" t="s">
        <v>489</v>
      </c>
      <c r="D2763" s="22" t="s">
        <v>492</v>
      </c>
      <c r="E2763" s="22" t="s">
        <v>490</v>
      </c>
    </row>
    <row r="2764" spans="1:5" x14ac:dyDescent="0.25">
      <c r="A2764" s="35">
        <v>46030.635267604172</v>
      </c>
      <c r="B2764" s="22" t="s">
        <v>1325</v>
      </c>
      <c r="C2764" s="22" t="s">
        <v>482</v>
      </c>
      <c r="D2764" s="22" t="s">
        <v>449</v>
      </c>
      <c r="E2764" s="22" t="s">
        <v>490</v>
      </c>
    </row>
    <row r="2765" spans="1:5" x14ac:dyDescent="0.25">
      <c r="A2765" s="35">
        <v>46030.635269143517</v>
      </c>
      <c r="B2765" s="22" t="s">
        <v>1326</v>
      </c>
      <c r="C2765" s="22" t="s">
        <v>482</v>
      </c>
      <c r="D2765" s="22" t="s">
        <v>449</v>
      </c>
      <c r="E2765" s="22" t="s">
        <v>490</v>
      </c>
    </row>
    <row r="2766" spans="1:5" x14ac:dyDescent="0.25">
      <c r="A2766" s="35">
        <v>46030.637678402782</v>
      </c>
      <c r="B2766" s="22" t="s">
        <v>2765</v>
      </c>
      <c r="C2766" s="22" t="s">
        <v>468</v>
      </c>
      <c r="D2766" s="22" t="s">
        <v>470</v>
      </c>
      <c r="E2766" s="22" t="s">
        <v>1999</v>
      </c>
    </row>
    <row r="2767" spans="1:5" x14ac:dyDescent="0.25">
      <c r="A2767" s="35">
        <v>46030.637978425926</v>
      </c>
      <c r="B2767" s="22" t="s">
        <v>2758</v>
      </c>
      <c r="C2767" s="22" t="s">
        <v>468</v>
      </c>
      <c r="D2767" s="22" t="s">
        <v>470</v>
      </c>
      <c r="E2767" s="22" t="s">
        <v>1999</v>
      </c>
    </row>
    <row r="2768" spans="1:5" x14ac:dyDescent="0.25">
      <c r="A2768" s="35">
        <v>46030.638124618054</v>
      </c>
      <c r="B2768" s="22" t="s">
        <v>2754</v>
      </c>
      <c r="C2768" s="22" t="s">
        <v>468</v>
      </c>
      <c r="D2768" s="22" t="s">
        <v>470</v>
      </c>
      <c r="E2768" s="22" t="s">
        <v>1999</v>
      </c>
    </row>
    <row r="2769" spans="1:5" x14ac:dyDescent="0.25">
      <c r="A2769" s="35">
        <v>46030.63870949074</v>
      </c>
      <c r="B2769" s="22" t="s">
        <v>2773</v>
      </c>
      <c r="C2769" s="22" t="s">
        <v>489</v>
      </c>
      <c r="D2769" s="22" t="s">
        <v>470</v>
      </c>
      <c r="E2769" s="22" t="s">
        <v>1999</v>
      </c>
    </row>
    <row r="2770" spans="1:5" x14ac:dyDescent="0.25">
      <c r="A2770" s="35">
        <v>46030.638870625</v>
      </c>
      <c r="B2770" s="22" t="s">
        <v>2736</v>
      </c>
      <c r="C2770" s="22" t="s">
        <v>468</v>
      </c>
      <c r="D2770" s="22" t="s">
        <v>470</v>
      </c>
      <c r="E2770" s="22" t="s">
        <v>1999</v>
      </c>
    </row>
    <row r="2771" spans="1:5" x14ac:dyDescent="0.25">
      <c r="A2771" s="35">
        <v>46030.639338923611</v>
      </c>
      <c r="B2771" s="22" t="s">
        <v>438</v>
      </c>
      <c r="C2771" s="22" t="s">
        <v>489</v>
      </c>
      <c r="D2771" s="22" t="s">
        <v>470</v>
      </c>
      <c r="E2771" s="22" t="s">
        <v>1999</v>
      </c>
    </row>
    <row r="2772" spans="1:5" x14ac:dyDescent="0.25">
      <c r="A2772" s="35">
        <v>46030.639420775464</v>
      </c>
      <c r="B2772" s="22" t="s">
        <v>436</v>
      </c>
      <c r="C2772" s="22" t="s">
        <v>489</v>
      </c>
      <c r="D2772" s="22" t="s">
        <v>470</v>
      </c>
      <c r="E2772" s="22" t="s">
        <v>1999</v>
      </c>
    </row>
    <row r="2773" spans="1:5" x14ac:dyDescent="0.25">
      <c r="A2773" s="35">
        <v>46030.639663240741</v>
      </c>
      <c r="B2773" s="22" t="s">
        <v>422</v>
      </c>
      <c r="C2773" s="22" t="s">
        <v>468</v>
      </c>
      <c r="D2773" s="22" t="s">
        <v>470</v>
      </c>
      <c r="E2773" s="22" t="s">
        <v>1999</v>
      </c>
    </row>
    <row r="2774" spans="1:5" x14ac:dyDescent="0.25">
      <c r="A2774" s="35">
        <v>46030.641610289356</v>
      </c>
      <c r="B2774" s="22" t="s">
        <v>400</v>
      </c>
      <c r="C2774" s="22" t="s">
        <v>468</v>
      </c>
      <c r="D2774" s="22" t="s">
        <v>470</v>
      </c>
      <c r="E2774" s="22" t="s">
        <v>1999</v>
      </c>
    </row>
    <row r="2775" spans="1:5" x14ac:dyDescent="0.25">
      <c r="A2775" s="35">
        <v>46030.641972951387</v>
      </c>
      <c r="B2775" s="22" t="s">
        <v>405</v>
      </c>
      <c r="C2775" s="22" t="s">
        <v>582</v>
      </c>
      <c r="D2775" s="22" t="s">
        <v>470</v>
      </c>
      <c r="E2775" s="22" t="s">
        <v>1895</v>
      </c>
    </row>
    <row r="2776" spans="1:5" x14ac:dyDescent="0.25">
      <c r="A2776" s="35">
        <v>46030.641975312501</v>
      </c>
      <c r="B2776" s="22" t="s">
        <v>406</v>
      </c>
      <c r="C2776" s="22" t="s">
        <v>582</v>
      </c>
      <c r="D2776" s="22" t="s">
        <v>470</v>
      </c>
      <c r="E2776" s="22" t="s">
        <v>1895</v>
      </c>
    </row>
    <row r="2777" spans="1:5" x14ac:dyDescent="0.25">
      <c r="A2777" s="35">
        <v>46030.642660567129</v>
      </c>
      <c r="B2777" s="22" t="s">
        <v>397</v>
      </c>
      <c r="C2777" s="22" t="s">
        <v>449</v>
      </c>
      <c r="D2777" s="22" t="s">
        <v>470</v>
      </c>
      <c r="E2777" s="22" t="s">
        <v>1895</v>
      </c>
    </row>
    <row r="2778" spans="1:5" x14ac:dyDescent="0.25">
      <c r="A2778" s="35">
        <v>46030.654644236114</v>
      </c>
      <c r="B2778" s="22" t="s">
        <v>1263</v>
      </c>
      <c r="C2778" s="22" t="s">
        <v>470</v>
      </c>
      <c r="D2778" s="22" t="s">
        <v>468</v>
      </c>
      <c r="E2778" s="22" t="s">
        <v>1999</v>
      </c>
    </row>
    <row r="2779" spans="1:5" x14ac:dyDescent="0.25">
      <c r="A2779" s="35">
        <v>46030.655098842588</v>
      </c>
      <c r="B2779" s="22" t="s">
        <v>1935</v>
      </c>
      <c r="C2779" s="22" t="s">
        <v>470</v>
      </c>
      <c r="D2779" s="22" t="s">
        <v>468</v>
      </c>
      <c r="E2779" s="22" t="s">
        <v>1999</v>
      </c>
    </row>
    <row r="2780" spans="1:5" x14ac:dyDescent="0.25">
      <c r="A2780" s="35">
        <v>46030.655276006946</v>
      </c>
      <c r="B2780" s="22" t="s">
        <v>856</v>
      </c>
      <c r="C2780" s="22" t="s">
        <v>470</v>
      </c>
      <c r="D2780" s="22" t="s">
        <v>468</v>
      </c>
      <c r="E2780" s="22" t="s">
        <v>1999</v>
      </c>
    </row>
    <row r="2781" spans="1:5" x14ac:dyDescent="0.25">
      <c r="A2781" s="35">
        <v>46030.698574699076</v>
      </c>
      <c r="B2781" s="22" t="s">
        <v>2774</v>
      </c>
      <c r="C2781" s="22" t="s">
        <v>2445</v>
      </c>
      <c r="D2781" s="22" t="s">
        <v>471</v>
      </c>
      <c r="E2781" s="22" t="s">
        <v>2446</v>
      </c>
    </row>
    <row r="2782" spans="1:5" x14ac:dyDescent="0.25">
      <c r="A2782" s="35">
        <v>46072.235905381945</v>
      </c>
      <c r="B2782" s="22" t="s">
        <v>2775</v>
      </c>
      <c r="C2782" s="22" t="s">
        <v>2445</v>
      </c>
      <c r="D2782" s="22" t="s">
        <v>471</v>
      </c>
      <c r="E2782" s="22" t="s">
        <v>2446</v>
      </c>
    </row>
    <row r="2783" spans="1:5" x14ac:dyDescent="0.25">
      <c r="A2783" s="35">
        <v>46072.243946851857</v>
      </c>
      <c r="B2783" s="22" t="s">
        <v>2776</v>
      </c>
      <c r="C2783" s="22" t="s">
        <v>2445</v>
      </c>
      <c r="D2783" s="22" t="s">
        <v>471</v>
      </c>
      <c r="E2783" s="22" t="s">
        <v>2446</v>
      </c>
    </row>
    <row r="2784" spans="1:5" x14ac:dyDescent="0.25">
      <c r="A2784" s="35">
        <v>46072.570494803236</v>
      </c>
      <c r="B2784" s="22" t="s">
        <v>28</v>
      </c>
      <c r="C2784" s="22" t="s">
        <v>489</v>
      </c>
      <c r="D2784" s="22" t="s">
        <v>500</v>
      </c>
      <c r="E2784" s="22" t="s">
        <v>490</v>
      </c>
    </row>
    <row r="2785" spans="1:5" x14ac:dyDescent="0.25">
      <c r="A2785" s="35">
        <v>46072.570496585649</v>
      </c>
      <c r="B2785" s="22" t="s">
        <v>38</v>
      </c>
      <c r="C2785" s="22" t="s">
        <v>489</v>
      </c>
      <c r="D2785" s="22" t="s">
        <v>468</v>
      </c>
      <c r="E2785" s="22" t="s">
        <v>490</v>
      </c>
    </row>
    <row r="2786" spans="1:5" x14ac:dyDescent="0.25">
      <c r="A2786" s="35">
        <v>46072.570498437504</v>
      </c>
      <c r="B2786" s="22" t="s">
        <v>46</v>
      </c>
      <c r="C2786" s="22" t="s">
        <v>489</v>
      </c>
      <c r="D2786" s="22" t="s">
        <v>468</v>
      </c>
      <c r="E2786" s="22" t="s">
        <v>490</v>
      </c>
    </row>
    <row r="2787" spans="1:5" x14ac:dyDescent="0.25">
      <c r="A2787" s="35">
        <v>46072.570500590278</v>
      </c>
      <c r="B2787" s="22" t="s">
        <v>48</v>
      </c>
      <c r="C2787" s="22" t="s">
        <v>489</v>
      </c>
      <c r="D2787" s="22" t="s">
        <v>500</v>
      </c>
      <c r="E2787" s="22" t="s">
        <v>490</v>
      </c>
    </row>
    <row r="2788" spans="1:5" x14ac:dyDescent="0.25">
      <c r="A2788" s="35">
        <v>46072.570502465278</v>
      </c>
      <c r="B2788" s="22" t="s">
        <v>49</v>
      </c>
      <c r="C2788" s="22" t="s">
        <v>489</v>
      </c>
      <c r="D2788" s="22" t="s">
        <v>468</v>
      </c>
      <c r="E2788" s="22" t="s">
        <v>490</v>
      </c>
    </row>
    <row r="2789" spans="1:5" x14ac:dyDescent="0.25">
      <c r="A2789" s="35">
        <v>46072.570504432872</v>
      </c>
      <c r="B2789" s="22" t="s">
        <v>51</v>
      </c>
      <c r="C2789" s="22" t="s">
        <v>482</v>
      </c>
      <c r="D2789" s="22" t="s">
        <v>449</v>
      </c>
      <c r="E2789" s="22" t="s">
        <v>490</v>
      </c>
    </row>
    <row r="2790" spans="1:5" x14ac:dyDescent="0.25">
      <c r="A2790" s="35">
        <v>46072.570506342592</v>
      </c>
      <c r="B2790" s="22" t="s">
        <v>58</v>
      </c>
      <c r="C2790" s="22" t="s">
        <v>482</v>
      </c>
      <c r="D2790" s="22" t="s">
        <v>449</v>
      </c>
      <c r="E2790" s="22" t="s">
        <v>490</v>
      </c>
    </row>
    <row r="2791" spans="1:5" x14ac:dyDescent="0.25">
      <c r="A2791" s="35">
        <v>46072.570508136574</v>
      </c>
      <c r="B2791" s="22" t="s">
        <v>61</v>
      </c>
      <c r="C2791" s="22" t="s">
        <v>489</v>
      </c>
      <c r="D2791" s="22" t="s">
        <v>500</v>
      </c>
      <c r="E2791" s="22" t="s">
        <v>490</v>
      </c>
    </row>
    <row r="2792" spans="1:5" x14ac:dyDescent="0.25">
      <c r="A2792" s="35">
        <v>46072.570509930556</v>
      </c>
      <c r="B2792" s="22" t="s">
        <v>62</v>
      </c>
      <c r="C2792" s="22" t="s">
        <v>489</v>
      </c>
      <c r="D2792" s="22" t="s">
        <v>500</v>
      </c>
      <c r="E2792" s="22" t="s">
        <v>490</v>
      </c>
    </row>
    <row r="2793" spans="1:5" x14ac:dyDescent="0.25">
      <c r="A2793" s="35">
        <v>46072.570511770835</v>
      </c>
      <c r="B2793" s="22" t="s">
        <v>70</v>
      </c>
      <c r="C2793" s="22" t="s">
        <v>489</v>
      </c>
      <c r="D2793" s="22" t="s">
        <v>468</v>
      </c>
      <c r="E2793" s="22" t="s">
        <v>490</v>
      </c>
    </row>
    <row r="2794" spans="1:5" x14ac:dyDescent="0.25">
      <c r="A2794" s="35">
        <v>46072.570515717598</v>
      </c>
      <c r="B2794" s="22" t="s">
        <v>75</v>
      </c>
      <c r="C2794" s="22" t="s">
        <v>482</v>
      </c>
      <c r="D2794" s="22" t="s">
        <v>449</v>
      </c>
      <c r="E2794" s="22" t="s">
        <v>490</v>
      </c>
    </row>
    <row r="2795" spans="1:5" x14ac:dyDescent="0.25">
      <c r="A2795" s="35">
        <v>46072.570517592598</v>
      </c>
      <c r="B2795" s="22" t="s">
        <v>81</v>
      </c>
      <c r="C2795" s="22" t="s">
        <v>482</v>
      </c>
      <c r="D2795" s="22" t="s">
        <v>449</v>
      </c>
      <c r="E2795" s="22" t="s">
        <v>490</v>
      </c>
    </row>
    <row r="2796" spans="1:5" x14ac:dyDescent="0.25">
      <c r="A2796" s="35">
        <v>46072.57052695602</v>
      </c>
      <c r="B2796" s="22" t="s">
        <v>83</v>
      </c>
      <c r="C2796" s="22" t="s">
        <v>489</v>
      </c>
      <c r="D2796" s="22" t="s">
        <v>500</v>
      </c>
      <c r="E2796" s="22" t="s">
        <v>490</v>
      </c>
    </row>
    <row r="2797" spans="1:5" x14ac:dyDescent="0.25">
      <c r="A2797" s="35">
        <v>46072.570528912038</v>
      </c>
      <c r="B2797" s="22" t="s">
        <v>89</v>
      </c>
      <c r="C2797" s="22" t="s">
        <v>489</v>
      </c>
      <c r="D2797" s="22" t="s">
        <v>500</v>
      </c>
      <c r="E2797" s="22" t="s">
        <v>490</v>
      </c>
    </row>
    <row r="2798" spans="1:5" x14ac:dyDescent="0.25">
      <c r="A2798" s="35">
        <v>46072.570530937504</v>
      </c>
      <c r="B2798" s="22" t="s">
        <v>90</v>
      </c>
      <c r="C2798" s="22" t="s">
        <v>489</v>
      </c>
      <c r="D2798" s="22" t="s">
        <v>468</v>
      </c>
      <c r="E2798" s="22" t="s">
        <v>490</v>
      </c>
    </row>
    <row r="2799" spans="1:5" x14ac:dyDescent="0.25">
      <c r="A2799" s="35">
        <v>46072.570532777783</v>
      </c>
      <c r="B2799" s="22" t="s">
        <v>92</v>
      </c>
      <c r="C2799" s="22" t="s">
        <v>489</v>
      </c>
      <c r="D2799" s="22" t="s">
        <v>500</v>
      </c>
      <c r="E2799" s="22" t="s">
        <v>490</v>
      </c>
    </row>
    <row r="2800" spans="1:5" x14ac:dyDescent="0.25">
      <c r="A2800" s="35">
        <v>46072.570534456019</v>
      </c>
      <c r="B2800" s="22" t="s">
        <v>93</v>
      </c>
      <c r="C2800" s="22" t="s">
        <v>489</v>
      </c>
      <c r="D2800" s="22" t="s">
        <v>468</v>
      </c>
      <c r="E2800" s="22" t="s">
        <v>490</v>
      </c>
    </row>
    <row r="2801" spans="1:5" x14ac:dyDescent="0.25">
      <c r="A2801" s="35">
        <v>46072.570540983797</v>
      </c>
      <c r="B2801" s="22" t="s">
        <v>95</v>
      </c>
      <c r="C2801" s="22" t="s">
        <v>482</v>
      </c>
      <c r="D2801" s="22" t="s">
        <v>449</v>
      </c>
      <c r="E2801" s="22" t="s">
        <v>490</v>
      </c>
    </row>
    <row r="2802" spans="1:5" x14ac:dyDescent="0.25">
      <c r="A2802" s="35">
        <v>46072.570542928239</v>
      </c>
      <c r="B2802" s="22" t="s">
        <v>98</v>
      </c>
      <c r="C2802" s="22" t="s">
        <v>482</v>
      </c>
      <c r="D2802" s="22" t="s">
        <v>449</v>
      </c>
      <c r="E2802" s="22" t="s">
        <v>490</v>
      </c>
    </row>
    <row r="2803" spans="1:5" x14ac:dyDescent="0.25">
      <c r="A2803" s="35">
        <v>46072.570544675924</v>
      </c>
      <c r="B2803" s="22" t="s">
        <v>100</v>
      </c>
      <c r="C2803" s="22" t="s">
        <v>489</v>
      </c>
      <c r="D2803" s="22" t="s">
        <v>468</v>
      </c>
      <c r="E2803" s="22" t="s">
        <v>490</v>
      </c>
    </row>
    <row r="2804" spans="1:5" x14ac:dyDescent="0.25">
      <c r="A2804" s="35">
        <v>46072.57054778935</v>
      </c>
      <c r="B2804" s="22" t="s">
        <v>102</v>
      </c>
      <c r="C2804" s="22" t="s">
        <v>482</v>
      </c>
      <c r="D2804" s="22" t="s">
        <v>449</v>
      </c>
      <c r="E2804" s="22" t="s">
        <v>490</v>
      </c>
    </row>
    <row r="2805" spans="1:5" x14ac:dyDescent="0.25">
      <c r="A2805" s="35">
        <v>46072.570549560187</v>
      </c>
      <c r="B2805" s="22" t="s">
        <v>105</v>
      </c>
      <c r="C2805" s="22" t="s">
        <v>482</v>
      </c>
      <c r="D2805" s="22" t="s">
        <v>449</v>
      </c>
      <c r="E2805" s="22" t="s">
        <v>490</v>
      </c>
    </row>
    <row r="2806" spans="1:5" x14ac:dyDescent="0.25">
      <c r="A2806" s="35">
        <v>46072.570551412035</v>
      </c>
      <c r="B2806" s="22" t="s">
        <v>107</v>
      </c>
      <c r="C2806" s="22" t="s">
        <v>482</v>
      </c>
      <c r="D2806" s="22" t="s">
        <v>449</v>
      </c>
      <c r="E2806" s="22" t="s">
        <v>490</v>
      </c>
    </row>
    <row r="2807" spans="1:5" x14ac:dyDescent="0.25">
      <c r="A2807" s="35">
        <v>46072.570553344907</v>
      </c>
      <c r="B2807" s="22" t="s">
        <v>113</v>
      </c>
      <c r="C2807" s="22" t="s">
        <v>489</v>
      </c>
      <c r="D2807" s="22" t="s">
        <v>468</v>
      </c>
      <c r="E2807" s="22" t="s">
        <v>490</v>
      </c>
    </row>
    <row r="2808" spans="1:5" x14ac:dyDescent="0.25">
      <c r="A2808" s="35">
        <v>46072.57055517361</v>
      </c>
      <c r="B2808" s="22" t="s">
        <v>114</v>
      </c>
      <c r="C2808" s="22" t="s">
        <v>489</v>
      </c>
      <c r="D2808" s="22" t="s">
        <v>468</v>
      </c>
      <c r="E2808" s="22" t="s">
        <v>490</v>
      </c>
    </row>
    <row r="2809" spans="1:5" x14ac:dyDescent="0.25">
      <c r="A2809" s="35">
        <v>46072.570557060186</v>
      </c>
      <c r="B2809" s="22" t="s">
        <v>116</v>
      </c>
      <c r="C2809" s="22" t="s">
        <v>489</v>
      </c>
      <c r="D2809" s="22" t="s">
        <v>468</v>
      </c>
      <c r="E2809" s="22" t="s">
        <v>490</v>
      </c>
    </row>
    <row r="2810" spans="1:5" x14ac:dyDescent="0.25">
      <c r="A2810" s="35">
        <v>46072.570558831023</v>
      </c>
      <c r="B2810" s="22" t="s">
        <v>119</v>
      </c>
      <c r="C2810" s="22" t="s">
        <v>489</v>
      </c>
      <c r="D2810" s="22" t="s">
        <v>500</v>
      </c>
      <c r="E2810" s="22" t="s">
        <v>490</v>
      </c>
    </row>
    <row r="2811" spans="1:5" x14ac:dyDescent="0.25">
      <c r="A2811" s="35">
        <v>46072.570560578708</v>
      </c>
      <c r="B2811" s="22" t="s">
        <v>121</v>
      </c>
      <c r="C2811" s="22" t="s">
        <v>489</v>
      </c>
      <c r="D2811" s="22" t="s">
        <v>500</v>
      </c>
      <c r="E2811" s="22" t="s">
        <v>490</v>
      </c>
    </row>
    <row r="2812" spans="1:5" x14ac:dyDescent="0.25">
      <c r="A2812" s="35">
        <v>46072.570562407403</v>
      </c>
      <c r="B2812" s="22" t="s">
        <v>122</v>
      </c>
      <c r="C2812" s="22" t="s">
        <v>482</v>
      </c>
      <c r="D2812" s="22" t="s">
        <v>449</v>
      </c>
      <c r="E2812" s="22" t="s">
        <v>490</v>
      </c>
    </row>
    <row r="2813" spans="1:5" x14ac:dyDescent="0.25">
      <c r="A2813" s="35">
        <v>46072.570564236114</v>
      </c>
      <c r="B2813" s="22" t="s">
        <v>124</v>
      </c>
      <c r="C2813" s="22" t="s">
        <v>482</v>
      </c>
      <c r="D2813" s="22" t="s">
        <v>449</v>
      </c>
      <c r="E2813" s="22" t="s">
        <v>490</v>
      </c>
    </row>
    <row r="2814" spans="1:5" x14ac:dyDescent="0.25">
      <c r="A2814" s="35">
        <v>46072.570566157403</v>
      </c>
      <c r="B2814" s="22" t="s">
        <v>127</v>
      </c>
      <c r="C2814" s="22" t="s">
        <v>489</v>
      </c>
      <c r="D2814" s="22" t="s">
        <v>468</v>
      </c>
      <c r="E2814" s="22" t="s">
        <v>490</v>
      </c>
    </row>
    <row r="2815" spans="1:5" x14ac:dyDescent="0.25">
      <c r="A2815" s="35">
        <v>46072.570568055555</v>
      </c>
      <c r="B2815" s="22" t="s">
        <v>129</v>
      </c>
      <c r="C2815" s="22" t="s">
        <v>482</v>
      </c>
      <c r="D2815" s="22" t="s">
        <v>449</v>
      </c>
      <c r="E2815" s="22" t="s">
        <v>490</v>
      </c>
    </row>
    <row r="2816" spans="1:5" x14ac:dyDescent="0.25">
      <c r="A2816" s="35">
        <v>46072.570570057869</v>
      </c>
      <c r="B2816" s="22" t="s">
        <v>131</v>
      </c>
      <c r="C2816" s="22" t="s">
        <v>482</v>
      </c>
      <c r="D2816" s="22" t="s">
        <v>449</v>
      </c>
      <c r="E2816" s="22" t="s">
        <v>490</v>
      </c>
    </row>
    <row r="2817" spans="1:5" x14ac:dyDescent="0.25">
      <c r="A2817" s="35">
        <v>46072.570571863427</v>
      </c>
      <c r="B2817" s="22" t="s">
        <v>134</v>
      </c>
      <c r="C2817" s="22" t="s">
        <v>482</v>
      </c>
      <c r="D2817" s="22" t="s">
        <v>516</v>
      </c>
      <c r="E2817" s="22" t="s">
        <v>490</v>
      </c>
    </row>
    <row r="2818" spans="1:5" x14ac:dyDescent="0.25">
      <c r="A2818" s="35">
        <v>46072.57057358796</v>
      </c>
      <c r="B2818" s="22" t="s">
        <v>149</v>
      </c>
      <c r="C2818" s="22" t="s">
        <v>482</v>
      </c>
      <c r="D2818" s="22" t="s">
        <v>449</v>
      </c>
      <c r="E2818" s="22" t="s">
        <v>490</v>
      </c>
    </row>
    <row r="2819" spans="1:5" x14ac:dyDescent="0.25">
      <c r="A2819" s="35">
        <v>46072.570575266203</v>
      </c>
      <c r="B2819" s="22" t="s">
        <v>151</v>
      </c>
      <c r="C2819" s="22" t="s">
        <v>489</v>
      </c>
      <c r="D2819" s="22" t="s">
        <v>468</v>
      </c>
      <c r="E2819" s="22" t="s">
        <v>490</v>
      </c>
    </row>
    <row r="2820" spans="1:5" x14ac:dyDescent="0.25">
      <c r="A2820" s="35">
        <v>46072.570577094906</v>
      </c>
      <c r="B2820" s="22" t="s">
        <v>157</v>
      </c>
      <c r="C2820" s="22" t="s">
        <v>489</v>
      </c>
      <c r="D2820" s="22" t="s">
        <v>468</v>
      </c>
      <c r="E2820" s="22" t="s">
        <v>490</v>
      </c>
    </row>
    <row r="2821" spans="1:5" x14ac:dyDescent="0.25">
      <c r="A2821" s="35">
        <v>46072.570578993051</v>
      </c>
      <c r="B2821" s="22" t="s">
        <v>162</v>
      </c>
      <c r="C2821" s="22" t="s">
        <v>489</v>
      </c>
      <c r="D2821" s="22" t="s">
        <v>468</v>
      </c>
      <c r="E2821" s="22" t="s">
        <v>490</v>
      </c>
    </row>
    <row r="2822" spans="1:5" x14ac:dyDescent="0.25">
      <c r="A2822" s="35">
        <v>46072.570580706015</v>
      </c>
      <c r="B2822" s="22" t="s">
        <v>164</v>
      </c>
      <c r="C2822" s="22" t="s">
        <v>489</v>
      </c>
      <c r="D2822" s="22" t="s">
        <v>582</v>
      </c>
      <c r="E2822" s="22" t="s">
        <v>490</v>
      </c>
    </row>
    <row r="2823" spans="1:5" x14ac:dyDescent="0.25">
      <c r="A2823" s="35">
        <v>46072.570582546294</v>
      </c>
      <c r="B2823" s="22" t="s">
        <v>166</v>
      </c>
      <c r="C2823" s="22" t="s">
        <v>489</v>
      </c>
      <c r="D2823" s="22" t="s">
        <v>582</v>
      </c>
      <c r="E2823" s="22" t="s">
        <v>490</v>
      </c>
    </row>
    <row r="2824" spans="1:5" x14ac:dyDescent="0.25">
      <c r="A2824" s="35">
        <v>46072.570584305555</v>
      </c>
      <c r="B2824" s="22" t="s">
        <v>169</v>
      </c>
      <c r="C2824" s="22" t="s">
        <v>489</v>
      </c>
      <c r="D2824" s="22" t="s">
        <v>500</v>
      </c>
      <c r="E2824" s="22" t="s">
        <v>490</v>
      </c>
    </row>
    <row r="2825" spans="1:5" x14ac:dyDescent="0.25">
      <c r="A2825" s="35">
        <v>46072.570586076385</v>
      </c>
      <c r="B2825" s="22" t="s">
        <v>171</v>
      </c>
      <c r="C2825" s="22" t="s">
        <v>489</v>
      </c>
      <c r="D2825" s="22" t="s">
        <v>582</v>
      </c>
      <c r="E2825" s="22" t="s">
        <v>490</v>
      </c>
    </row>
    <row r="2826" spans="1:5" x14ac:dyDescent="0.25">
      <c r="A2826" s="35">
        <v>46072.57058792824</v>
      </c>
      <c r="B2826" s="22" t="s">
        <v>172</v>
      </c>
      <c r="C2826" s="22" t="s">
        <v>489</v>
      </c>
      <c r="D2826" s="22" t="s">
        <v>500</v>
      </c>
      <c r="E2826" s="22" t="s">
        <v>490</v>
      </c>
    </row>
    <row r="2827" spans="1:5" x14ac:dyDescent="0.25">
      <c r="A2827" s="35">
        <v>46072.570589710653</v>
      </c>
      <c r="B2827" s="22" t="s">
        <v>173</v>
      </c>
      <c r="C2827" s="22" t="s">
        <v>489</v>
      </c>
      <c r="D2827" s="22" t="s">
        <v>500</v>
      </c>
      <c r="E2827" s="22" t="s">
        <v>490</v>
      </c>
    </row>
    <row r="2828" spans="1:5" x14ac:dyDescent="0.25">
      <c r="A2828" s="35">
        <v>46072.570591631942</v>
      </c>
      <c r="B2828" s="22" t="s">
        <v>181</v>
      </c>
      <c r="C2828" s="22" t="s">
        <v>489</v>
      </c>
      <c r="D2828" s="22" t="s">
        <v>500</v>
      </c>
      <c r="E2828" s="22" t="s">
        <v>490</v>
      </c>
    </row>
    <row r="2829" spans="1:5" x14ac:dyDescent="0.25">
      <c r="A2829" s="35">
        <v>46072.570593425931</v>
      </c>
      <c r="B2829" s="22" t="s">
        <v>188</v>
      </c>
      <c r="C2829" s="22" t="s">
        <v>489</v>
      </c>
      <c r="D2829" s="22" t="s">
        <v>500</v>
      </c>
      <c r="E2829" s="22" t="s">
        <v>490</v>
      </c>
    </row>
    <row r="2830" spans="1:5" x14ac:dyDescent="0.25">
      <c r="A2830" s="35">
        <v>46072.570595046302</v>
      </c>
      <c r="B2830" s="22" t="s">
        <v>189</v>
      </c>
      <c r="C2830" s="22" t="s">
        <v>489</v>
      </c>
      <c r="D2830" s="22" t="s">
        <v>500</v>
      </c>
      <c r="E2830" s="22" t="s">
        <v>490</v>
      </c>
    </row>
    <row r="2831" spans="1:5" x14ac:dyDescent="0.25">
      <c r="A2831" s="35">
        <v>46072.570596979167</v>
      </c>
      <c r="B2831" s="22" t="s">
        <v>190</v>
      </c>
      <c r="C2831" s="22" t="s">
        <v>489</v>
      </c>
      <c r="D2831" s="22" t="s">
        <v>468</v>
      </c>
      <c r="E2831" s="22" t="s">
        <v>490</v>
      </c>
    </row>
    <row r="2832" spans="1:5" x14ac:dyDescent="0.25">
      <c r="A2832" s="35">
        <v>46072.570598912032</v>
      </c>
      <c r="B2832" s="22" t="s">
        <v>201</v>
      </c>
      <c r="C2832" s="22" t="s">
        <v>482</v>
      </c>
      <c r="D2832" s="22" t="s">
        <v>449</v>
      </c>
      <c r="E2832" s="22" t="s">
        <v>490</v>
      </c>
    </row>
    <row r="2833" spans="1:5" x14ac:dyDescent="0.25">
      <c r="A2833" s="35">
        <v>46072.570600648149</v>
      </c>
      <c r="B2833" s="22" t="s">
        <v>203</v>
      </c>
      <c r="C2833" s="22" t="s">
        <v>489</v>
      </c>
      <c r="D2833" s="22" t="s">
        <v>500</v>
      </c>
      <c r="E2833" s="22" t="s">
        <v>490</v>
      </c>
    </row>
    <row r="2834" spans="1:5" x14ac:dyDescent="0.25">
      <c r="A2834" s="35">
        <v>46072.570605729168</v>
      </c>
      <c r="B2834" s="22" t="s">
        <v>205</v>
      </c>
      <c r="C2834" s="22" t="s">
        <v>489</v>
      </c>
      <c r="D2834" s="22" t="s">
        <v>500</v>
      </c>
      <c r="E2834" s="22" t="s">
        <v>490</v>
      </c>
    </row>
    <row r="2835" spans="1:5" x14ac:dyDescent="0.25">
      <c r="A2835" s="35">
        <v>46072.570607465277</v>
      </c>
      <c r="B2835" s="22" t="s">
        <v>207</v>
      </c>
      <c r="C2835" s="22" t="s">
        <v>489</v>
      </c>
      <c r="D2835" s="22" t="s">
        <v>468</v>
      </c>
      <c r="E2835" s="22" t="s">
        <v>490</v>
      </c>
    </row>
    <row r="2836" spans="1:5" x14ac:dyDescent="0.25">
      <c r="A2836" s="35">
        <v>46072.570609212962</v>
      </c>
      <c r="B2836" s="22" t="s">
        <v>212</v>
      </c>
      <c r="C2836" s="22" t="s">
        <v>482</v>
      </c>
      <c r="D2836" s="22" t="s">
        <v>449</v>
      </c>
      <c r="E2836" s="22" t="s">
        <v>490</v>
      </c>
    </row>
    <row r="2837" spans="1:5" x14ac:dyDescent="0.25">
      <c r="A2837" s="35">
        <v>46072.570611261574</v>
      </c>
      <c r="B2837" s="22" t="s">
        <v>213</v>
      </c>
      <c r="C2837" s="22" t="s">
        <v>489</v>
      </c>
      <c r="D2837" s="22" t="s">
        <v>468</v>
      </c>
      <c r="E2837" s="22" t="s">
        <v>490</v>
      </c>
    </row>
    <row r="2838" spans="1:5" x14ac:dyDescent="0.25">
      <c r="A2838" s="35">
        <v>46072.570613483796</v>
      </c>
      <c r="B2838" s="22" t="s">
        <v>224</v>
      </c>
      <c r="C2838" s="22" t="s">
        <v>489</v>
      </c>
      <c r="D2838" s="22" t="s">
        <v>468</v>
      </c>
      <c r="E2838" s="22" t="s">
        <v>490</v>
      </c>
    </row>
    <row r="2839" spans="1:5" x14ac:dyDescent="0.25">
      <c r="A2839" s="35">
        <v>46072.570618217593</v>
      </c>
      <c r="B2839" s="22" t="s">
        <v>226</v>
      </c>
      <c r="C2839" s="22" t="s">
        <v>489</v>
      </c>
      <c r="D2839" s="22" t="s">
        <v>468</v>
      </c>
      <c r="E2839" s="22" t="s">
        <v>490</v>
      </c>
    </row>
    <row r="2840" spans="1:5" x14ac:dyDescent="0.25">
      <c r="A2840" s="35">
        <v>46072.570620023151</v>
      </c>
      <c r="B2840" s="22" t="s">
        <v>227</v>
      </c>
      <c r="C2840" s="22" t="s">
        <v>489</v>
      </c>
      <c r="D2840" s="22" t="s">
        <v>468</v>
      </c>
      <c r="E2840" s="22" t="s">
        <v>490</v>
      </c>
    </row>
    <row r="2841" spans="1:5" x14ac:dyDescent="0.25">
      <c r="A2841" s="35">
        <v>46072.570622002313</v>
      </c>
      <c r="B2841" s="22" t="s">
        <v>228</v>
      </c>
      <c r="C2841" s="22" t="s">
        <v>489</v>
      </c>
      <c r="D2841" s="22" t="s">
        <v>582</v>
      </c>
      <c r="E2841" s="22" t="s">
        <v>490</v>
      </c>
    </row>
    <row r="2842" spans="1:5" x14ac:dyDescent="0.25">
      <c r="A2842" s="35">
        <v>46072.570623900465</v>
      </c>
      <c r="B2842" s="22" t="s">
        <v>245</v>
      </c>
      <c r="C2842" s="22" t="s">
        <v>489</v>
      </c>
      <c r="D2842" s="22" t="s">
        <v>468</v>
      </c>
      <c r="E2842" s="22" t="s">
        <v>490</v>
      </c>
    </row>
    <row r="2843" spans="1:5" x14ac:dyDescent="0.25">
      <c r="A2843" s="35">
        <v>46072.570630775459</v>
      </c>
      <c r="B2843" s="22" t="s">
        <v>249</v>
      </c>
      <c r="C2843" s="22" t="s">
        <v>482</v>
      </c>
      <c r="D2843" s="22" t="s">
        <v>449</v>
      </c>
      <c r="E2843" s="22" t="s">
        <v>490</v>
      </c>
    </row>
    <row r="2844" spans="1:5" x14ac:dyDescent="0.25">
      <c r="A2844" s="35">
        <v>46072.570632685187</v>
      </c>
      <c r="B2844" s="22" t="s">
        <v>250</v>
      </c>
      <c r="C2844" s="22" t="s">
        <v>489</v>
      </c>
      <c r="D2844" s="22" t="s">
        <v>468</v>
      </c>
      <c r="E2844" s="22" t="s">
        <v>490</v>
      </c>
    </row>
    <row r="2845" spans="1:5" x14ac:dyDescent="0.25">
      <c r="A2845" s="35">
        <v>46072.570634745367</v>
      </c>
      <c r="B2845" s="22" t="s">
        <v>254</v>
      </c>
      <c r="C2845" s="22" t="s">
        <v>482</v>
      </c>
      <c r="D2845" s="22" t="s">
        <v>516</v>
      </c>
      <c r="E2845" s="22" t="s">
        <v>490</v>
      </c>
    </row>
    <row r="2846" spans="1:5" x14ac:dyDescent="0.25">
      <c r="A2846" s="35">
        <v>46072.570644849533</v>
      </c>
      <c r="B2846" s="22" t="s">
        <v>255</v>
      </c>
      <c r="C2846" s="22" t="s">
        <v>482</v>
      </c>
      <c r="D2846" s="22" t="s">
        <v>449</v>
      </c>
      <c r="E2846" s="22" t="s">
        <v>490</v>
      </c>
    </row>
    <row r="2847" spans="1:5" x14ac:dyDescent="0.25">
      <c r="A2847" s="35">
        <v>46072.570646828703</v>
      </c>
      <c r="B2847" s="22" t="s">
        <v>256</v>
      </c>
      <c r="C2847" s="22" t="s">
        <v>489</v>
      </c>
      <c r="D2847" s="22" t="s">
        <v>468</v>
      </c>
      <c r="E2847" s="22" t="s">
        <v>490</v>
      </c>
    </row>
    <row r="2848" spans="1:5" x14ac:dyDescent="0.25">
      <c r="A2848" s="35">
        <v>46072.570648796296</v>
      </c>
      <c r="B2848" s="22" t="s">
        <v>257</v>
      </c>
      <c r="C2848" s="22" t="s">
        <v>489</v>
      </c>
      <c r="D2848" s="22" t="s">
        <v>468</v>
      </c>
      <c r="E2848" s="22" t="s">
        <v>490</v>
      </c>
    </row>
    <row r="2849" spans="1:5" x14ac:dyDescent="0.25">
      <c r="A2849" s="35">
        <v>46072.570650914349</v>
      </c>
      <c r="B2849" s="22" t="s">
        <v>262</v>
      </c>
      <c r="C2849" s="22" t="s">
        <v>489</v>
      </c>
      <c r="D2849" s="22" t="s">
        <v>500</v>
      </c>
      <c r="E2849" s="22" t="s">
        <v>490</v>
      </c>
    </row>
    <row r="2850" spans="1:5" x14ac:dyDescent="0.25">
      <c r="A2850" s="35">
        <v>46072.57065292824</v>
      </c>
      <c r="B2850" s="22" t="s">
        <v>263</v>
      </c>
      <c r="C2850" s="22" t="s">
        <v>482</v>
      </c>
      <c r="D2850" s="22" t="s">
        <v>449</v>
      </c>
      <c r="E2850" s="22" t="s">
        <v>490</v>
      </c>
    </row>
    <row r="2851" spans="1:5" x14ac:dyDescent="0.25">
      <c r="A2851" s="35">
        <v>46072.5706578588</v>
      </c>
      <c r="B2851" s="22" t="s">
        <v>271</v>
      </c>
      <c r="C2851" s="22" t="s">
        <v>482</v>
      </c>
      <c r="D2851" s="22" t="s">
        <v>449</v>
      </c>
      <c r="E2851" s="22" t="s">
        <v>490</v>
      </c>
    </row>
    <row r="2852" spans="1:5" x14ac:dyDescent="0.25">
      <c r="A2852" s="35">
        <v>46072.570659803241</v>
      </c>
      <c r="B2852" s="22" t="s">
        <v>277</v>
      </c>
      <c r="C2852" s="22" t="s">
        <v>482</v>
      </c>
      <c r="D2852" s="22" t="s">
        <v>449</v>
      </c>
      <c r="E2852" s="22" t="s">
        <v>490</v>
      </c>
    </row>
    <row r="2853" spans="1:5" x14ac:dyDescent="0.25">
      <c r="A2853" s="35">
        <v>46072.570661736114</v>
      </c>
      <c r="B2853" s="22" t="s">
        <v>279</v>
      </c>
      <c r="C2853" s="22" t="s">
        <v>482</v>
      </c>
      <c r="D2853" s="22" t="s">
        <v>449</v>
      </c>
      <c r="E2853" s="22" t="s">
        <v>490</v>
      </c>
    </row>
    <row r="2854" spans="1:5" x14ac:dyDescent="0.25">
      <c r="A2854" s="35">
        <v>46072.570663958337</v>
      </c>
      <c r="B2854" s="22" t="s">
        <v>285</v>
      </c>
      <c r="C2854" s="22" t="s">
        <v>482</v>
      </c>
      <c r="D2854" s="22" t="s">
        <v>449</v>
      </c>
      <c r="E2854" s="22" t="s">
        <v>490</v>
      </c>
    </row>
    <row r="2855" spans="1:5" x14ac:dyDescent="0.25">
      <c r="A2855" s="35">
        <v>46072.570665902778</v>
      </c>
      <c r="B2855" s="22" t="s">
        <v>286</v>
      </c>
      <c r="C2855" s="22" t="s">
        <v>489</v>
      </c>
      <c r="D2855" s="22" t="s">
        <v>582</v>
      </c>
      <c r="E2855" s="22" t="s">
        <v>490</v>
      </c>
    </row>
    <row r="2856" spans="1:5" x14ac:dyDescent="0.25">
      <c r="A2856" s="35">
        <v>46072.570667881941</v>
      </c>
      <c r="B2856" s="22" t="s">
        <v>291</v>
      </c>
      <c r="C2856" s="22" t="s">
        <v>489</v>
      </c>
      <c r="D2856" s="22" t="s">
        <v>500</v>
      </c>
      <c r="E2856" s="22" t="s">
        <v>490</v>
      </c>
    </row>
    <row r="2857" spans="1:5" x14ac:dyDescent="0.25">
      <c r="A2857" s="35">
        <v>46072.570670196757</v>
      </c>
      <c r="B2857" s="22" t="s">
        <v>293</v>
      </c>
      <c r="C2857" s="22" t="s">
        <v>489</v>
      </c>
      <c r="D2857" s="22" t="s">
        <v>468</v>
      </c>
      <c r="E2857" s="22" t="s">
        <v>490</v>
      </c>
    </row>
    <row r="2858" spans="1:5" x14ac:dyDescent="0.25">
      <c r="A2858" s="35">
        <v>46072.570672777772</v>
      </c>
      <c r="B2858" s="22" t="s">
        <v>294</v>
      </c>
      <c r="C2858" s="22" t="s">
        <v>489</v>
      </c>
      <c r="D2858" s="22" t="s">
        <v>468</v>
      </c>
      <c r="E2858" s="22" t="s">
        <v>490</v>
      </c>
    </row>
    <row r="2859" spans="1:5" x14ac:dyDescent="0.25">
      <c r="A2859" s="35">
        <v>46072.570674606482</v>
      </c>
      <c r="B2859" s="22" t="s">
        <v>296</v>
      </c>
      <c r="C2859" s="22" t="s">
        <v>489</v>
      </c>
      <c r="D2859" s="22" t="s">
        <v>500</v>
      </c>
      <c r="E2859" s="22" t="s">
        <v>490</v>
      </c>
    </row>
    <row r="2860" spans="1:5" x14ac:dyDescent="0.25">
      <c r="A2860" s="35">
        <v>46072.570676516203</v>
      </c>
      <c r="B2860" s="22" t="s">
        <v>297</v>
      </c>
      <c r="C2860" s="22" t="s">
        <v>489</v>
      </c>
      <c r="D2860" s="22" t="s">
        <v>468</v>
      </c>
      <c r="E2860" s="22" t="s">
        <v>490</v>
      </c>
    </row>
    <row r="2861" spans="1:5" x14ac:dyDescent="0.25">
      <c r="A2861" s="35">
        <v>46072.570678518518</v>
      </c>
      <c r="B2861" s="22" t="s">
        <v>299</v>
      </c>
      <c r="C2861" s="22" t="s">
        <v>489</v>
      </c>
      <c r="D2861" s="22" t="s">
        <v>468</v>
      </c>
      <c r="E2861" s="22" t="s">
        <v>490</v>
      </c>
    </row>
    <row r="2862" spans="1:5" x14ac:dyDescent="0.25">
      <c r="A2862" s="35">
        <v>46072.570687465282</v>
      </c>
      <c r="B2862" s="22" t="s">
        <v>301</v>
      </c>
      <c r="C2862" s="22" t="s">
        <v>482</v>
      </c>
      <c r="D2862" s="22" t="s">
        <v>449</v>
      </c>
      <c r="E2862" s="22" t="s">
        <v>490</v>
      </c>
    </row>
    <row r="2863" spans="1:5" x14ac:dyDescent="0.25">
      <c r="A2863" s="35">
        <v>46072.570689363427</v>
      </c>
      <c r="B2863" s="22" t="s">
        <v>304</v>
      </c>
      <c r="C2863" s="22" t="s">
        <v>489</v>
      </c>
      <c r="D2863" s="22" t="s">
        <v>500</v>
      </c>
      <c r="E2863" s="22" t="s">
        <v>490</v>
      </c>
    </row>
    <row r="2864" spans="1:5" x14ac:dyDescent="0.25">
      <c r="A2864" s="35">
        <v>46072.570691180561</v>
      </c>
      <c r="B2864" s="22" t="s">
        <v>305</v>
      </c>
      <c r="C2864" s="22" t="s">
        <v>489</v>
      </c>
      <c r="D2864" s="22" t="s">
        <v>469</v>
      </c>
      <c r="E2864" s="22" t="s">
        <v>490</v>
      </c>
    </row>
    <row r="2865" spans="1:5" x14ac:dyDescent="0.25">
      <c r="A2865" s="35">
        <v>46072.570693043977</v>
      </c>
      <c r="B2865" s="22" t="s">
        <v>307</v>
      </c>
      <c r="C2865" s="22" t="s">
        <v>482</v>
      </c>
      <c r="D2865" s="22" t="s">
        <v>449</v>
      </c>
      <c r="E2865" s="22" t="s">
        <v>490</v>
      </c>
    </row>
    <row r="2866" spans="1:5" x14ac:dyDescent="0.25">
      <c r="A2866" s="35">
        <v>46072.570694907408</v>
      </c>
      <c r="B2866" s="22" t="s">
        <v>310</v>
      </c>
      <c r="C2866" s="22" t="s">
        <v>482</v>
      </c>
      <c r="D2866" s="22" t="s">
        <v>449</v>
      </c>
      <c r="E2866" s="22" t="s">
        <v>490</v>
      </c>
    </row>
    <row r="2867" spans="1:5" x14ac:dyDescent="0.25">
      <c r="A2867" s="35">
        <v>46072.570696921292</v>
      </c>
      <c r="B2867" s="22" t="s">
        <v>311</v>
      </c>
      <c r="C2867" s="22" t="s">
        <v>482</v>
      </c>
      <c r="D2867" s="22" t="s">
        <v>449</v>
      </c>
      <c r="E2867" s="22" t="s">
        <v>490</v>
      </c>
    </row>
    <row r="2868" spans="1:5" x14ac:dyDescent="0.25">
      <c r="A2868" s="35">
        <v>46072.570698715281</v>
      </c>
      <c r="B2868" s="22" t="s">
        <v>312</v>
      </c>
      <c r="C2868" s="22" t="s">
        <v>482</v>
      </c>
      <c r="D2868" s="22" t="s">
        <v>516</v>
      </c>
      <c r="E2868" s="22" t="s">
        <v>490</v>
      </c>
    </row>
    <row r="2869" spans="1:5" x14ac:dyDescent="0.25">
      <c r="A2869" s="35">
        <v>46072.570700648153</v>
      </c>
      <c r="B2869" s="22" t="s">
        <v>313</v>
      </c>
      <c r="C2869" s="22" t="s">
        <v>489</v>
      </c>
      <c r="D2869" s="22" t="s">
        <v>468</v>
      </c>
      <c r="E2869" s="22" t="s">
        <v>490</v>
      </c>
    </row>
    <row r="2870" spans="1:5" x14ac:dyDescent="0.25">
      <c r="A2870" s="35">
        <v>46072.570702766199</v>
      </c>
      <c r="B2870" s="22" t="s">
        <v>319</v>
      </c>
      <c r="C2870" s="22" t="s">
        <v>489</v>
      </c>
      <c r="D2870" s="22" t="s">
        <v>468</v>
      </c>
      <c r="E2870" s="22" t="s">
        <v>490</v>
      </c>
    </row>
    <row r="2871" spans="1:5" x14ac:dyDescent="0.25">
      <c r="A2871" s="35">
        <v>46072.570704745369</v>
      </c>
      <c r="B2871" s="22" t="s">
        <v>324</v>
      </c>
      <c r="C2871" s="22" t="s">
        <v>482</v>
      </c>
      <c r="D2871" s="22" t="s">
        <v>449</v>
      </c>
      <c r="E2871" s="22" t="s">
        <v>490</v>
      </c>
    </row>
    <row r="2872" spans="1:5" x14ac:dyDescent="0.25">
      <c r="A2872" s="35">
        <v>46072.570706516199</v>
      </c>
      <c r="B2872" s="22" t="s">
        <v>327</v>
      </c>
      <c r="C2872" s="22" t="s">
        <v>482</v>
      </c>
      <c r="D2872" s="22" t="s">
        <v>449</v>
      </c>
      <c r="E2872" s="22" t="s">
        <v>490</v>
      </c>
    </row>
    <row r="2873" spans="1:5" x14ac:dyDescent="0.25">
      <c r="A2873" s="35">
        <v>46072.570708425927</v>
      </c>
      <c r="B2873" s="22" t="s">
        <v>339</v>
      </c>
      <c r="C2873" s="22" t="s">
        <v>482</v>
      </c>
      <c r="D2873" s="22" t="s">
        <v>449</v>
      </c>
      <c r="E2873" s="22" t="s">
        <v>490</v>
      </c>
    </row>
    <row r="2874" spans="1:5" x14ac:dyDescent="0.25">
      <c r="A2874" s="35">
        <v>46072.570710185188</v>
      </c>
      <c r="B2874" s="22" t="s">
        <v>340</v>
      </c>
      <c r="C2874" s="22" t="s">
        <v>482</v>
      </c>
      <c r="D2874" s="22" t="s">
        <v>449</v>
      </c>
      <c r="E2874" s="22" t="s">
        <v>490</v>
      </c>
    </row>
    <row r="2875" spans="1:5" x14ac:dyDescent="0.25">
      <c r="A2875" s="35">
        <v>46072.570714375004</v>
      </c>
      <c r="B2875" s="22" t="s">
        <v>341</v>
      </c>
      <c r="C2875" s="22" t="s">
        <v>482</v>
      </c>
      <c r="D2875" s="22" t="s">
        <v>449</v>
      </c>
      <c r="E2875" s="22" t="s">
        <v>490</v>
      </c>
    </row>
    <row r="2876" spans="1:5" x14ac:dyDescent="0.25">
      <c r="A2876" s="35">
        <v>46072.570717175928</v>
      </c>
      <c r="B2876" s="22" t="s">
        <v>344</v>
      </c>
      <c r="C2876" s="22" t="s">
        <v>482</v>
      </c>
      <c r="D2876" s="22" t="s">
        <v>449</v>
      </c>
      <c r="E2876" s="22" t="s">
        <v>490</v>
      </c>
    </row>
    <row r="2877" spans="1:5" x14ac:dyDescent="0.25">
      <c r="A2877" s="35">
        <v>46072.570718946758</v>
      </c>
      <c r="B2877" s="22" t="s">
        <v>346</v>
      </c>
      <c r="C2877" s="22" t="s">
        <v>489</v>
      </c>
      <c r="D2877" s="22" t="s">
        <v>500</v>
      </c>
      <c r="E2877" s="22" t="s">
        <v>490</v>
      </c>
    </row>
    <row r="2878" spans="1:5" x14ac:dyDescent="0.25">
      <c r="A2878" s="35">
        <v>46072.570722916666</v>
      </c>
      <c r="B2878" s="22" t="s">
        <v>348</v>
      </c>
      <c r="C2878" s="22" t="s">
        <v>489</v>
      </c>
      <c r="D2878" s="22" t="s">
        <v>500</v>
      </c>
      <c r="E2878" s="22" t="s">
        <v>490</v>
      </c>
    </row>
    <row r="2879" spans="1:5" x14ac:dyDescent="0.25">
      <c r="A2879" s="35">
        <v>46072.570724571764</v>
      </c>
      <c r="B2879" s="22" t="s">
        <v>349</v>
      </c>
      <c r="C2879" s="22" t="s">
        <v>489</v>
      </c>
      <c r="D2879" s="22" t="s">
        <v>500</v>
      </c>
      <c r="E2879" s="22" t="s">
        <v>490</v>
      </c>
    </row>
    <row r="2880" spans="1:5" x14ac:dyDescent="0.25">
      <c r="A2880" s="35">
        <v>46072.570726469909</v>
      </c>
      <c r="B2880" s="22" t="s">
        <v>350</v>
      </c>
      <c r="C2880" s="22" t="s">
        <v>489</v>
      </c>
      <c r="D2880" s="22" t="s">
        <v>468</v>
      </c>
      <c r="E2880" s="22" t="s">
        <v>490</v>
      </c>
    </row>
    <row r="2881" spans="1:5" x14ac:dyDescent="0.25">
      <c r="A2881" s="35">
        <v>46072.570728321763</v>
      </c>
      <c r="B2881" s="22" t="s">
        <v>363</v>
      </c>
      <c r="C2881" s="22" t="s">
        <v>489</v>
      </c>
      <c r="D2881" s="22" t="s">
        <v>468</v>
      </c>
      <c r="E2881" s="22" t="s">
        <v>490</v>
      </c>
    </row>
    <row r="2882" spans="1:5" x14ac:dyDescent="0.25">
      <c r="A2882" s="35">
        <v>46072.570730312495</v>
      </c>
      <c r="B2882" s="22" t="s">
        <v>372</v>
      </c>
      <c r="C2882" s="22" t="s">
        <v>489</v>
      </c>
      <c r="D2882" s="22" t="s">
        <v>468</v>
      </c>
      <c r="E2882" s="22" t="s">
        <v>490</v>
      </c>
    </row>
    <row r="2883" spans="1:5" x14ac:dyDescent="0.25">
      <c r="A2883" s="35">
        <v>46072.570732245367</v>
      </c>
      <c r="B2883" s="22" t="s">
        <v>373</v>
      </c>
      <c r="C2883" s="22" t="s">
        <v>489</v>
      </c>
      <c r="D2883" s="22" t="s">
        <v>468</v>
      </c>
      <c r="E2883" s="22" t="s">
        <v>490</v>
      </c>
    </row>
    <row r="2884" spans="1:5" x14ac:dyDescent="0.25">
      <c r="A2884" s="35">
        <v>46072.570738599534</v>
      </c>
      <c r="B2884" s="22" t="s">
        <v>375</v>
      </c>
      <c r="C2884" s="22" t="s">
        <v>482</v>
      </c>
      <c r="D2884" s="22" t="s">
        <v>449</v>
      </c>
      <c r="E2884" s="22" t="s">
        <v>490</v>
      </c>
    </row>
    <row r="2885" spans="1:5" x14ac:dyDescent="0.25">
      <c r="A2885" s="35">
        <v>46072.570740636569</v>
      </c>
      <c r="B2885" s="22" t="s">
        <v>378</v>
      </c>
      <c r="C2885" s="22" t="s">
        <v>482</v>
      </c>
      <c r="D2885" s="22" t="s">
        <v>449</v>
      </c>
      <c r="E2885" s="22" t="s">
        <v>490</v>
      </c>
    </row>
    <row r="2886" spans="1:5" x14ac:dyDescent="0.25">
      <c r="A2886" s="35">
        <v>46072.570742442127</v>
      </c>
      <c r="B2886" s="22" t="s">
        <v>380</v>
      </c>
      <c r="C2886" s="22" t="s">
        <v>489</v>
      </c>
      <c r="D2886" s="22" t="s">
        <v>500</v>
      </c>
      <c r="E2886" s="22" t="s">
        <v>490</v>
      </c>
    </row>
    <row r="2887" spans="1:5" x14ac:dyDescent="0.25">
      <c r="A2887" s="35">
        <v>46072.570744722223</v>
      </c>
      <c r="B2887" s="22" t="s">
        <v>381</v>
      </c>
      <c r="C2887" s="22" t="s">
        <v>489</v>
      </c>
      <c r="D2887" s="22" t="s">
        <v>468</v>
      </c>
      <c r="E2887" s="22" t="s">
        <v>490</v>
      </c>
    </row>
    <row r="2888" spans="1:5" x14ac:dyDescent="0.25">
      <c r="A2888" s="35">
        <v>46072.570749444443</v>
      </c>
      <c r="B2888" s="22" t="s">
        <v>385</v>
      </c>
      <c r="C2888" s="22" t="s">
        <v>489</v>
      </c>
      <c r="D2888" s="22" t="s">
        <v>500</v>
      </c>
      <c r="E2888" s="22" t="s">
        <v>490</v>
      </c>
    </row>
    <row r="2889" spans="1:5" x14ac:dyDescent="0.25">
      <c r="A2889" s="35">
        <v>46072.570751585648</v>
      </c>
      <c r="B2889" s="22" t="s">
        <v>386</v>
      </c>
      <c r="C2889" s="22" t="s">
        <v>489</v>
      </c>
      <c r="D2889" s="22" t="s">
        <v>500</v>
      </c>
      <c r="E2889" s="22" t="s">
        <v>490</v>
      </c>
    </row>
    <row r="2890" spans="1:5" x14ac:dyDescent="0.25">
      <c r="A2890" s="35">
        <v>46072.570753622684</v>
      </c>
      <c r="B2890" s="22" t="s">
        <v>387</v>
      </c>
      <c r="C2890" s="22" t="s">
        <v>489</v>
      </c>
      <c r="D2890" s="22" t="s">
        <v>468</v>
      </c>
      <c r="E2890" s="22" t="s">
        <v>490</v>
      </c>
    </row>
    <row r="2891" spans="1:5" x14ac:dyDescent="0.25">
      <c r="A2891" s="35">
        <v>46072.57075543981</v>
      </c>
      <c r="B2891" s="22" t="s">
        <v>397</v>
      </c>
      <c r="C2891" s="22" t="s">
        <v>482</v>
      </c>
      <c r="D2891" s="22" t="s">
        <v>449</v>
      </c>
      <c r="E2891" s="22" t="s">
        <v>490</v>
      </c>
    </row>
    <row r="2892" spans="1:5" x14ac:dyDescent="0.25">
      <c r="A2892" s="35">
        <v>46072.570757337962</v>
      </c>
      <c r="B2892" s="22" t="s">
        <v>400</v>
      </c>
      <c r="C2892" s="22" t="s">
        <v>489</v>
      </c>
      <c r="D2892" s="22" t="s">
        <v>468</v>
      </c>
      <c r="E2892" s="22" t="s">
        <v>490</v>
      </c>
    </row>
    <row r="2893" spans="1:5" x14ac:dyDescent="0.25">
      <c r="A2893" s="35">
        <v>46072.57075914352</v>
      </c>
      <c r="B2893" s="22" t="s">
        <v>405</v>
      </c>
      <c r="C2893" s="22" t="s">
        <v>489</v>
      </c>
      <c r="D2893" s="22" t="s">
        <v>582</v>
      </c>
      <c r="E2893" s="22" t="s">
        <v>490</v>
      </c>
    </row>
    <row r="2894" spans="1:5" x14ac:dyDescent="0.25">
      <c r="A2894" s="35">
        <v>46072.570761168987</v>
      </c>
      <c r="B2894" s="22" t="s">
        <v>406</v>
      </c>
      <c r="C2894" s="22" t="s">
        <v>489</v>
      </c>
      <c r="D2894" s="22" t="s">
        <v>582</v>
      </c>
      <c r="E2894" s="22" t="s">
        <v>490</v>
      </c>
    </row>
    <row r="2895" spans="1:5" x14ac:dyDescent="0.25">
      <c r="A2895" s="35">
        <v>46072.570763124997</v>
      </c>
      <c r="B2895" s="22" t="s">
        <v>422</v>
      </c>
      <c r="C2895" s="22" t="s">
        <v>489</v>
      </c>
      <c r="D2895" s="22" t="s">
        <v>468</v>
      </c>
      <c r="E2895" s="22" t="s">
        <v>490</v>
      </c>
    </row>
    <row r="2896" spans="1:5" x14ac:dyDescent="0.25">
      <c r="A2896" s="35">
        <v>46072.577578425931</v>
      </c>
      <c r="B2896" s="22" t="s">
        <v>78</v>
      </c>
      <c r="C2896" s="22" t="s">
        <v>489</v>
      </c>
      <c r="D2896" s="22" t="s">
        <v>468</v>
      </c>
      <c r="E2896" s="22" t="s">
        <v>1895</v>
      </c>
    </row>
    <row r="2897" spans="1:5" x14ac:dyDescent="0.25">
      <c r="A2897" s="35">
        <v>46072.577582118058</v>
      </c>
      <c r="B2897" s="22" t="s">
        <v>80</v>
      </c>
      <c r="C2897" s="22" t="s">
        <v>489</v>
      </c>
      <c r="D2897" s="22" t="s">
        <v>468</v>
      </c>
      <c r="E2897" s="22" t="s">
        <v>1895</v>
      </c>
    </row>
    <row r="2898" spans="1:5" x14ac:dyDescent="0.25">
      <c r="A2898" s="35">
        <v>46072.577591064815</v>
      </c>
      <c r="B2898" s="22" t="s">
        <v>110</v>
      </c>
      <c r="C2898" s="22" t="s">
        <v>489</v>
      </c>
      <c r="D2898" s="22" t="s">
        <v>468</v>
      </c>
      <c r="E2898" s="22" t="s">
        <v>1895</v>
      </c>
    </row>
    <row r="2899" spans="1:5" x14ac:dyDescent="0.25">
      <c r="A2899" s="35">
        <v>46072.577596134259</v>
      </c>
      <c r="B2899" s="22" t="s">
        <v>117</v>
      </c>
      <c r="C2899" s="22" t="s">
        <v>489</v>
      </c>
      <c r="D2899" s="22" t="s">
        <v>468</v>
      </c>
      <c r="E2899" s="22" t="s">
        <v>1895</v>
      </c>
    </row>
    <row r="2900" spans="1:5" x14ac:dyDescent="0.25">
      <c r="A2900" s="35">
        <v>46072.577599780096</v>
      </c>
      <c r="B2900" s="22" t="s">
        <v>137</v>
      </c>
      <c r="C2900" s="22" t="s">
        <v>489</v>
      </c>
      <c r="D2900" s="22" t="s">
        <v>468</v>
      </c>
      <c r="E2900" s="22" t="s">
        <v>1895</v>
      </c>
    </row>
    <row r="2901" spans="1:5" x14ac:dyDescent="0.25">
      <c r="A2901" s="35">
        <v>46072.577602638892</v>
      </c>
      <c r="B2901" s="22" t="s">
        <v>146</v>
      </c>
      <c r="C2901" s="22" t="s">
        <v>489</v>
      </c>
      <c r="D2901" s="22" t="s">
        <v>468</v>
      </c>
      <c r="E2901" s="22" t="s">
        <v>1895</v>
      </c>
    </row>
    <row r="2902" spans="1:5" x14ac:dyDescent="0.25">
      <c r="A2902" s="35">
        <v>46072.577605775463</v>
      </c>
      <c r="B2902" s="22" t="s">
        <v>160</v>
      </c>
      <c r="C2902" s="22" t="s">
        <v>489</v>
      </c>
      <c r="D2902" s="22" t="s">
        <v>468</v>
      </c>
      <c r="E2902" s="22" t="s">
        <v>1895</v>
      </c>
    </row>
    <row r="2903" spans="1:5" x14ac:dyDescent="0.25">
      <c r="A2903" s="35">
        <v>46072.577610752312</v>
      </c>
      <c r="B2903" s="22" t="s">
        <v>174</v>
      </c>
      <c r="C2903" s="22" t="s">
        <v>489</v>
      </c>
      <c r="D2903" s="22" t="s">
        <v>468</v>
      </c>
      <c r="E2903" s="22" t="s">
        <v>1895</v>
      </c>
    </row>
    <row r="2904" spans="1:5" x14ac:dyDescent="0.25">
      <c r="A2904" s="35">
        <v>46072.577613831018</v>
      </c>
      <c r="B2904" s="22" t="s">
        <v>178</v>
      </c>
      <c r="C2904" s="22" t="s">
        <v>489</v>
      </c>
      <c r="D2904" s="22" t="s">
        <v>468</v>
      </c>
      <c r="E2904" s="22" t="s">
        <v>1895</v>
      </c>
    </row>
    <row r="2905" spans="1:5" x14ac:dyDescent="0.25">
      <c r="A2905" s="35">
        <v>46072.577621909717</v>
      </c>
      <c r="B2905" s="22" t="s">
        <v>232</v>
      </c>
      <c r="C2905" s="22" t="s">
        <v>489</v>
      </c>
      <c r="D2905" s="22" t="s">
        <v>468</v>
      </c>
      <c r="E2905" s="22" t="s">
        <v>1895</v>
      </c>
    </row>
    <row r="2906" spans="1:5" x14ac:dyDescent="0.25">
      <c r="A2906" s="35">
        <v>46072.577625092592</v>
      </c>
      <c r="B2906" s="22" t="s">
        <v>234</v>
      </c>
      <c r="C2906" s="22" t="s">
        <v>489</v>
      </c>
      <c r="D2906" s="22" t="s">
        <v>468</v>
      </c>
      <c r="E2906" s="22" t="s">
        <v>1895</v>
      </c>
    </row>
    <row r="2907" spans="1:5" x14ac:dyDescent="0.25">
      <c r="A2907" s="35">
        <v>46072.577627939812</v>
      </c>
      <c r="B2907" s="22" t="s">
        <v>236</v>
      </c>
      <c r="C2907" s="22" t="s">
        <v>489</v>
      </c>
      <c r="D2907" s="22" t="s">
        <v>468</v>
      </c>
      <c r="E2907" s="22" t="s">
        <v>1895</v>
      </c>
    </row>
    <row r="2908" spans="1:5" x14ac:dyDescent="0.25">
      <c r="A2908" s="35">
        <v>46072.57763107639</v>
      </c>
      <c r="B2908" s="22" t="s">
        <v>238</v>
      </c>
      <c r="C2908" s="22" t="s">
        <v>489</v>
      </c>
      <c r="D2908" s="22" t="s">
        <v>468</v>
      </c>
      <c r="E2908" s="22" t="s">
        <v>1895</v>
      </c>
    </row>
    <row r="2909" spans="1:5" x14ac:dyDescent="0.25">
      <c r="A2909" s="35">
        <v>46072.577634386573</v>
      </c>
      <c r="B2909" s="22" t="s">
        <v>241</v>
      </c>
      <c r="C2909" s="22" t="s">
        <v>489</v>
      </c>
      <c r="D2909" s="22" t="s">
        <v>468</v>
      </c>
      <c r="E2909" s="22" t="s">
        <v>1895</v>
      </c>
    </row>
    <row r="2910" spans="1:5" x14ac:dyDescent="0.25">
      <c r="A2910" s="35">
        <v>46072.577636944443</v>
      </c>
      <c r="B2910" s="22" t="s">
        <v>243</v>
      </c>
      <c r="C2910" s="22" t="s">
        <v>489</v>
      </c>
      <c r="D2910" s="22" t="s">
        <v>468</v>
      </c>
      <c r="E2910" s="22" t="s">
        <v>1895</v>
      </c>
    </row>
    <row r="2911" spans="1:5" x14ac:dyDescent="0.25">
      <c r="A2911" s="35">
        <v>46072.577640081014</v>
      </c>
      <c r="B2911" s="22" t="s">
        <v>247</v>
      </c>
      <c r="C2911" s="22" t="s">
        <v>489</v>
      </c>
      <c r="D2911" s="22" t="s">
        <v>468</v>
      </c>
      <c r="E2911" s="22" t="s">
        <v>1895</v>
      </c>
    </row>
    <row r="2912" spans="1:5" x14ac:dyDescent="0.25">
      <c r="A2912" s="35">
        <v>46072.577642951393</v>
      </c>
      <c r="B2912" s="22" t="s">
        <v>266</v>
      </c>
      <c r="C2912" s="22" t="s">
        <v>489</v>
      </c>
      <c r="D2912" s="22" t="s">
        <v>468</v>
      </c>
      <c r="E2912" s="22" t="s">
        <v>1895</v>
      </c>
    </row>
    <row r="2913" spans="1:5" x14ac:dyDescent="0.25">
      <c r="A2913" s="35">
        <v>46072.577647951388</v>
      </c>
      <c r="B2913" s="22" t="s">
        <v>268</v>
      </c>
      <c r="C2913" s="22" t="s">
        <v>489</v>
      </c>
      <c r="D2913" s="22" t="s">
        <v>468</v>
      </c>
      <c r="E2913" s="22" t="s">
        <v>1895</v>
      </c>
    </row>
    <row r="2914" spans="1:5" x14ac:dyDescent="0.25">
      <c r="A2914" s="35">
        <v>46072.577662511569</v>
      </c>
      <c r="B2914" s="22" t="s">
        <v>273</v>
      </c>
      <c r="C2914" s="22" t="s">
        <v>489</v>
      </c>
      <c r="D2914" s="22" t="s">
        <v>468</v>
      </c>
      <c r="E2914" s="22" t="s">
        <v>1895</v>
      </c>
    </row>
    <row r="2915" spans="1:5" x14ac:dyDescent="0.25">
      <c r="A2915" s="35">
        <v>46072.577665277779</v>
      </c>
      <c r="B2915" s="22" t="s">
        <v>275</v>
      </c>
      <c r="C2915" s="22" t="s">
        <v>489</v>
      </c>
      <c r="D2915" s="22" t="s">
        <v>468</v>
      </c>
      <c r="E2915" s="22" t="s">
        <v>1895</v>
      </c>
    </row>
    <row r="2916" spans="1:5" x14ac:dyDescent="0.25">
      <c r="A2916" s="35">
        <v>46072.577668310187</v>
      </c>
      <c r="B2916" s="22" t="s">
        <v>282</v>
      </c>
      <c r="C2916" s="22" t="s">
        <v>489</v>
      </c>
      <c r="D2916" s="22" t="s">
        <v>468</v>
      </c>
      <c r="E2916" s="22" t="s">
        <v>1895</v>
      </c>
    </row>
    <row r="2917" spans="1:5" x14ac:dyDescent="0.25">
      <c r="A2917" s="35">
        <v>46072.577671030092</v>
      </c>
      <c r="B2917" s="22" t="s">
        <v>352</v>
      </c>
      <c r="C2917" s="22" t="s">
        <v>489</v>
      </c>
      <c r="D2917" s="22" t="s">
        <v>468</v>
      </c>
      <c r="E2917" s="22" t="s">
        <v>1895</v>
      </c>
    </row>
    <row r="2918" spans="1:5" x14ac:dyDescent="0.25">
      <c r="A2918" s="35">
        <v>46072.577673935186</v>
      </c>
      <c r="B2918" s="22" t="s">
        <v>355</v>
      </c>
      <c r="C2918" s="22" t="s">
        <v>489</v>
      </c>
      <c r="D2918" s="22" t="s">
        <v>468</v>
      </c>
      <c r="E2918" s="22" t="s">
        <v>1895</v>
      </c>
    </row>
    <row r="2919" spans="1:5" x14ac:dyDescent="0.25">
      <c r="A2919" s="35">
        <v>46072.577676886576</v>
      </c>
      <c r="B2919" s="22" t="s">
        <v>357</v>
      </c>
      <c r="C2919" s="22" t="s">
        <v>489</v>
      </c>
      <c r="D2919" s="22" t="s">
        <v>468</v>
      </c>
      <c r="E2919" s="22" t="s">
        <v>1895</v>
      </c>
    </row>
    <row r="2920" spans="1:5" x14ac:dyDescent="0.25">
      <c r="A2920" s="35">
        <v>46072.577679317124</v>
      </c>
      <c r="B2920" s="22" t="s">
        <v>359</v>
      </c>
      <c r="C2920" s="22" t="s">
        <v>489</v>
      </c>
      <c r="D2920" s="22" t="s">
        <v>468</v>
      </c>
      <c r="E2920" s="22" t="s">
        <v>1895</v>
      </c>
    </row>
    <row r="2921" spans="1:5" x14ac:dyDescent="0.25">
      <c r="A2921" s="35">
        <v>46072.577682488423</v>
      </c>
      <c r="B2921" s="22" t="s">
        <v>368</v>
      </c>
      <c r="C2921" s="22" t="s">
        <v>489</v>
      </c>
      <c r="D2921" s="22" t="s">
        <v>468</v>
      </c>
      <c r="E2921" s="22" t="s">
        <v>1895</v>
      </c>
    </row>
    <row r="2922" spans="1:5" x14ac:dyDescent="0.25">
      <c r="A2922" s="35">
        <v>46072.577685370372</v>
      </c>
      <c r="B2922" s="22" t="s">
        <v>369</v>
      </c>
      <c r="C2922" s="22" t="s">
        <v>489</v>
      </c>
      <c r="D2922" s="22" t="s">
        <v>468</v>
      </c>
      <c r="E2922" s="22" t="s">
        <v>1895</v>
      </c>
    </row>
    <row r="2923" spans="1:5" x14ac:dyDescent="0.25">
      <c r="A2923" s="35">
        <v>46072.57768800926</v>
      </c>
      <c r="B2923" s="22" t="s">
        <v>370</v>
      </c>
      <c r="C2923" s="22" t="s">
        <v>489</v>
      </c>
      <c r="D2923" s="22" t="s">
        <v>468</v>
      </c>
      <c r="E2923" s="22" t="s">
        <v>1895</v>
      </c>
    </row>
    <row r="2924" spans="1:5" x14ac:dyDescent="0.25">
      <c r="A2924" s="35">
        <v>46072.577690972219</v>
      </c>
      <c r="B2924" s="22" t="s">
        <v>376</v>
      </c>
      <c r="C2924" s="22" t="s">
        <v>489</v>
      </c>
      <c r="D2924" s="22" t="s">
        <v>468</v>
      </c>
      <c r="E2924" s="22" t="s">
        <v>1895</v>
      </c>
    </row>
    <row r="2925" spans="1:5" x14ac:dyDescent="0.25">
      <c r="A2925" s="35">
        <v>46072.577693576386</v>
      </c>
      <c r="B2925" s="22" t="s">
        <v>384</v>
      </c>
      <c r="C2925" s="22" t="s">
        <v>489</v>
      </c>
      <c r="D2925" s="22" t="s">
        <v>468</v>
      </c>
      <c r="E2925" s="22" t="s">
        <v>1895</v>
      </c>
    </row>
    <row r="2926" spans="1:5" x14ac:dyDescent="0.25">
      <c r="A2926" s="35">
        <v>46072.577697418979</v>
      </c>
      <c r="B2926" s="22" t="s">
        <v>388</v>
      </c>
      <c r="C2926" s="22" t="s">
        <v>489</v>
      </c>
      <c r="D2926" s="22" t="s">
        <v>468</v>
      </c>
      <c r="E2926" s="22" t="s">
        <v>1895</v>
      </c>
    </row>
    <row r="2927" spans="1:5" x14ac:dyDescent="0.25">
      <c r="A2927" s="35">
        <v>46072.577706944445</v>
      </c>
      <c r="B2927" s="22" t="s">
        <v>407</v>
      </c>
      <c r="C2927" s="22" t="s">
        <v>489</v>
      </c>
      <c r="D2927" s="22" t="s">
        <v>468</v>
      </c>
      <c r="E2927" s="22" t="s">
        <v>1895</v>
      </c>
    </row>
    <row r="2928" spans="1:5" x14ac:dyDescent="0.25">
      <c r="A2928" s="35">
        <v>46072.577709571764</v>
      </c>
      <c r="B2928" s="22" t="s">
        <v>434</v>
      </c>
      <c r="C2928" s="22" t="s">
        <v>489</v>
      </c>
      <c r="D2928" s="22" t="s">
        <v>468</v>
      </c>
      <c r="E2928" s="22" t="s">
        <v>1895</v>
      </c>
    </row>
    <row r="2929" spans="1:5" x14ac:dyDescent="0.25">
      <c r="A2929" s="35">
        <v>46072.577720034722</v>
      </c>
      <c r="B2929" s="22" t="s">
        <v>435</v>
      </c>
      <c r="C2929" s="22" t="s">
        <v>489</v>
      </c>
      <c r="D2929" s="22" t="s">
        <v>468</v>
      </c>
      <c r="E2929" s="22" t="s">
        <v>1895</v>
      </c>
    </row>
    <row r="2930" spans="1:5" x14ac:dyDescent="0.25">
      <c r="A2930" s="35">
        <v>46072.577722986112</v>
      </c>
      <c r="B2930" s="22" t="s">
        <v>436</v>
      </c>
      <c r="C2930" s="22" t="s">
        <v>489</v>
      </c>
      <c r="D2930" s="22" t="s">
        <v>468</v>
      </c>
      <c r="E2930" s="22" t="s">
        <v>1895</v>
      </c>
    </row>
    <row r="2931" spans="1:5" x14ac:dyDescent="0.25">
      <c r="A2931" s="35">
        <v>46072.577725787036</v>
      </c>
      <c r="B2931" s="22" t="s">
        <v>437</v>
      </c>
      <c r="C2931" s="22" t="s">
        <v>489</v>
      </c>
      <c r="D2931" s="22" t="s">
        <v>468</v>
      </c>
      <c r="E2931" s="22" t="s">
        <v>1895</v>
      </c>
    </row>
    <row r="2932" spans="1:5" x14ac:dyDescent="0.25">
      <c r="A2932" s="35">
        <v>46072.577729166667</v>
      </c>
      <c r="B2932" s="22" t="s">
        <v>438</v>
      </c>
      <c r="C2932" s="22" t="s">
        <v>489</v>
      </c>
      <c r="D2932" s="22" t="s">
        <v>468</v>
      </c>
      <c r="E2932" s="22" t="s">
        <v>1895</v>
      </c>
    </row>
    <row r="2933" spans="1:5" x14ac:dyDescent="0.25">
      <c r="A2933" s="35">
        <v>46072.578972037038</v>
      </c>
      <c r="B2933" s="22" t="s">
        <v>42</v>
      </c>
      <c r="C2933" s="22" t="s">
        <v>489</v>
      </c>
      <c r="D2933" s="22" t="s">
        <v>450</v>
      </c>
      <c r="E2933" s="22" t="s">
        <v>1895</v>
      </c>
    </row>
    <row r="2934" spans="1:5" x14ac:dyDescent="0.25">
      <c r="A2934" s="35">
        <v>46072.578973981479</v>
      </c>
      <c r="B2934" s="22" t="s">
        <v>55</v>
      </c>
      <c r="C2934" s="22" t="s">
        <v>489</v>
      </c>
      <c r="D2934" s="22" t="s">
        <v>450</v>
      </c>
      <c r="E2934" s="22" t="s">
        <v>1895</v>
      </c>
    </row>
    <row r="2935" spans="1:5" x14ac:dyDescent="0.25">
      <c r="A2935" s="35">
        <v>46072.578975601849</v>
      </c>
      <c r="B2935" s="22" t="s">
        <v>64</v>
      </c>
      <c r="C2935" s="22" t="s">
        <v>489</v>
      </c>
      <c r="D2935" s="22" t="s">
        <v>450</v>
      </c>
      <c r="E2935" s="22" t="s">
        <v>1895</v>
      </c>
    </row>
    <row r="2936" spans="1:5" x14ac:dyDescent="0.25">
      <c r="A2936" s="35">
        <v>46072.578977500001</v>
      </c>
      <c r="B2936" s="22" t="s">
        <v>140</v>
      </c>
      <c r="C2936" s="22" t="s">
        <v>489</v>
      </c>
      <c r="D2936" s="22" t="s">
        <v>450</v>
      </c>
      <c r="E2936" s="22" t="s">
        <v>1895</v>
      </c>
    </row>
    <row r="2937" spans="1:5" x14ac:dyDescent="0.25">
      <c r="A2937" s="35">
        <v>46072.578979456019</v>
      </c>
      <c r="B2937" s="22" t="s">
        <v>143</v>
      </c>
      <c r="C2937" s="22" t="s">
        <v>489</v>
      </c>
      <c r="D2937" s="22" t="s">
        <v>450</v>
      </c>
      <c r="E2937" s="22" t="s">
        <v>1895</v>
      </c>
    </row>
    <row r="2938" spans="1:5" x14ac:dyDescent="0.25">
      <c r="A2938" s="35">
        <v>46072.57898121528</v>
      </c>
      <c r="B2938" s="22" t="s">
        <v>158</v>
      </c>
      <c r="C2938" s="22" t="s">
        <v>489</v>
      </c>
      <c r="D2938" s="22" t="s">
        <v>450</v>
      </c>
      <c r="E2938" s="22" t="s">
        <v>1895</v>
      </c>
    </row>
    <row r="2939" spans="1:5" x14ac:dyDescent="0.25">
      <c r="A2939" s="35">
        <v>46072.578983206018</v>
      </c>
      <c r="B2939" s="22" t="s">
        <v>185</v>
      </c>
      <c r="C2939" s="22" t="s">
        <v>489</v>
      </c>
      <c r="D2939" s="22" t="s">
        <v>450</v>
      </c>
      <c r="E2939" s="22" t="s">
        <v>1895</v>
      </c>
    </row>
    <row r="2940" spans="1:5" x14ac:dyDescent="0.25">
      <c r="A2940" s="35">
        <v>46072.578984918982</v>
      </c>
      <c r="B2940" s="22" t="s">
        <v>199</v>
      </c>
      <c r="C2940" s="22" t="s">
        <v>489</v>
      </c>
      <c r="D2940" s="22" t="s">
        <v>450</v>
      </c>
      <c r="E2940" s="22" t="s">
        <v>1895</v>
      </c>
    </row>
    <row r="2941" spans="1:5" x14ac:dyDescent="0.25">
      <c r="A2941" s="35">
        <v>46072.578986747685</v>
      </c>
      <c r="B2941" s="22" t="s">
        <v>209</v>
      </c>
      <c r="C2941" s="22" t="s">
        <v>489</v>
      </c>
      <c r="D2941" s="22" t="s">
        <v>450</v>
      </c>
      <c r="E2941" s="22" t="s">
        <v>1895</v>
      </c>
    </row>
    <row r="2942" spans="1:5" x14ac:dyDescent="0.25">
      <c r="A2942" s="35">
        <v>46072.578990555558</v>
      </c>
      <c r="B2942" s="22" t="s">
        <v>215</v>
      </c>
      <c r="C2942" s="22" t="s">
        <v>489</v>
      </c>
      <c r="D2942" s="22" t="s">
        <v>450</v>
      </c>
      <c r="E2942" s="22" t="s">
        <v>1895</v>
      </c>
    </row>
    <row r="2943" spans="1:5" x14ac:dyDescent="0.25">
      <c r="A2943" s="35">
        <v>46072.578993645831</v>
      </c>
      <c r="B2943" s="22" t="s">
        <v>218</v>
      </c>
      <c r="C2943" s="22" t="s">
        <v>489</v>
      </c>
      <c r="D2943" s="22" t="s">
        <v>450</v>
      </c>
      <c r="E2943" s="22" t="s">
        <v>1895</v>
      </c>
    </row>
    <row r="2944" spans="1:5" x14ac:dyDescent="0.25">
      <c r="A2944" s="35">
        <v>46072.578995381948</v>
      </c>
      <c r="B2944" s="22" t="s">
        <v>221</v>
      </c>
      <c r="C2944" s="22" t="s">
        <v>489</v>
      </c>
      <c r="D2944" s="22" t="s">
        <v>450</v>
      </c>
      <c r="E2944" s="22" t="s">
        <v>1895</v>
      </c>
    </row>
    <row r="2945" spans="1:5" x14ac:dyDescent="0.25">
      <c r="A2945" s="35">
        <v>46072.578997060184</v>
      </c>
      <c r="B2945" s="22" t="s">
        <v>336</v>
      </c>
      <c r="C2945" s="22" t="s">
        <v>489</v>
      </c>
      <c r="D2945" s="22" t="s">
        <v>450</v>
      </c>
      <c r="E2945" s="22" t="s">
        <v>1895</v>
      </c>
    </row>
    <row r="2946" spans="1:5" x14ac:dyDescent="0.25">
      <c r="A2946" s="35">
        <v>46072.578998958328</v>
      </c>
      <c r="B2946" s="22" t="s">
        <v>366</v>
      </c>
      <c r="C2946" s="22" t="s">
        <v>489</v>
      </c>
      <c r="D2946" s="22" t="s">
        <v>450</v>
      </c>
      <c r="E2946" s="22" t="s">
        <v>1895</v>
      </c>
    </row>
    <row r="2947" spans="1:5" x14ac:dyDescent="0.25">
      <c r="A2947" s="35">
        <v>46072.579000798607</v>
      </c>
      <c r="B2947" s="22" t="s">
        <v>413</v>
      </c>
      <c r="C2947" s="22" t="s">
        <v>489</v>
      </c>
      <c r="D2947" s="22" t="s">
        <v>450</v>
      </c>
      <c r="E2947" s="22" t="s">
        <v>1895</v>
      </c>
    </row>
    <row r="2948" spans="1:5" x14ac:dyDescent="0.25">
      <c r="A2948" s="35">
        <v>46072.579002569444</v>
      </c>
      <c r="B2948" s="22" t="s">
        <v>425</v>
      </c>
      <c r="C2948" s="22" t="s">
        <v>489</v>
      </c>
      <c r="D2948" s="22" t="s">
        <v>450</v>
      </c>
      <c r="E2948" s="22" t="s">
        <v>1895</v>
      </c>
    </row>
    <row r="2949" spans="1:5" x14ac:dyDescent="0.25">
      <c r="A2949" s="35">
        <v>46072.580277314817</v>
      </c>
      <c r="B2949" s="22" t="s">
        <v>65</v>
      </c>
      <c r="C2949" s="22" t="s">
        <v>489</v>
      </c>
      <c r="D2949" s="22" t="s">
        <v>582</v>
      </c>
      <c r="E2949" s="22" t="s">
        <v>1895</v>
      </c>
    </row>
    <row r="2950" spans="1:5" x14ac:dyDescent="0.25">
      <c r="A2950" s="35">
        <v>46072.580278946756</v>
      </c>
      <c r="B2950" s="22" t="s">
        <v>68</v>
      </c>
      <c r="C2950" s="22" t="s">
        <v>489</v>
      </c>
      <c r="D2950" s="22" t="s">
        <v>582</v>
      </c>
      <c r="E2950" s="22" t="s">
        <v>1895</v>
      </c>
    </row>
    <row r="2951" spans="1:5" x14ac:dyDescent="0.25">
      <c r="A2951" s="35">
        <v>46072.580280891205</v>
      </c>
      <c r="B2951" s="22" t="s">
        <v>259</v>
      </c>
      <c r="C2951" s="22" t="s">
        <v>489</v>
      </c>
      <c r="D2951" s="22" t="s">
        <v>582</v>
      </c>
      <c r="E2951" s="22" t="s">
        <v>1895</v>
      </c>
    </row>
    <row r="2952" spans="1:5" x14ac:dyDescent="0.25">
      <c r="A2952" s="35">
        <v>46072.580282870375</v>
      </c>
      <c r="B2952" s="22" t="s">
        <v>321</v>
      </c>
      <c r="C2952" s="22" t="s">
        <v>489</v>
      </c>
      <c r="D2952" s="22" t="s">
        <v>582</v>
      </c>
      <c r="E2952" s="22" t="s">
        <v>1895</v>
      </c>
    </row>
    <row r="2953" spans="1:5" x14ac:dyDescent="0.25">
      <c r="A2953" s="35">
        <v>46072.580285289354</v>
      </c>
      <c r="B2953" s="22" t="s">
        <v>361</v>
      </c>
      <c r="C2953" s="22" t="s">
        <v>489</v>
      </c>
      <c r="D2953" s="22" t="s">
        <v>582</v>
      </c>
      <c r="E2953" s="22" t="s">
        <v>1895</v>
      </c>
    </row>
    <row r="2954" spans="1:5" x14ac:dyDescent="0.25">
      <c r="A2954" s="35">
        <v>46072.580287245371</v>
      </c>
      <c r="B2954" s="22" t="s">
        <v>364</v>
      </c>
      <c r="C2954" s="22" t="s">
        <v>489</v>
      </c>
      <c r="D2954" s="22" t="s">
        <v>582</v>
      </c>
      <c r="E2954" s="22" t="s">
        <v>1895</v>
      </c>
    </row>
    <row r="2955" spans="1:5" x14ac:dyDescent="0.25">
      <c r="A2955" s="35">
        <v>46072.580708055553</v>
      </c>
      <c r="B2955" s="22" t="s">
        <v>73</v>
      </c>
      <c r="C2955" s="22" t="s">
        <v>489</v>
      </c>
      <c r="D2955" s="22" t="s">
        <v>470</v>
      </c>
      <c r="E2955" s="22" t="s">
        <v>1895</v>
      </c>
    </row>
    <row r="2956" spans="1:5" x14ac:dyDescent="0.25">
      <c r="A2956" s="35">
        <v>46072.580712569441</v>
      </c>
      <c r="B2956" s="22" t="s">
        <v>365</v>
      </c>
      <c r="C2956" s="22" t="s">
        <v>489</v>
      </c>
      <c r="D2956" s="22" t="s">
        <v>470</v>
      </c>
      <c r="E2956" s="22" t="s">
        <v>1895</v>
      </c>
    </row>
    <row r="2957" spans="1:5" x14ac:dyDescent="0.25">
      <c r="A2957" s="35">
        <v>46072.580717094912</v>
      </c>
      <c r="B2957" s="22" t="s">
        <v>429</v>
      </c>
      <c r="C2957" s="22" t="s">
        <v>489</v>
      </c>
      <c r="D2957" s="22" t="s">
        <v>470</v>
      </c>
      <c r="E2957" s="22" t="s">
        <v>1895</v>
      </c>
    </row>
    <row r="2958" spans="1:5" x14ac:dyDescent="0.25">
      <c r="A2958" s="35">
        <v>46072.581798576386</v>
      </c>
      <c r="B2958" s="22" t="s">
        <v>182</v>
      </c>
      <c r="C2958" s="22" t="s">
        <v>489</v>
      </c>
      <c r="D2958" s="22" t="s">
        <v>470</v>
      </c>
      <c r="E2958" s="22" t="s">
        <v>1895</v>
      </c>
    </row>
    <row r="2959" spans="1:5" x14ac:dyDescent="0.25">
      <c r="A2959" s="35">
        <v>46072.581800902779</v>
      </c>
      <c r="B2959" s="22" t="s">
        <v>288</v>
      </c>
      <c r="C2959" s="22" t="s">
        <v>489</v>
      </c>
      <c r="D2959" s="22" t="s">
        <v>470</v>
      </c>
      <c r="E2959" s="22" t="s">
        <v>1895</v>
      </c>
    </row>
    <row r="2960" spans="1:5" x14ac:dyDescent="0.25">
      <c r="A2960" s="35">
        <v>46072.583763275463</v>
      </c>
      <c r="B2960" s="22" t="s">
        <v>164</v>
      </c>
      <c r="C2960" s="22" t="s">
        <v>582</v>
      </c>
      <c r="D2960" s="22" t="s">
        <v>470</v>
      </c>
      <c r="E2960" s="22" t="s">
        <v>1895</v>
      </c>
    </row>
    <row r="2961" spans="1:5" x14ac:dyDescent="0.25">
      <c r="A2961" s="35">
        <v>46072.58376631944</v>
      </c>
      <c r="B2961" s="22" t="s">
        <v>166</v>
      </c>
      <c r="C2961" s="22" t="s">
        <v>582</v>
      </c>
      <c r="D2961" s="22" t="s">
        <v>470</v>
      </c>
      <c r="E2961" s="22" t="s">
        <v>1895</v>
      </c>
    </row>
    <row r="2962" spans="1:5" x14ac:dyDescent="0.25">
      <c r="A2962" s="35">
        <v>46072.583811122684</v>
      </c>
      <c r="B2962" s="22" t="s">
        <v>171</v>
      </c>
      <c r="C2962" s="22" t="s">
        <v>582</v>
      </c>
      <c r="D2962" s="22" t="s">
        <v>470</v>
      </c>
      <c r="E2962" s="22" t="s">
        <v>1895</v>
      </c>
    </row>
    <row r="2963" spans="1:5" x14ac:dyDescent="0.25">
      <c r="A2963" s="35">
        <v>46072.583815347221</v>
      </c>
      <c r="B2963" s="22" t="s">
        <v>228</v>
      </c>
      <c r="C2963" s="22" t="s">
        <v>582</v>
      </c>
      <c r="D2963" s="22" t="s">
        <v>470</v>
      </c>
      <c r="E2963" s="22" t="s">
        <v>1895</v>
      </c>
    </row>
    <row r="2964" spans="1:5" x14ac:dyDescent="0.25">
      <c r="A2964" s="35">
        <v>46072.583818483792</v>
      </c>
      <c r="B2964" s="22" t="s">
        <v>286</v>
      </c>
      <c r="C2964" s="22" t="s">
        <v>582</v>
      </c>
      <c r="D2964" s="22" t="s">
        <v>470</v>
      </c>
      <c r="E2964" s="22" t="s">
        <v>1895</v>
      </c>
    </row>
    <row r="2965" spans="1:5" x14ac:dyDescent="0.25">
      <c r="A2965" s="35">
        <v>46072.583821840279</v>
      </c>
      <c r="B2965" s="22" t="s">
        <v>405</v>
      </c>
      <c r="C2965" s="22" t="s">
        <v>582</v>
      </c>
      <c r="D2965" s="22" t="s">
        <v>470</v>
      </c>
      <c r="E2965" s="22" t="s">
        <v>1895</v>
      </c>
    </row>
    <row r="2966" spans="1:5" x14ac:dyDescent="0.25">
      <c r="A2966" s="35">
        <v>46072.583828148148</v>
      </c>
      <c r="B2966" s="22" t="s">
        <v>406</v>
      </c>
      <c r="C2966" s="22" t="s">
        <v>582</v>
      </c>
      <c r="D2966" s="22" t="s">
        <v>470</v>
      </c>
      <c r="E2966" s="22" t="s">
        <v>1895</v>
      </c>
    </row>
    <row r="2967" spans="1:5" x14ac:dyDescent="0.25">
      <c r="A2967" s="35">
        <v>46072.584283645832</v>
      </c>
      <c r="B2967" s="22" t="s">
        <v>431</v>
      </c>
      <c r="C2967" s="22" t="s">
        <v>482</v>
      </c>
      <c r="D2967" s="22" t="s">
        <v>470</v>
      </c>
      <c r="E2967" s="22" t="s">
        <v>1999</v>
      </c>
    </row>
    <row r="2968" spans="1:5" x14ac:dyDescent="0.25">
      <c r="A2968" s="35">
        <v>46072.585546620372</v>
      </c>
      <c r="B2968" s="22" t="s">
        <v>1606</v>
      </c>
      <c r="C2968" s="22" t="s">
        <v>468</v>
      </c>
      <c r="D2968" s="22" t="s">
        <v>470</v>
      </c>
      <c r="E2968" s="22" t="s">
        <v>1895</v>
      </c>
    </row>
    <row r="2969" spans="1:5" x14ac:dyDescent="0.25">
      <c r="A2969" s="35">
        <v>46072.585552534722</v>
      </c>
      <c r="B2969" s="22" t="s">
        <v>243</v>
      </c>
      <c r="C2969" s="22" t="s">
        <v>468</v>
      </c>
      <c r="D2969" s="22" t="s">
        <v>470</v>
      </c>
      <c r="E2969" s="22" t="s">
        <v>1895</v>
      </c>
    </row>
    <row r="2970" spans="1:5" x14ac:dyDescent="0.25">
      <c r="A2970" s="35">
        <v>46072.585554467594</v>
      </c>
      <c r="B2970" s="22" t="s">
        <v>436</v>
      </c>
      <c r="C2970" s="22" t="s">
        <v>468</v>
      </c>
      <c r="D2970" s="22" t="s">
        <v>470</v>
      </c>
      <c r="E2970" s="22" t="s">
        <v>1895</v>
      </c>
    </row>
    <row r="2971" spans="1:5" x14ac:dyDescent="0.25">
      <c r="A2971" s="35">
        <v>46072.585556469909</v>
      </c>
      <c r="B2971" s="22" t="s">
        <v>438</v>
      </c>
      <c r="C2971" s="22" t="s">
        <v>468</v>
      </c>
      <c r="D2971" s="22" t="s">
        <v>470</v>
      </c>
      <c r="E2971" s="22" t="s">
        <v>1895</v>
      </c>
    </row>
    <row r="2972" spans="1:5" x14ac:dyDescent="0.25">
      <c r="A2972" s="35">
        <v>46072.588344189819</v>
      </c>
      <c r="B2972" s="22" t="s">
        <v>75</v>
      </c>
      <c r="C2972" s="22" t="s">
        <v>449</v>
      </c>
      <c r="D2972" s="22" t="s">
        <v>470</v>
      </c>
      <c r="E2972" s="22" t="s">
        <v>1895</v>
      </c>
    </row>
    <row r="2973" spans="1:5" x14ac:dyDescent="0.25">
      <c r="A2973" s="35">
        <v>46072.588346458331</v>
      </c>
      <c r="B2973" s="22" t="s">
        <v>149</v>
      </c>
      <c r="C2973" s="22" t="s">
        <v>449</v>
      </c>
      <c r="D2973" s="22" t="s">
        <v>470</v>
      </c>
      <c r="E2973" s="22" t="s">
        <v>1895</v>
      </c>
    </row>
    <row r="2974" spans="1:5" x14ac:dyDescent="0.25">
      <c r="A2974" s="35">
        <v>46072.588348344907</v>
      </c>
      <c r="B2974" s="22" t="s">
        <v>375</v>
      </c>
      <c r="C2974" s="22" t="s">
        <v>449</v>
      </c>
      <c r="D2974" s="22" t="s">
        <v>470</v>
      </c>
      <c r="E2974" s="22" t="s">
        <v>1895</v>
      </c>
    </row>
    <row r="2975" spans="1:5" x14ac:dyDescent="0.25">
      <c r="A2975" s="35">
        <v>46072.588351493054</v>
      </c>
      <c r="B2975" s="22" t="s">
        <v>397</v>
      </c>
      <c r="C2975" s="22" t="s">
        <v>449</v>
      </c>
      <c r="D2975" s="22" t="s">
        <v>470</v>
      </c>
      <c r="E2975" s="22" t="s">
        <v>1895</v>
      </c>
    </row>
    <row r="2976" spans="1:5" x14ac:dyDescent="0.25">
      <c r="A2976" s="35">
        <v>46072.591412893518</v>
      </c>
      <c r="B2976" s="22" t="s">
        <v>51</v>
      </c>
      <c r="C2976" s="22" t="s">
        <v>449</v>
      </c>
      <c r="D2976" s="22" t="s">
        <v>1894</v>
      </c>
      <c r="E2976" s="22" t="s">
        <v>1999</v>
      </c>
    </row>
    <row r="2977" spans="1:5" x14ac:dyDescent="0.25">
      <c r="A2977" s="35">
        <v>46072.591785439814</v>
      </c>
      <c r="B2977" s="22" t="s">
        <v>58</v>
      </c>
      <c r="C2977" s="22" t="s">
        <v>449</v>
      </c>
      <c r="D2977" s="22" t="s">
        <v>1894</v>
      </c>
      <c r="E2977" s="22" t="s">
        <v>1999</v>
      </c>
    </row>
    <row r="2978" spans="1:5" x14ac:dyDescent="0.25">
      <c r="A2978" s="35">
        <v>46072.593598333333</v>
      </c>
      <c r="B2978" s="22" t="s">
        <v>279</v>
      </c>
      <c r="C2978" s="22" t="s">
        <v>449</v>
      </c>
      <c r="D2978" s="22" t="s">
        <v>1894</v>
      </c>
      <c r="E2978" s="22" t="s">
        <v>1999</v>
      </c>
    </row>
    <row r="2979" spans="1:5" x14ac:dyDescent="0.25">
      <c r="A2979" s="35">
        <v>46072.593862141206</v>
      </c>
      <c r="B2979" s="22" t="s">
        <v>324</v>
      </c>
      <c r="C2979" s="22" t="s">
        <v>449</v>
      </c>
      <c r="D2979" s="22" t="s">
        <v>1894</v>
      </c>
      <c r="E2979" s="22" t="s">
        <v>1999</v>
      </c>
    </row>
    <row r="2980" spans="1:5" x14ac:dyDescent="0.25">
      <c r="A2980" s="35">
        <v>46072.593965219909</v>
      </c>
      <c r="B2980" s="22" t="s">
        <v>339</v>
      </c>
      <c r="C2980" s="22" t="s">
        <v>449</v>
      </c>
      <c r="D2980" s="22" t="s">
        <v>1894</v>
      </c>
      <c r="E2980" s="22" t="s">
        <v>1999</v>
      </c>
    </row>
    <row r="2981" spans="1:5" x14ac:dyDescent="0.25">
      <c r="A2981" s="35">
        <v>46072.594584583334</v>
      </c>
      <c r="B2981" s="22" t="s">
        <v>333</v>
      </c>
      <c r="C2981" s="22" t="s">
        <v>482</v>
      </c>
      <c r="D2981" s="22" t="s">
        <v>449</v>
      </c>
      <c r="E2981" s="22" t="s">
        <v>1999</v>
      </c>
    </row>
    <row r="2982" spans="1:5" x14ac:dyDescent="0.25">
      <c r="A2982" s="35">
        <v>46072.594899537042</v>
      </c>
      <c r="B2982" s="22" t="s">
        <v>84</v>
      </c>
      <c r="C2982" s="22" t="s">
        <v>489</v>
      </c>
      <c r="D2982" s="22" t="s">
        <v>492</v>
      </c>
      <c r="E2982" s="22" t="s">
        <v>1895</v>
      </c>
    </row>
    <row r="2983" spans="1:5" x14ac:dyDescent="0.25">
      <c r="A2983" s="35">
        <v>46072.594901643519</v>
      </c>
      <c r="B2983" s="22" t="s">
        <v>87</v>
      </c>
      <c r="C2983" s="22" t="s">
        <v>489</v>
      </c>
      <c r="D2983" s="22" t="s">
        <v>492</v>
      </c>
      <c r="E2983" s="22" t="s">
        <v>1895</v>
      </c>
    </row>
    <row r="2984" spans="1:5" x14ac:dyDescent="0.25">
      <c r="A2984" s="35">
        <v>46072.594903807869</v>
      </c>
      <c r="B2984" s="22" t="s">
        <v>229</v>
      </c>
      <c r="C2984" s="22" t="s">
        <v>489</v>
      </c>
      <c r="D2984" s="22" t="s">
        <v>492</v>
      </c>
      <c r="E2984" s="22" t="s">
        <v>1895</v>
      </c>
    </row>
    <row r="2985" spans="1:5" x14ac:dyDescent="0.25">
      <c r="A2985" s="35">
        <v>46072.594905891208</v>
      </c>
      <c r="B2985" s="22" t="s">
        <v>252</v>
      </c>
      <c r="C2985" s="22" t="s">
        <v>489</v>
      </c>
      <c r="D2985" s="22" t="s">
        <v>492</v>
      </c>
      <c r="E2985" s="22" t="s">
        <v>1895</v>
      </c>
    </row>
    <row r="2986" spans="1:5" x14ac:dyDescent="0.25">
      <c r="A2986" s="35">
        <v>46072.594907870371</v>
      </c>
      <c r="B2986" s="22" t="s">
        <v>315</v>
      </c>
      <c r="C2986" s="22" t="s">
        <v>489</v>
      </c>
      <c r="D2986" s="22" t="s">
        <v>492</v>
      </c>
      <c r="E2986" s="22" t="s">
        <v>1895</v>
      </c>
    </row>
    <row r="2987" spans="1:5" x14ac:dyDescent="0.25">
      <c r="A2987" s="35">
        <v>46072.595900949076</v>
      </c>
      <c r="B2987" s="22" t="s">
        <v>98</v>
      </c>
      <c r="C2987" s="22" t="s">
        <v>449</v>
      </c>
      <c r="D2987" s="22" t="s">
        <v>451</v>
      </c>
      <c r="E2987" s="22" t="s">
        <v>1895</v>
      </c>
    </row>
    <row r="2988" spans="1:5" x14ac:dyDescent="0.25">
      <c r="A2988" s="35">
        <v>46072.595904027781</v>
      </c>
      <c r="B2988" s="22" t="s">
        <v>131</v>
      </c>
      <c r="C2988" s="22" t="s">
        <v>449</v>
      </c>
      <c r="D2988" s="22" t="s">
        <v>451</v>
      </c>
      <c r="E2988" s="22" t="s">
        <v>1895</v>
      </c>
    </row>
    <row r="2989" spans="1:5" x14ac:dyDescent="0.25">
      <c r="A2989" s="35">
        <v>46072.595906539354</v>
      </c>
      <c r="B2989" s="22" t="s">
        <v>212</v>
      </c>
      <c r="C2989" s="22" t="s">
        <v>449</v>
      </c>
      <c r="D2989" s="22" t="s">
        <v>451</v>
      </c>
      <c r="E2989" s="22" t="s">
        <v>1895</v>
      </c>
    </row>
    <row r="2990" spans="1:5" x14ac:dyDescent="0.25">
      <c r="A2990" s="35">
        <v>46072.595909027776</v>
      </c>
      <c r="B2990" s="22" t="s">
        <v>285</v>
      </c>
      <c r="C2990" s="22" t="s">
        <v>449</v>
      </c>
      <c r="D2990" s="22" t="s">
        <v>451</v>
      </c>
      <c r="E2990" s="22" t="s">
        <v>1895</v>
      </c>
    </row>
    <row r="2991" spans="1:5" x14ac:dyDescent="0.25">
      <c r="A2991" s="35">
        <v>46072.595911747689</v>
      </c>
      <c r="B2991" s="22" t="s">
        <v>340</v>
      </c>
      <c r="C2991" s="22" t="s">
        <v>449</v>
      </c>
      <c r="D2991" s="22" t="s">
        <v>451</v>
      </c>
      <c r="E2991" s="22" t="s">
        <v>1895</v>
      </c>
    </row>
    <row r="2992" spans="1:5" x14ac:dyDescent="0.25">
      <c r="A2992" s="35">
        <v>46072.596366574071</v>
      </c>
      <c r="B2992" s="22" t="s">
        <v>192</v>
      </c>
      <c r="C2992" s="22" t="s">
        <v>489</v>
      </c>
      <c r="D2992" s="22" t="s">
        <v>2458</v>
      </c>
      <c r="E2992" s="22" t="s">
        <v>1895</v>
      </c>
    </row>
    <row r="2993" spans="1:5" x14ac:dyDescent="0.25">
      <c r="A2993" s="35">
        <v>46072.596376284724</v>
      </c>
      <c r="B2993" s="22" t="s">
        <v>195</v>
      </c>
      <c r="C2993" s="22" t="s">
        <v>489</v>
      </c>
      <c r="D2993" s="22" t="s">
        <v>2458</v>
      </c>
      <c r="E2993" s="22" t="s">
        <v>1895</v>
      </c>
    </row>
    <row r="2994" spans="1:5" x14ac:dyDescent="0.25">
      <c r="A2994" s="35">
        <v>46072.596378043978</v>
      </c>
      <c r="B2994" s="22" t="s">
        <v>197</v>
      </c>
      <c r="C2994" s="22" t="s">
        <v>489</v>
      </c>
      <c r="D2994" s="22" t="s">
        <v>2458</v>
      </c>
      <c r="E2994" s="22" t="s">
        <v>1895</v>
      </c>
    </row>
    <row r="2995" spans="1:5" x14ac:dyDescent="0.25">
      <c r="A2995" s="35">
        <v>46072.596379965282</v>
      </c>
      <c r="B2995" s="22" t="s">
        <v>317</v>
      </c>
      <c r="C2995" s="22" t="s">
        <v>489</v>
      </c>
      <c r="D2995" s="22" t="s">
        <v>2458</v>
      </c>
      <c r="E2995" s="22" t="s">
        <v>1895</v>
      </c>
    </row>
    <row r="2996" spans="1:5" x14ac:dyDescent="0.25">
      <c r="A2996" s="35">
        <v>46072.59638185185</v>
      </c>
      <c r="B2996" s="22" t="s">
        <v>392</v>
      </c>
      <c r="C2996" s="22" t="s">
        <v>489</v>
      </c>
      <c r="D2996" s="22" t="s">
        <v>2458</v>
      </c>
      <c r="E2996" s="22" t="s">
        <v>1895</v>
      </c>
    </row>
    <row r="2997" spans="1:5" x14ac:dyDescent="0.25">
      <c r="A2997" s="35">
        <v>46072.596601840276</v>
      </c>
      <c r="B2997" s="22" t="s">
        <v>167</v>
      </c>
      <c r="C2997" s="22" t="s">
        <v>489</v>
      </c>
      <c r="D2997" s="22" t="s">
        <v>469</v>
      </c>
      <c r="E2997" s="22" t="s">
        <v>1895</v>
      </c>
    </row>
    <row r="2998" spans="1:5" x14ac:dyDescent="0.25">
      <c r="A2998" s="35">
        <v>46072.596604849532</v>
      </c>
      <c r="B2998" s="22" t="s">
        <v>240</v>
      </c>
      <c r="C2998" s="22" t="s">
        <v>489</v>
      </c>
      <c r="D2998" s="22" t="s">
        <v>469</v>
      </c>
      <c r="E2998" s="22" t="s">
        <v>1895</v>
      </c>
    </row>
    <row r="2999" spans="1:5" x14ac:dyDescent="0.25">
      <c r="A2999" s="35">
        <v>46072.596609652777</v>
      </c>
      <c r="B2999" s="22" t="s">
        <v>383</v>
      </c>
      <c r="C2999" s="22" t="s">
        <v>489</v>
      </c>
      <c r="D2999" s="22" t="s">
        <v>469</v>
      </c>
      <c r="E2999" s="22" t="s">
        <v>1895</v>
      </c>
    </row>
    <row r="3000" spans="1:5" x14ac:dyDescent="0.25">
      <c r="A3000" s="35">
        <v>46072.596612164351</v>
      </c>
      <c r="B3000" s="22" t="s">
        <v>412</v>
      </c>
      <c r="C3000" s="22" t="s">
        <v>489</v>
      </c>
      <c r="D3000" s="22" t="s">
        <v>469</v>
      </c>
      <c r="E3000" s="22" t="s">
        <v>1895</v>
      </c>
    </row>
    <row r="3001" spans="1:5" x14ac:dyDescent="0.25">
      <c r="A3001" s="35">
        <v>46072.596740185181</v>
      </c>
      <c r="B3001" s="22" t="s">
        <v>399</v>
      </c>
      <c r="C3001" s="22" t="s">
        <v>489</v>
      </c>
      <c r="D3001" s="22" t="s">
        <v>468</v>
      </c>
      <c r="E3001" s="22" t="s">
        <v>1999</v>
      </c>
    </row>
    <row r="3002" spans="1:5" x14ac:dyDescent="0.25">
      <c r="A3002" s="35">
        <v>46072.597044340277</v>
      </c>
      <c r="B3002" s="22" t="s">
        <v>330</v>
      </c>
      <c r="C3002" s="22" t="s">
        <v>489</v>
      </c>
      <c r="D3002" s="22" t="s">
        <v>452</v>
      </c>
      <c r="E3002" s="22" t="s">
        <v>1999</v>
      </c>
    </row>
    <row r="3003" spans="1:5" x14ac:dyDescent="0.25">
      <c r="A3003" s="35">
        <v>46072.598274467593</v>
      </c>
      <c r="B3003" s="22" t="s">
        <v>361</v>
      </c>
      <c r="C3003" s="22" t="s">
        <v>582</v>
      </c>
      <c r="D3003" s="22" t="s">
        <v>470</v>
      </c>
      <c r="E3003" s="22" t="s">
        <v>1999</v>
      </c>
    </row>
    <row r="3004" spans="1:5" x14ac:dyDescent="0.25">
      <c r="A3004" s="35">
        <v>46072.599030451383</v>
      </c>
      <c r="B3004" s="22" t="s">
        <v>2757</v>
      </c>
      <c r="C3004" s="22" t="s">
        <v>469</v>
      </c>
      <c r="D3004" s="22" t="s">
        <v>492</v>
      </c>
      <c r="E3004" s="22" t="s">
        <v>1895</v>
      </c>
    </row>
    <row r="3005" spans="1:5" x14ac:dyDescent="0.25">
      <c r="A3005" s="35">
        <v>46072.599032905091</v>
      </c>
      <c r="B3005" s="22" t="s">
        <v>305</v>
      </c>
      <c r="C3005" s="22" t="s">
        <v>469</v>
      </c>
      <c r="D3005" s="22" t="s">
        <v>492</v>
      </c>
      <c r="E3005" s="22" t="s">
        <v>1895</v>
      </c>
    </row>
    <row r="3006" spans="1:5" x14ac:dyDescent="0.25">
      <c r="A3006" s="35">
        <v>46072.608260023146</v>
      </c>
      <c r="B3006" s="22" t="s">
        <v>255</v>
      </c>
      <c r="C3006" s="22" t="s">
        <v>449</v>
      </c>
      <c r="D3006" s="22" t="s">
        <v>1894</v>
      </c>
      <c r="E3006" s="22" t="s">
        <v>1999</v>
      </c>
    </row>
    <row r="3007" spans="1:5" x14ac:dyDescent="0.25">
      <c r="A3007" s="35">
        <v>46072.61242020833</v>
      </c>
      <c r="B3007" s="22" t="s">
        <v>107</v>
      </c>
      <c r="C3007" s="22" t="s">
        <v>449</v>
      </c>
      <c r="D3007" s="22" t="s">
        <v>1894</v>
      </c>
      <c r="E3007" s="22" t="s">
        <v>1999</v>
      </c>
    </row>
    <row r="3008" spans="1:5" x14ac:dyDescent="0.25">
      <c r="A3008" s="35">
        <v>46072.621352164351</v>
      </c>
      <c r="B3008" s="22" t="s">
        <v>381</v>
      </c>
      <c r="C3008" s="22" t="s">
        <v>468</v>
      </c>
      <c r="D3008" s="22" t="s">
        <v>470</v>
      </c>
      <c r="E3008" s="22" t="s">
        <v>1999</v>
      </c>
    </row>
    <row r="3009" spans="1:5" x14ac:dyDescent="0.25">
      <c r="A3009" s="35">
        <v>46072.631509583334</v>
      </c>
      <c r="B3009" s="22" t="s">
        <v>100</v>
      </c>
      <c r="C3009" s="22" t="s">
        <v>468</v>
      </c>
      <c r="D3009" s="22" t="s">
        <v>471</v>
      </c>
      <c r="E3009" s="22" t="s">
        <v>1999</v>
      </c>
    </row>
    <row r="3010" spans="1:5" x14ac:dyDescent="0.25">
      <c r="A3010" s="35">
        <v>46072.632608182874</v>
      </c>
      <c r="B3010" s="22" t="s">
        <v>49</v>
      </c>
      <c r="C3010" s="22" t="s">
        <v>468</v>
      </c>
      <c r="D3010" s="22" t="s">
        <v>471</v>
      </c>
      <c r="E3010" s="22" t="s">
        <v>1999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4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12.6640625" hidden="1"/>
    <col min="3" max="3" width="21" customWidth="1"/>
    <col min="4" max="4" width="76.4414062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0</v>
      </c>
      <c r="B2" s="22" t="s">
        <v>2686</v>
      </c>
      <c r="C2" s="34">
        <v>45696</v>
      </c>
      <c r="D2" s="22" t="s">
        <v>2777</v>
      </c>
      <c r="E2" s="22">
        <v>500</v>
      </c>
      <c r="F2" s="28"/>
      <c r="G2" s="22" t="s">
        <v>482</v>
      </c>
      <c r="H2" s="22" t="s">
        <v>483</v>
      </c>
      <c r="I2" s="22"/>
    </row>
    <row r="3" spans="1:11" x14ac:dyDescent="0.25">
      <c r="A3" s="22" t="b">
        <v>0</v>
      </c>
      <c r="B3" s="22" t="s">
        <v>2684</v>
      </c>
      <c r="C3" s="34">
        <v>45700</v>
      </c>
      <c r="D3" s="22" t="s">
        <v>2778</v>
      </c>
      <c r="E3" s="22">
        <v>4860.63</v>
      </c>
      <c r="F3" s="28"/>
      <c r="G3" s="22" t="s">
        <v>482</v>
      </c>
      <c r="H3" s="22" t="s">
        <v>483</v>
      </c>
      <c r="I3" s="22"/>
    </row>
    <row r="4" spans="1:11" x14ac:dyDescent="0.25">
      <c r="A4" s="22" t="b">
        <v>0</v>
      </c>
      <c r="B4" s="22" t="s">
        <v>2680</v>
      </c>
      <c r="C4" s="34">
        <v>45701</v>
      </c>
      <c r="D4" s="22" t="s">
        <v>2779</v>
      </c>
      <c r="E4" s="22">
        <v>3752.76</v>
      </c>
      <c r="F4" s="28"/>
      <c r="G4" s="22" t="s">
        <v>482</v>
      </c>
      <c r="H4" s="22" t="s">
        <v>483</v>
      </c>
      <c r="I4" s="22"/>
    </row>
    <row r="5" spans="1:11" x14ac:dyDescent="0.25">
      <c r="A5" s="22" t="b">
        <v>0</v>
      </c>
      <c r="B5" s="22" t="s">
        <v>2682</v>
      </c>
      <c r="C5" s="34">
        <v>45701</v>
      </c>
      <c r="D5" s="22" t="s">
        <v>2779</v>
      </c>
      <c r="E5" s="22">
        <v>645</v>
      </c>
      <c r="F5" s="28"/>
      <c r="G5" s="22" t="s">
        <v>482</v>
      </c>
      <c r="H5" s="22" t="s">
        <v>483</v>
      </c>
      <c r="I5" s="22"/>
    </row>
    <row r="6" spans="1:11" x14ac:dyDescent="0.25">
      <c r="A6" s="22" t="b">
        <v>0</v>
      </c>
      <c r="B6" s="22" t="s">
        <v>2683</v>
      </c>
      <c r="C6" s="34">
        <v>45701</v>
      </c>
      <c r="D6" s="22" t="s">
        <v>2780</v>
      </c>
      <c r="E6" s="22">
        <v>500</v>
      </c>
      <c r="F6" s="28"/>
      <c r="G6" s="22" t="s">
        <v>482</v>
      </c>
      <c r="H6" s="22" t="s">
        <v>483</v>
      </c>
      <c r="I6" s="22"/>
    </row>
    <row r="7" spans="1:11" x14ac:dyDescent="0.25">
      <c r="A7" s="22" t="b">
        <v>0</v>
      </c>
      <c r="B7" s="22" t="s">
        <v>2673</v>
      </c>
      <c r="C7" s="34">
        <v>45702</v>
      </c>
      <c r="D7" s="22" t="s">
        <v>2781</v>
      </c>
      <c r="E7" s="22">
        <v>1730</v>
      </c>
      <c r="F7" s="28"/>
      <c r="G7" s="22" t="s">
        <v>482</v>
      </c>
      <c r="H7" s="22" t="s">
        <v>483</v>
      </c>
      <c r="I7" s="22"/>
    </row>
    <row r="8" spans="1:11" x14ac:dyDescent="0.25">
      <c r="A8" s="22" t="b">
        <v>0</v>
      </c>
      <c r="B8" s="22" t="s">
        <v>2678</v>
      </c>
      <c r="C8" s="34">
        <v>45702</v>
      </c>
      <c r="D8" s="22" t="s">
        <v>2782</v>
      </c>
      <c r="E8" s="22">
        <v>887.5</v>
      </c>
      <c r="F8" s="28"/>
      <c r="G8" s="22" t="s">
        <v>482</v>
      </c>
      <c r="H8" s="22" t="s">
        <v>483</v>
      </c>
      <c r="I8" s="22"/>
    </row>
    <row r="9" spans="1:11" x14ac:dyDescent="0.25">
      <c r="A9" s="22" t="b">
        <v>0</v>
      </c>
      <c r="B9" s="22" t="s">
        <v>2641</v>
      </c>
      <c r="C9" s="34">
        <v>45706</v>
      </c>
      <c r="D9" s="22" t="s">
        <v>2783</v>
      </c>
      <c r="E9" s="22">
        <v>811.5</v>
      </c>
      <c r="F9" s="28"/>
      <c r="G9" s="22" t="s">
        <v>482</v>
      </c>
      <c r="H9" s="22" t="s">
        <v>483</v>
      </c>
      <c r="I9" s="22"/>
    </row>
    <row r="10" spans="1:11" x14ac:dyDescent="0.25">
      <c r="A10" s="22" t="b">
        <v>0</v>
      </c>
      <c r="B10" s="22" t="s">
        <v>2642</v>
      </c>
      <c r="C10" s="34">
        <v>45706</v>
      </c>
      <c r="D10" s="22" t="s">
        <v>2783</v>
      </c>
      <c r="E10" s="22">
        <v>167.11</v>
      </c>
      <c r="F10" s="28"/>
      <c r="G10" s="22" t="s">
        <v>482</v>
      </c>
      <c r="H10" s="22" t="s">
        <v>483</v>
      </c>
      <c r="I10" s="22"/>
    </row>
    <row r="11" spans="1:11" x14ac:dyDescent="0.25">
      <c r="A11" s="22" t="b">
        <v>0</v>
      </c>
      <c r="B11" s="22" t="s">
        <v>2643</v>
      </c>
      <c r="C11" s="34">
        <v>45706</v>
      </c>
      <c r="D11" s="22" t="s">
        <v>2784</v>
      </c>
      <c r="E11" s="22">
        <v>100</v>
      </c>
      <c r="F11" s="28"/>
      <c r="G11" s="22" t="s">
        <v>482</v>
      </c>
      <c r="H11" s="22" t="s">
        <v>483</v>
      </c>
      <c r="I11" s="22"/>
    </row>
    <row r="12" spans="1:11" x14ac:dyDescent="0.25">
      <c r="A12" s="22" t="b">
        <v>0</v>
      </c>
      <c r="B12" s="22" t="s">
        <v>2644</v>
      </c>
      <c r="C12" s="34">
        <v>45706</v>
      </c>
      <c r="D12" s="22" t="s">
        <v>2780</v>
      </c>
      <c r="E12" s="22">
        <v>320</v>
      </c>
      <c r="F12" s="28"/>
      <c r="G12" s="22" t="s">
        <v>482</v>
      </c>
      <c r="H12" s="22" t="s">
        <v>483</v>
      </c>
      <c r="I12" s="22"/>
    </row>
    <row r="13" spans="1:11" x14ac:dyDescent="0.25">
      <c r="A13" s="22" t="b">
        <v>0</v>
      </c>
      <c r="B13" s="22" t="s">
        <v>2651</v>
      </c>
      <c r="C13" s="34">
        <v>45706</v>
      </c>
      <c r="D13" s="22" t="s">
        <v>2785</v>
      </c>
      <c r="E13" s="22">
        <v>76</v>
      </c>
      <c r="F13" s="28"/>
      <c r="G13" s="22" t="s">
        <v>482</v>
      </c>
      <c r="H13" s="22" t="s">
        <v>483</v>
      </c>
      <c r="I13" s="22"/>
    </row>
    <row r="14" spans="1:11" x14ac:dyDescent="0.25">
      <c r="A14" s="22" t="b">
        <v>0</v>
      </c>
      <c r="B14" s="22" t="s">
        <v>2652</v>
      </c>
      <c r="C14" s="34">
        <v>45706</v>
      </c>
      <c r="D14" s="22" t="s">
        <v>2781</v>
      </c>
      <c r="E14" s="22">
        <v>220</v>
      </c>
      <c r="F14" s="28"/>
      <c r="G14" s="22" t="s">
        <v>482</v>
      </c>
      <c r="H14" s="22" t="s">
        <v>483</v>
      </c>
      <c r="I14" s="22"/>
    </row>
    <row r="15" spans="1:11" x14ac:dyDescent="0.25">
      <c r="A15" s="22" t="b">
        <v>0</v>
      </c>
      <c r="B15" s="22" t="s">
        <v>2630</v>
      </c>
      <c r="C15" s="34">
        <v>45707</v>
      </c>
      <c r="D15" s="22" t="s">
        <v>2786</v>
      </c>
      <c r="E15" s="22">
        <v>1100</v>
      </c>
      <c r="F15" s="28"/>
      <c r="G15" s="22" t="s">
        <v>482</v>
      </c>
      <c r="H15" s="22" t="s">
        <v>483</v>
      </c>
      <c r="I15" s="22"/>
    </row>
    <row r="16" spans="1:11" x14ac:dyDescent="0.25">
      <c r="A16" s="22" t="b">
        <v>0</v>
      </c>
      <c r="B16" s="22" t="s">
        <v>2631</v>
      </c>
      <c r="C16" s="34">
        <v>45707</v>
      </c>
      <c r="D16" s="22" t="s">
        <v>2787</v>
      </c>
      <c r="E16" s="22">
        <v>308.5</v>
      </c>
      <c r="F16" s="28"/>
      <c r="G16" s="22" t="s">
        <v>482</v>
      </c>
      <c r="H16" s="22" t="s">
        <v>483</v>
      </c>
      <c r="I16" s="22"/>
    </row>
    <row r="17" spans="1:9" x14ac:dyDescent="0.25">
      <c r="A17" s="22" t="b">
        <v>0</v>
      </c>
      <c r="B17" s="22" t="s">
        <v>2632</v>
      </c>
      <c r="C17" s="34">
        <v>45707</v>
      </c>
      <c r="D17" s="22" t="s">
        <v>2788</v>
      </c>
      <c r="E17" s="22">
        <v>662</v>
      </c>
      <c r="F17" s="28"/>
      <c r="G17" s="22" t="s">
        <v>482</v>
      </c>
      <c r="H17" s="22" t="s">
        <v>483</v>
      </c>
      <c r="I17" s="22"/>
    </row>
    <row r="18" spans="1:9" x14ac:dyDescent="0.25">
      <c r="A18" s="22" t="b">
        <v>0</v>
      </c>
      <c r="B18" s="22" t="s">
        <v>2633</v>
      </c>
      <c r="C18" s="34">
        <v>45707</v>
      </c>
      <c r="D18" s="22" t="s">
        <v>2789</v>
      </c>
      <c r="E18" s="22">
        <v>331</v>
      </c>
      <c r="F18" s="28"/>
      <c r="G18" s="22" t="s">
        <v>482</v>
      </c>
      <c r="H18" s="22" t="s">
        <v>483</v>
      </c>
      <c r="I18" s="22"/>
    </row>
    <row r="19" spans="1:9" x14ac:dyDescent="0.25">
      <c r="A19" s="22" t="b">
        <v>0</v>
      </c>
      <c r="B19" s="22" t="s">
        <v>2623</v>
      </c>
      <c r="C19" s="34">
        <v>45708</v>
      </c>
      <c r="D19" s="22" t="s">
        <v>2790</v>
      </c>
      <c r="E19" s="22">
        <v>100</v>
      </c>
      <c r="F19" s="28"/>
      <c r="G19" s="22" t="s">
        <v>482</v>
      </c>
      <c r="H19" s="22" t="s">
        <v>483</v>
      </c>
      <c r="I19" s="22"/>
    </row>
    <row r="20" spans="1:9" x14ac:dyDescent="0.25">
      <c r="A20" s="22" t="b">
        <v>0</v>
      </c>
      <c r="B20" s="22" t="s">
        <v>2604</v>
      </c>
      <c r="C20" s="34">
        <v>45713</v>
      </c>
      <c r="D20" s="22" t="s">
        <v>2791</v>
      </c>
      <c r="E20" s="22">
        <v>200</v>
      </c>
      <c r="F20" s="28"/>
      <c r="G20" s="22" t="s">
        <v>482</v>
      </c>
      <c r="H20" s="22" t="s">
        <v>483</v>
      </c>
      <c r="I20" s="22"/>
    </row>
    <row r="21" spans="1:9" x14ac:dyDescent="0.25">
      <c r="A21" s="22" t="b">
        <v>0</v>
      </c>
      <c r="B21" s="22" t="s">
        <v>2697</v>
      </c>
      <c r="C21" s="34">
        <v>45713</v>
      </c>
      <c r="D21" s="22" t="s">
        <v>2792</v>
      </c>
      <c r="E21" s="22">
        <v>943</v>
      </c>
      <c r="F21" s="28"/>
      <c r="G21" s="22" t="s">
        <v>482</v>
      </c>
      <c r="H21" s="22" t="s">
        <v>483</v>
      </c>
      <c r="I21" s="22"/>
    </row>
    <row r="22" spans="1:9" x14ac:dyDescent="0.25">
      <c r="A22" s="22" t="b">
        <v>0</v>
      </c>
      <c r="B22" s="22" t="s">
        <v>2595</v>
      </c>
      <c r="C22" s="34">
        <v>45714</v>
      </c>
      <c r="D22" s="22" t="s">
        <v>2793</v>
      </c>
      <c r="E22" s="22">
        <v>500</v>
      </c>
      <c r="F22" s="28"/>
      <c r="G22" s="22" t="s">
        <v>482</v>
      </c>
      <c r="H22" s="22" t="s">
        <v>483</v>
      </c>
      <c r="I22" s="22"/>
    </row>
    <row r="23" spans="1:9" x14ac:dyDescent="0.25">
      <c r="A23" s="22" t="b">
        <v>0</v>
      </c>
      <c r="B23" s="22" t="s">
        <v>2596</v>
      </c>
      <c r="C23" s="34">
        <v>45714</v>
      </c>
      <c r="D23" s="22" t="s">
        <v>2794</v>
      </c>
      <c r="E23" s="22">
        <v>100</v>
      </c>
      <c r="F23" s="28"/>
      <c r="G23" s="22" t="s">
        <v>482</v>
      </c>
      <c r="H23" s="22" t="s">
        <v>483</v>
      </c>
      <c r="I23" s="22"/>
    </row>
    <row r="24" spans="1:9" x14ac:dyDescent="0.25">
      <c r="A24" s="22" t="b">
        <v>0</v>
      </c>
      <c r="B24" s="22" t="s">
        <v>2597</v>
      </c>
      <c r="C24" s="34">
        <v>45714</v>
      </c>
      <c r="D24" s="22" t="s">
        <v>2795</v>
      </c>
      <c r="E24" s="22">
        <v>129</v>
      </c>
      <c r="F24" s="28"/>
      <c r="G24" s="22" t="s">
        <v>482</v>
      </c>
      <c r="H24" s="22" t="s">
        <v>483</v>
      </c>
      <c r="I24" s="22"/>
    </row>
    <row r="25" spans="1:9" x14ac:dyDescent="0.25">
      <c r="A25" s="22" t="b">
        <v>0</v>
      </c>
      <c r="B25" s="22" t="s">
        <v>2584</v>
      </c>
      <c r="C25" s="34">
        <v>45716</v>
      </c>
      <c r="D25" s="22" t="s">
        <v>2780</v>
      </c>
      <c r="E25" s="22">
        <v>25</v>
      </c>
      <c r="F25" s="28"/>
      <c r="G25" s="22" t="s">
        <v>482</v>
      </c>
      <c r="H25" s="22" t="s">
        <v>483</v>
      </c>
      <c r="I25" s="22"/>
    </row>
    <row r="26" spans="1:9" x14ac:dyDescent="0.25">
      <c r="A26" s="22" t="b">
        <v>0</v>
      </c>
      <c r="B26" s="22" t="s">
        <v>2578</v>
      </c>
      <c r="C26" s="34">
        <v>45717</v>
      </c>
      <c r="D26" s="22" t="s">
        <v>2796</v>
      </c>
      <c r="E26" s="22">
        <v>25</v>
      </c>
      <c r="F26" s="28"/>
      <c r="G26" s="22" t="s">
        <v>482</v>
      </c>
      <c r="H26" s="22" t="s">
        <v>483</v>
      </c>
      <c r="I26" s="22"/>
    </row>
    <row r="27" spans="1:9" x14ac:dyDescent="0.25">
      <c r="A27" s="22" t="b">
        <v>0</v>
      </c>
      <c r="B27" s="22" t="s">
        <v>2579</v>
      </c>
      <c r="C27" s="34">
        <v>45717</v>
      </c>
      <c r="D27" s="22" t="s">
        <v>2797</v>
      </c>
      <c r="E27" s="22">
        <v>800</v>
      </c>
      <c r="F27" s="28"/>
      <c r="G27" s="22" t="s">
        <v>482</v>
      </c>
      <c r="H27" s="22" t="s">
        <v>483</v>
      </c>
      <c r="I27" s="22"/>
    </row>
    <row r="28" spans="1:9" x14ac:dyDescent="0.25">
      <c r="A28" s="22" t="b">
        <v>0</v>
      </c>
      <c r="B28" s="22" t="s">
        <v>2580</v>
      </c>
      <c r="C28" s="34">
        <v>45717</v>
      </c>
      <c r="D28" s="22" t="s">
        <v>2793</v>
      </c>
      <c r="E28" s="22">
        <v>1100</v>
      </c>
      <c r="F28" s="28"/>
      <c r="G28" s="22" t="s">
        <v>482</v>
      </c>
      <c r="H28" s="22" t="s">
        <v>483</v>
      </c>
      <c r="I28" s="22"/>
    </row>
    <row r="29" spans="1:9" x14ac:dyDescent="0.25">
      <c r="A29" s="22" t="b">
        <v>0</v>
      </c>
      <c r="B29" s="22" t="s">
        <v>2581</v>
      </c>
      <c r="C29" s="34">
        <v>45717</v>
      </c>
      <c r="D29" s="22" t="s">
        <v>2797</v>
      </c>
      <c r="E29" s="22">
        <v>165</v>
      </c>
      <c r="F29" s="28"/>
      <c r="G29" s="22" t="s">
        <v>482</v>
      </c>
      <c r="H29" s="22" t="s">
        <v>483</v>
      </c>
      <c r="I29" s="22"/>
    </row>
    <row r="30" spans="1:9" x14ac:dyDescent="0.25">
      <c r="A30" s="22" t="b">
        <v>0</v>
      </c>
      <c r="B30" s="22" t="s">
        <v>2582</v>
      </c>
      <c r="C30" s="34">
        <v>45717</v>
      </c>
      <c r="D30" s="22" t="s">
        <v>2798</v>
      </c>
      <c r="E30" s="22">
        <v>450</v>
      </c>
      <c r="F30" s="28"/>
      <c r="G30" s="22" t="s">
        <v>482</v>
      </c>
      <c r="H30" s="22" t="s">
        <v>483</v>
      </c>
      <c r="I30" s="22"/>
    </row>
    <row r="31" spans="1:9" x14ac:dyDescent="0.25">
      <c r="A31" s="22" t="b">
        <v>0</v>
      </c>
      <c r="B31" s="22" t="s">
        <v>2573</v>
      </c>
      <c r="C31" s="34">
        <v>45720</v>
      </c>
      <c r="D31" s="22" t="s">
        <v>2799</v>
      </c>
      <c r="E31" s="22">
        <v>81.95</v>
      </c>
      <c r="F31" s="28"/>
      <c r="G31" s="22" t="s">
        <v>482</v>
      </c>
      <c r="H31" s="22" t="s">
        <v>483</v>
      </c>
      <c r="I31" s="22"/>
    </row>
    <row r="32" spans="1:9" x14ac:dyDescent="0.25">
      <c r="A32" s="22" t="b">
        <v>0</v>
      </c>
      <c r="B32" s="22" t="s">
        <v>2563</v>
      </c>
      <c r="C32" s="34">
        <v>45723</v>
      </c>
      <c r="D32" s="22" t="s">
        <v>2794</v>
      </c>
      <c r="E32" s="22">
        <v>100</v>
      </c>
      <c r="F32" s="28"/>
      <c r="G32" s="22" t="s">
        <v>482</v>
      </c>
      <c r="H32" s="22" t="s">
        <v>483</v>
      </c>
      <c r="I32" s="22"/>
    </row>
    <row r="33" spans="1:9" x14ac:dyDescent="0.25">
      <c r="A33" s="22" t="b">
        <v>0</v>
      </c>
      <c r="B33" s="22" t="s">
        <v>2551</v>
      </c>
      <c r="C33" s="34">
        <v>45726</v>
      </c>
      <c r="D33" s="22" t="s">
        <v>2800</v>
      </c>
      <c r="E33" s="22">
        <v>798</v>
      </c>
      <c r="F33" s="28"/>
      <c r="G33" s="22" t="s">
        <v>482</v>
      </c>
      <c r="H33" s="22" t="s">
        <v>483</v>
      </c>
      <c r="I33" s="22"/>
    </row>
    <row r="34" spans="1:9" x14ac:dyDescent="0.25">
      <c r="A34" s="22" t="b">
        <v>0</v>
      </c>
      <c r="B34" s="22" t="s">
        <v>2552</v>
      </c>
      <c r="C34" s="34">
        <v>45726</v>
      </c>
      <c r="D34" s="22" t="s">
        <v>2801</v>
      </c>
      <c r="E34" s="22">
        <v>2947.77</v>
      </c>
      <c r="F34" s="28"/>
      <c r="G34" s="22" t="s">
        <v>482</v>
      </c>
      <c r="H34" s="22" t="s">
        <v>483</v>
      </c>
      <c r="I34" s="22"/>
    </row>
    <row r="35" spans="1:9" x14ac:dyDescent="0.25">
      <c r="A35" s="22" t="b">
        <v>0</v>
      </c>
      <c r="B35" s="22" t="s">
        <v>2553</v>
      </c>
      <c r="C35" s="34">
        <v>45726</v>
      </c>
      <c r="D35" s="22" t="s">
        <v>2789</v>
      </c>
      <c r="E35" s="22">
        <v>331</v>
      </c>
      <c r="F35" s="28"/>
      <c r="G35" s="22" t="s">
        <v>482</v>
      </c>
      <c r="H35" s="22" t="s">
        <v>483</v>
      </c>
      <c r="I35" s="22"/>
    </row>
    <row r="36" spans="1:9" x14ac:dyDescent="0.25">
      <c r="A36" s="22" t="b">
        <v>0</v>
      </c>
      <c r="B36" s="22" t="s">
        <v>2513</v>
      </c>
      <c r="C36" s="34">
        <v>45734</v>
      </c>
      <c r="D36" s="22" t="s">
        <v>2802</v>
      </c>
      <c r="E36" s="22">
        <v>172.5</v>
      </c>
      <c r="F36" s="28"/>
      <c r="G36" s="22" t="s">
        <v>482</v>
      </c>
      <c r="H36" s="22" t="s">
        <v>483</v>
      </c>
      <c r="I36" s="22"/>
    </row>
    <row r="37" spans="1:9" x14ac:dyDescent="0.25">
      <c r="A37" s="22" t="b">
        <v>0</v>
      </c>
      <c r="B37" s="22" t="s">
        <v>2511</v>
      </c>
      <c r="C37" s="34">
        <v>45735</v>
      </c>
      <c r="D37" s="22" t="s">
        <v>2803</v>
      </c>
      <c r="E37" s="22">
        <v>400</v>
      </c>
      <c r="F37" s="28"/>
      <c r="G37" s="22" t="s">
        <v>482</v>
      </c>
      <c r="H37" s="22" t="s">
        <v>483</v>
      </c>
      <c r="I37" s="22"/>
    </row>
    <row r="38" spans="1:9" x14ac:dyDescent="0.25">
      <c r="A38" s="22" t="b">
        <v>0</v>
      </c>
      <c r="B38" s="22" t="s">
        <v>2512</v>
      </c>
      <c r="C38" s="34">
        <v>45735</v>
      </c>
      <c r="D38" s="22" t="s">
        <v>2804</v>
      </c>
      <c r="E38" s="22">
        <v>2000</v>
      </c>
      <c r="F38" s="28"/>
      <c r="G38" s="22" t="s">
        <v>482</v>
      </c>
      <c r="H38" s="22" t="s">
        <v>483</v>
      </c>
      <c r="I38" s="22"/>
    </row>
    <row r="39" spans="1:9" x14ac:dyDescent="0.25">
      <c r="A39" s="22" t="b">
        <v>0</v>
      </c>
      <c r="B39" s="22" t="s">
        <v>2502</v>
      </c>
      <c r="C39" s="34">
        <v>45736</v>
      </c>
      <c r="D39" s="22" t="s">
        <v>2805</v>
      </c>
      <c r="E39" s="22">
        <v>1000</v>
      </c>
      <c r="F39" s="28"/>
      <c r="G39" s="22" t="s">
        <v>482</v>
      </c>
      <c r="H39" s="22" t="s">
        <v>483</v>
      </c>
      <c r="I39" s="22"/>
    </row>
    <row r="40" spans="1:9" x14ac:dyDescent="0.25">
      <c r="A40" s="22" t="b">
        <v>0</v>
      </c>
      <c r="B40" s="22" t="s">
        <v>2503</v>
      </c>
      <c r="C40" s="34">
        <v>45736</v>
      </c>
      <c r="D40" s="22" t="s">
        <v>2806</v>
      </c>
      <c r="E40" s="22">
        <v>5200</v>
      </c>
      <c r="F40" s="28"/>
      <c r="G40" s="22" t="s">
        <v>482</v>
      </c>
      <c r="H40" s="22" t="s">
        <v>483</v>
      </c>
      <c r="I40" s="22"/>
    </row>
    <row r="41" spans="1:9" x14ac:dyDescent="0.25">
      <c r="A41" s="22" t="b">
        <v>0</v>
      </c>
      <c r="B41" s="22" t="s">
        <v>2504</v>
      </c>
      <c r="C41" s="34">
        <v>45736</v>
      </c>
      <c r="D41" s="22" t="s">
        <v>2807</v>
      </c>
      <c r="E41" s="22">
        <v>350</v>
      </c>
      <c r="F41" s="28"/>
      <c r="G41" s="22" t="s">
        <v>482</v>
      </c>
      <c r="H41" s="22" t="s">
        <v>483</v>
      </c>
      <c r="I41" s="22"/>
    </row>
    <row r="42" spans="1:9" x14ac:dyDescent="0.25">
      <c r="A42" s="22" t="b">
        <v>0</v>
      </c>
      <c r="B42" s="22" t="s">
        <v>2501</v>
      </c>
      <c r="C42" s="34">
        <v>45737</v>
      </c>
      <c r="D42" s="22" t="s">
        <v>2808</v>
      </c>
      <c r="E42" s="22">
        <v>1000</v>
      </c>
      <c r="F42" s="28"/>
      <c r="G42" s="22" t="s">
        <v>482</v>
      </c>
      <c r="H42" s="22" t="s">
        <v>483</v>
      </c>
      <c r="I42" s="22"/>
    </row>
    <row r="43" spans="1:9" x14ac:dyDescent="0.25">
      <c r="A43" s="22" t="b">
        <v>0</v>
      </c>
      <c r="B43" s="22" t="s">
        <v>2494</v>
      </c>
      <c r="C43" s="34">
        <v>45738</v>
      </c>
      <c r="D43" s="22" t="s">
        <v>2809</v>
      </c>
      <c r="E43" s="22">
        <v>200</v>
      </c>
      <c r="F43" s="28"/>
      <c r="G43" s="22" t="s">
        <v>482</v>
      </c>
      <c r="H43" s="22" t="s">
        <v>483</v>
      </c>
      <c r="I43" s="22"/>
    </row>
    <row r="44" spans="1:9" x14ac:dyDescent="0.25">
      <c r="A44" s="22" t="b">
        <v>0</v>
      </c>
      <c r="B44" s="22" t="s">
        <v>2493</v>
      </c>
      <c r="C44" s="34">
        <v>45739</v>
      </c>
      <c r="D44" s="22" t="s">
        <v>2810</v>
      </c>
      <c r="E44" s="22">
        <v>93.1</v>
      </c>
      <c r="F44" s="28"/>
      <c r="G44" s="22" t="s">
        <v>482</v>
      </c>
      <c r="H44" s="22" t="s">
        <v>483</v>
      </c>
      <c r="I44" s="22"/>
    </row>
    <row r="45" spans="1:9" x14ac:dyDescent="0.25">
      <c r="A45" s="22" t="b">
        <v>0</v>
      </c>
      <c r="B45" s="22" t="s">
        <v>2473</v>
      </c>
      <c r="C45" s="34">
        <v>45744</v>
      </c>
      <c r="D45" s="22" t="s">
        <v>2811</v>
      </c>
      <c r="E45" s="22">
        <v>135</v>
      </c>
      <c r="F45" s="28"/>
      <c r="G45" s="22" t="s">
        <v>482</v>
      </c>
      <c r="H45" s="22" t="s">
        <v>483</v>
      </c>
      <c r="I45" s="22"/>
    </row>
    <row r="46" spans="1:9" x14ac:dyDescent="0.25">
      <c r="A46" s="22" t="b">
        <v>0</v>
      </c>
      <c r="B46" s="22" t="s">
        <v>1323</v>
      </c>
      <c r="C46" s="34">
        <v>45748</v>
      </c>
      <c r="D46" s="22" t="s">
        <v>2812</v>
      </c>
      <c r="E46" s="22">
        <v>110</v>
      </c>
      <c r="F46" s="28"/>
      <c r="G46" s="22" t="s">
        <v>482</v>
      </c>
      <c r="H46" s="22" t="s">
        <v>483</v>
      </c>
      <c r="I46" s="22"/>
    </row>
    <row r="47" spans="1:9" x14ac:dyDescent="0.25">
      <c r="A47" s="22" t="b">
        <v>0</v>
      </c>
      <c r="B47" s="22" t="s">
        <v>1314</v>
      </c>
      <c r="C47" s="34">
        <v>45751</v>
      </c>
      <c r="D47" s="22" t="s">
        <v>2813</v>
      </c>
      <c r="E47" s="22">
        <v>125</v>
      </c>
      <c r="F47" s="28"/>
      <c r="G47" s="22" t="s">
        <v>482</v>
      </c>
      <c r="H47" s="22" t="s">
        <v>483</v>
      </c>
      <c r="I47" s="22"/>
    </row>
    <row r="48" spans="1:9" x14ac:dyDescent="0.25">
      <c r="A48" s="22" t="b">
        <v>0</v>
      </c>
      <c r="B48" s="22" t="s">
        <v>1312</v>
      </c>
      <c r="C48" s="34">
        <v>45752</v>
      </c>
      <c r="D48" s="22" t="s">
        <v>2814</v>
      </c>
      <c r="E48" s="22">
        <v>70</v>
      </c>
      <c r="F48" s="28"/>
      <c r="G48" s="22" t="s">
        <v>482</v>
      </c>
      <c r="H48" s="22" t="s">
        <v>483</v>
      </c>
      <c r="I48" s="22"/>
    </row>
    <row r="49" spans="1:9" x14ac:dyDescent="0.25">
      <c r="A49" s="22" t="b">
        <v>0</v>
      </c>
      <c r="B49" s="22" t="s">
        <v>1307</v>
      </c>
      <c r="C49" s="34">
        <v>45753</v>
      </c>
      <c r="D49" s="22" t="s">
        <v>2814</v>
      </c>
      <c r="E49" s="22">
        <v>70</v>
      </c>
      <c r="F49" s="28"/>
      <c r="G49" s="22" t="s">
        <v>482</v>
      </c>
      <c r="H49" s="22" t="s">
        <v>483</v>
      </c>
      <c r="I49" s="22"/>
    </row>
    <row r="50" spans="1:9" x14ac:dyDescent="0.25">
      <c r="A50" s="22" t="b">
        <v>0</v>
      </c>
      <c r="B50" s="22" t="s">
        <v>1309</v>
      </c>
      <c r="C50" s="34">
        <v>45753</v>
      </c>
      <c r="D50" s="22" t="s">
        <v>2815</v>
      </c>
      <c r="E50" s="22">
        <v>100</v>
      </c>
      <c r="F50" s="28"/>
      <c r="G50" s="22" t="s">
        <v>482</v>
      </c>
      <c r="H50" s="22" t="s">
        <v>483</v>
      </c>
      <c r="I50" s="22"/>
    </row>
    <row r="51" spans="1:9" x14ac:dyDescent="0.25">
      <c r="A51" s="22" t="b">
        <v>0</v>
      </c>
      <c r="B51" s="22" t="s">
        <v>1305</v>
      </c>
      <c r="C51" s="34">
        <v>45755</v>
      </c>
      <c r="D51" s="22" t="s">
        <v>2816</v>
      </c>
      <c r="E51" s="22">
        <v>1500</v>
      </c>
      <c r="F51" s="28"/>
      <c r="G51" s="22" t="s">
        <v>482</v>
      </c>
      <c r="H51" s="22" t="s">
        <v>483</v>
      </c>
      <c r="I51" s="22"/>
    </row>
    <row r="52" spans="1:9" x14ac:dyDescent="0.25">
      <c r="A52" s="22" t="b">
        <v>0</v>
      </c>
      <c r="B52" s="22" t="s">
        <v>1301</v>
      </c>
      <c r="C52" s="34">
        <v>45756</v>
      </c>
      <c r="D52" s="22" t="s">
        <v>2817</v>
      </c>
      <c r="E52" s="22">
        <v>18</v>
      </c>
      <c r="F52" s="28"/>
      <c r="G52" s="22" t="s">
        <v>482</v>
      </c>
      <c r="H52" s="22" t="s">
        <v>483</v>
      </c>
      <c r="I52" s="22"/>
    </row>
    <row r="53" spans="1:9" x14ac:dyDescent="0.25">
      <c r="A53" s="22" t="b">
        <v>0</v>
      </c>
      <c r="B53" s="22" t="s">
        <v>1297</v>
      </c>
      <c r="C53" s="34">
        <v>45757</v>
      </c>
      <c r="D53" s="22" t="s">
        <v>2818</v>
      </c>
      <c r="E53" s="22">
        <v>10</v>
      </c>
      <c r="F53" s="28"/>
      <c r="G53" s="22" t="s">
        <v>482</v>
      </c>
      <c r="H53" s="22" t="s">
        <v>483</v>
      </c>
      <c r="I53" s="22"/>
    </row>
    <row r="54" spans="1:9" x14ac:dyDescent="0.25">
      <c r="A54" s="22" t="b">
        <v>0</v>
      </c>
      <c r="B54" s="22" t="s">
        <v>1298</v>
      </c>
      <c r="C54" s="34">
        <v>45757</v>
      </c>
      <c r="D54" s="22" t="s">
        <v>2819</v>
      </c>
      <c r="E54" s="22">
        <v>310</v>
      </c>
      <c r="F54" s="28"/>
      <c r="G54" s="22" t="s">
        <v>482</v>
      </c>
      <c r="H54" s="22" t="s">
        <v>483</v>
      </c>
      <c r="I54" s="22"/>
    </row>
    <row r="55" spans="1:9" x14ac:dyDescent="0.25">
      <c r="A55" s="22" t="b">
        <v>0</v>
      </c>
      <c r="B55" s="22" t="s">
        <v>1299</v>
      </c>
      <c r="C55" s="34">
        <v>45757</v>
      </c>
      <c r="D55" s="22" t="s">
        <v>2814</v>
      </c>
      <c r="E55" s="22">
        <v>20</v>
      </c>
      <c r="F55" s="28"/>
      <c r="G55" s="22" t="s">
        <v>482</v>
      </c>
      <c r="H55" s="22" t="s">
        <v>483</v>
      </c>
      <c r="I55" s="22"/>
    </row>
    <row r="56" spans="1:9" x14ac:dyDescent="0.25">
      <c r="A56" s="22" t="b">
        <v>0</v>
      </c>
      <c r="B56" s="22" t="s">
        <v>1285</v>
      </c>
      <c r="C56" s="34">
        <v>45762</v>
      </c>
      <c r="D56" s="22" t="s">
        <v>2820</v>
      </c>
      <c r="E56" s="22">
        <v>5495.29</v>
      </c>
      <c r="F56" s="28">
        <v>915.88</v>
      </c>
      <c r="G56" s="22" t="s">
        <v>482</v>
      </c>
      <c r="H56" s="22" t="s">
        <v>483</v>
      </c>
      <c r="I56" s="22"/>
    </row>
    <row r="57" spans="1:9" x14ac:dyDescent="0.25">
      <c r="A57" s="22" t="b">
        <v>0</v>
      </c>
      <c r="B57" s="22" t="s">
        <v>1909</v>
      </c>
      <c r="C57" s="34">
        <v>45762</v>
      </c>
      <c r="D57" s="22" t="s">
        <v>2821</v>
      </c>
      <c r="E57" s="22">
        <v>10000</v>
      </c>
      <c r="F57" s="28"/>
      <c r="G57" s="22" t="s">
        <v>482</v>
      </c>
      <c r="H57" s="22" t="s">
        <v>483</v>
      </c>
      <c r="I57" s="22"/>
    </row>
    <row r="58" spans="1:9" x14ac:dyDescent="0.25">
      <c r="A58" s="22" t="b">
        <v>0</v>
      </c>
      <c r="B58" s="22" t="s">
        <v>1279</v>
      </c>
      <c r="C58" s="34">
        <v>45765</v>
      </c>
      <c r="D58" s="22" t="s">
        <v>2822</v>
      </c>
      <c r="E58" s="22">
        <v>150</v>
      </c>
      <c r="F58" s="28"/>
      <c r="G58" s="22" t="s">
        <v>482</v>
      </c>
      <c r="H58" s="22" t="s">
        <v>483</v>
      </c>
      <c r="I58" s="22"/>
    </row>
    <row r="59" spans="1:9" x14ac:dyDescent="0.25">
      <c r="A59" s="22" t="b">
        <v>0</v>
      </c>
      <c r="B59" s="22" t="s">
        <v>1280</v>
      </c>
      <c r="C59" s="34">
        <v>45765</v>
      </c>
      <c r="D59" s="22" t="s">
        <v>2811</v>
      </c>
      <c r="E59" s="22">
        <v>120</v>
      </c>
      <c r="F59" s="28"/>
      <c r="G59" s="22" t="s">
        <v>482</v>
      </c>
      <c r="H59" s="22" t="s">
        <v>483</v>
      </c>
      <c r="I59" s="22"/>
    </row>
    <row r="60" spans="1:9" x14ac:dyDescent="0.25">
      <c r="A60" s="22" t="b">
        <v>0</v>
      </c>
      <c r="B60" s="22" t="s">
        <v>1908</v>
      </c>
      <c r="C60" s="34">
        <v>45773</v>
      </c>
      <c r="D60" s="22" t="s">
        <v>2823</v>
      </c>
      <c r="E60" s="22">
        <v>100</v>
      </c>
      <c r="F60" s="28"/>
      <c r="G60" s="22" t="s">
        <v>482</v>
      </c>
      <c r="H60" s="22" t="s">
        <v>483</v>
      </c>
      <c r="I60" s="22"/>
    </row>
    <row r="61" spans="1:9" x14ac:dyDescent="0.25">
      <c r="A61" s="22" t="b">
        <v>0</v>
      </c>
      <c r="B61" s="22" t="s">
        <v>1261</v>
      </c>
      <c r="C61" s="34">
        <v>45775</v>
      </c>
      <c r="D61" s="22" t="s">
        <v>2787</v>
      </c>
      <c r="E61" s="22">
        <v>197.5</v>
      </c>
      <c r="F61" s="28"/>
      <c r="G61" s="22" t="s">
        <v>482</v>
      </c>
      <c r="H61" s="22" t="s">
        <v>483</v>
      </c>
      <c r="I61" s="22"/>
    </row>
    <row r="62" spans="1:9" x14ac:dyDescent="0.25">
      <c r="A62" s="22" t="b">
        <v>0</v>
      </c>
      <c r="B62" s="22" t="s">
        <v>1216</v>
      </c>
      <c r="C62" s="34">
        <v>45786</v>
      </c>
      <c r="D62" s="22" t="s">
        <v>2824</v>
      </c>
      <c r="E62" s="22">
        <v>110</v>
      </c>
      <c r="F62" s="28"/>
      <c r="G62" s="22" t="s">
        <v>482</v>
      </c>
      <c r="H62" s="22" t="s">
        <v>483</v>
      </c>
      <c r="I62" s="22"/>
    </row>
    <row r="63" spans="1:9" x14ac:dyDescent="0.25">
      <c r="A63" s="22" t="b">
        <v>0</v>
      </c>
      <c r="B63" s="22" t="s">
        <v>1207</v>
      </c>
      <c r="C63" s="34">
        <v>45789</v>
      </c>
      <c r="D63" s="22" t="s">
        <v>2800</v>
      </c>
      <c r="E63" s="22">
        <v>325</v>
      </c>
      <c r="F63" s="28"/>
      <c r="G63" s="22" t="s">
        <v>482</v>
      </c>
      <c r="H63" s="22" t="s">
        <v>483</v>
      </c>
      <c r="I63" s="22"/>
    </row>
    <row r="64" spans="1:9" x14ac:dyDescent="0.25">
      <c r="A64" s="22" t="b">
        <v>0</v>
      </c>
      <c r="B64" s="22" t="s">
        <v>1185</v>
      </c>
      <c r="C64" s="34">
        <v>45791</v>
      </c>
      <c r="D64" s="22" t="s">
        <v>2825</v>
      </c>
      <c r="E64" s="22">
        <v>200</v>
      </c>
      <c r="F64" s="28"/>
      <c r="G64" s="22" t="s">
        <v>482</v>
      </c>
      <c r="H64" s="22" t="s">
        <v>483</v>
      </c>
      <c r="I64" s="22"/>
    </row>
    <row r="65" spans="1:9" x14ac:dyDescent="0.25">
      <c r="A65" s="22" t="b">
        <v>0</v>
      </c>
      <c r="B65" s="22" t="s">
        <v>1187</v>
      </c>
      <c r="C65" s="34">
        <v>45791</v>
      </c>
      <c r="D65" s="22" t="s">
        <v>2826</v>
      </c>
      <c r="E65" s="22">
        <v>1528</v>
      </c>
      <c r="F65" s="28"/>
      <c r="G65" s="22" t="s">
        <v>482</v>
      </c>
      <c r="H65" s="22" t="s">
        <v>483</v>
      </c>
      <c r="I65" s="22"/>
    </row>
    <row r="66" spans="1:9" x14ac:dyDescent="0.25">
      <c r="A66" s="22" t="b">
        <v>0</v>
      </c>
      <c r="B66" s="22" t="s">
        <v>1180</v>
      </c>
      <c r="C66" s="34">
        <v>45792</v>
      </c>
      <c r="D66" s="22" t="s">
        <v>2827</v>
      </c>
      <c r="E66" s="22">
        <v>522.54999999999995</v>
      </c>
      <c r="F66" s="28">
        <v>87.09</v>
      </c>
      <c r="G66" s="22" t="s">
        <v>482</v>
      </c>
      <c r="H66" s="22" t="s">
        <v>483</v>
      </c>
      <c r="I66" s="22"/>
    </row>
    <row r="67" spans="1:9" x14ac:dyDescent="0.25">
      <c r="A67" s="22" t="b">
        <v>0</v>
      </c>
      <c r="B67" s="22" t="s">
        <v>1175</v>
      </c>
      <c r="C67" s="34">
        <v>45793</v>
      </c>
      <c r="D67" s="22" t="s">
        <v>2828</v>
      </c>
      <c r="E67" s="22">
        <v>150</v>
      </c>
      <c r="F67" s="28"/>
      <c r="G67" s="22" t="s">
        <v>482</v>
      </c>
      <c r="H67" s="22" t="s">
        <v>483</v>
      </c>
      <c r="I67" s="22"/>
    </row>
    <row r="68" spans="1:9" x14ac:dyDescent="0.25">
      <c r="A68" s="22" t="b">
        <v>0</v>
      </c>
      <c r="B68" s="22" t="s">
        <v>1169</v>
      </c>
      <c r="C68" s="34">
        <v>45795</v>
      </c>
      <c r="D68" s="22" t="s">
        <v>2829</v>
      </c>
      <c r="E68" s="22">
        <v>600</v>
      </c>
      <c r="F68" s="28"/>
      <c r="G68" s="22" t="s">
        <v>482</v>
      </c>
      <c r="H68" s="22" t="s">
        <v>483</v>
      </c>
      <c r="I68" s="22"/>
    </row>
    <row r="69" spans="1:9" x14ac:dyDescent="0.25">
      <c r="A69" s="22" t="b">
        <v>0</v>
      </c>
      <c r="B69" s="22" t="s">
        <v>1141</v>
      </c>
      <c r="C69" s="34">
        <v>45800</v>
      </c>
      <c r="D69" s="22" t="s">
        <v>2793</v>
      </c>
      <c r="E69" s="22">
        <v>6000</v>
      </c>
      <c r="F69" s="28"/>
      <c r="G69" s="22" t="s">
        <v>482</v>
      </c>
      <c r="H69" s="22" t="s">
        <v>483</v>
      </c>
      <c r="I69" s="22"/>
    </row>
    <row r="70" spans="1:9" x14ac:dyDescent="0.25">
      <c r="A70" s="22" t="b">
        <v>0</v>
      </c>
      <c r="B70" s="22" t="s">
        <v>1135</v>
      </c>
      <c r="C70" s="34">
        <v>45801</v>
      </c>
      <c r="D70" s="22" t="s">
        <v>2793</v>
      </c>
      <c r="E70" s="22">
        <v>55.91</v>
      </c>
      <c r="F70" s="28"/>
      <c r="G70" s="22" t="s">
        <v>482</v>
      </c>
      <c r="H70" s="22" t="s">
        <v>483</v>
      </c>
      <c r="I70" s="22"/>
    </row>
    <row r="71" spans="1:9" x14ac:dyDescent="0.25">
      <c r="A71" s="22" t="b">
        <v>0</v>
      </c>
      <c r="B71" s="22" t="s">
        <v>1082</v>
      </c>
      <c r="C71" s="34">
        <v>45808</v>
      </c>
      <c r="D71" s="22" t="s">
        <v>2830</v>
      </c>
      <c r="E71" s="22">
        <v>590</v>
      </c>
      <c r="F71" s="28"/>
      <c r="G71" s="22" t="s">
        <v>482</v>
      </c>
      <c r="H71" s="22" t="s">
        <v>483</v>
      </c>
      <c r="I71" s="22"/>
    </row>
    <row r="72" spans="1:9" x14ac:dyDescent="0.25">
      <c r="A72" s="22" t="b">
        <v>0</v>
      </c>
      <c r="B72" s="22" t="s">
        <v>1083</v>
      </c>
      <c r="C72" s="34">
        <v>45808</v>
      </c>
      <c r="D72" s="22" t="s">
        <v>2831</v>
      </c>
      <c r="E72" s="22">
        <v>70</v>
      </c>
      <c r="F72" s="28"/>
      <c r="G72" s="22" t="s">
        <v>482</v>
      </c>
      <c r="H72" s="22" t="s">
        <v>483</v>
      </c>
      <c r="I72" s="22"/>
    </row>
    <row r="73" spans="1:9" x14ac:dyDescent="0.25">
      <c r="A73" s="22" t="b">
        <v>0</v>
      </c>
      <c r="B73" s="22" t="s">
        <v>1070</v>
      </c>
      <c r="C73" s="34">
        <v>45809</v>
      </c>
      <c r="D73" s="22" t="s">
        <v>2787</v>
      </c>
      <c r="E73" s="22">
        <v>154.5</v>
      </c>
      <c r="F73" s="28"/>
      <c r="G73" s="22" t="s">
        <v>482</v>
      </c>
      <c r="H73" s="22" t="s">
        <v>483</v>
      </c>
      <c r="I73" s="22"/>
    </row>
    <row r="74" spans="1:9" x14ac:dyDescent="0.25">
      <c r="A74" s="22" t="b">
        <v>0</v>
      </c>
      <c r="B74" s="22" t="s">
        <v>1039</v>
      </c>
      <c r="C74" s="34">
        <v>45812</v>
      </c>
      <c r="D74" s="22" t="s">
        <v>2832</v>
      </c>
      <c r="E74" s="22">
        <v>485</v>
      </c>
      <c r="F74" s="28"/>
      <c r="G74" s="22" t="s">
        <v>482</v>
      </c>
      <c r="H74" s="22" t="s">
        <v>483</v>
      </c>
      <c r="I74" s="22"/>
    </row>
    <row r="75" spans="1:9" x14ac:dyDescent="0.25">
      <c r="A75" s="22" t="b">
        <v>0</v>
      </c>
      <c r="B75" s="22" t="s">
        <v>1040</v>
      </c>
      <c r="C75" s="34">
        <v>45812</v>
      </c>
      <c r="D75" s="22" t="s">
        <v>2829</v>
      </c>
      <c r="E75" s="22">
        <v>1140</v>
      </c>
      <c r="F75" s="28"/>
      <c r="G75" s="22" t="s">
        <v>482</v>
      </c>
      <c r="H75" s="22" t="s">
        <v>483</v>
      </c>
      <c r="I75" s="22"/>
    </row>
    <row r="76" spans="1:9" x14ac:dyDescent="0.25">
      <c r="A76" s="22" t="b">
        <v>0</v>
      </c>
      <c r="B76" s="22" t="s">
        <v>1041</v>
      </c>
      <c r="C76" s="34">
        <v>45812</v>
      </c>
      <c r="D76" s="22" t="s">
        <v>2833</v>
      </c>
      <c r="E76" s="22">
        <v>11.52</v>
      </c>
      <c r="F76" s="28"/>
      <c r="G76" s="22" t="s">
        <v>482</v>
      </c>
      <c r="H76" s="22" t="s">
        <v>483</v>
      </c>
      <c r="I76" s="22"/>
    </row>
    <row r="77" spans="1:9" x14ac:dyDescent="0.25">
      <c r="A77" s="22" t="b">
        <v>0</v>
      </c>
      <c r="B77" s="22" t="s">
        <v>1034</v>
      </c>
      <c r="C77" s="34">
        <v>45813</v>
      </c>
      <c r="D77" s="22" t="s">
        <v>2834</v>
      </c>
      <c r="E77" s="22">
        <v>150</v>
      </c>
      <c r="F77" s="28"/>
      <c r="G77" s="22" t="s">
        <v>482</v>
      </c>
      <c r="H77" s="22" t="s">
        <v>483</v>
      </c>
      <c r="I77" s="22"/>
    </row>
    <row r="78" spans="1:9" x14ac:dyDescent="0.25">
      <c r="A78" s="22" t="b">
        <v>0</v>
      </c>
      <c r="B78" s="22" t="s">
        <v>1035</v>
      </c>
      <c r="C78" s="34">
        <v>45813</v>
      </c>
      <c r="D78" s="22" t="s">
        <v>2835</v>
      </c>
      <c r="E78" s="22">
        <v>150</v>
      </c>
      <c r="F78" s="28"/>
      <c r="G78" s="22" t="s">
        <v>482</v>
      </c>
      <c r="H78" s="22" t="s">
        <v>483</v>
      </c>
      <c r="I78" s="22"/>
    </row>
    <row r="79" spans="1:9" x14ac:dyDescent="0.25">
      <c r="A79" s="22" t="b">
        <v>0</v>
      </c>
      <c r="B79" s="22" t="s">
        <v>1907</v>
      </c>
      <c r="C79" s="34">
        <v>45813</v>
      </c>
      <c r="D79" s="22" t="s">
        <v>2836</v>
      </c>
      <c r="E79" s="22">
        <v>130</v>
      </c>
      <c r="F79" s="28"/>
      <c r="G79" s="22" t="s">
        <v>482</v>
      </c>
      <c r="H79" s="22" t="s">
        <v>483</v>
      </c>
      <c r="I79" s="22"/>
    </row>
    <row r="80" spans="1:9" x14ac:dyDescent="0.25">
      <c r="A80" s="22" t="b">
        <v>0</v>
      </c>
      <c r="B80" s="22" t="s">
        <v>1025</v>
      </c>
      <c r="C80" s="34">
        <v>45814</v>
      </c>
      <c r="D80" s="22" t="s">
        <v>2837</v>
      </c>
      <c r="E80" s="22">
        <v>250</v>
      </c>
      <c r="F80" s="28"/>
      <c r="G80" s="22" t="s">
        <v>482</v>
      </c>
      <c r="H80" s="22" t="s">
        <v>483</v>
      </c>
      <c r="I80" s="22"/>
    </row>
    <row r="81" spans="1:9" x14ac:dyDescent="0.25">
      <c r="A81" s="22" t="b">
        <v>0</v>
      </c>
      <c r="B81" s="22" t="s">
        <v>1016</v>
      </c>
      <c r="C81" s="34">
        <v>45815</v>
      </c>
      <c r="D81" s="22" t="s">
        <v>2829</v>
      </c>
      <c r="E81" s="22">
        <v>1365.6</v>
      </c>
      <c r="F81" s="28"/>
      <c r="G81" s="22" t="s">
        <v>482</v>
      </c>
      <c r="H81" s="22" t="s">
        <v>483</v>
      </c>
      <c r="I81" s="22"/>
    </row>
    <row r="82" spans="1:9" x14ac:dyDescent="0.25">
      <c r="A82" s="22" t="b">
        <v>0</v>
      </c>
      <c r="B82" s="22" t="s">
        <v>1000</v>
      </c>
      <c r="C82" s="34">
        <v>45816</v>
      </c>
      <c r="D82" s="22" t="s">
        <v>2838</v>
      </c>
      <c r="E82" s="22">
        <v>55</v>
      </c>
      <c r="F82" s="28"/>
      <c r="G82" s="22" t="s">
        <v>482</v>
      </c>
      <c r="H82" s="22" t="s">
        <v>483</v>
      </c>
      <c r="I82" s="22"/>
    </row>
    <row r="83" spans="1:9" x14ac:dyDescent="0.25">
      <c r="A83" s="22" t="b">
        <v>0</v>
      </c>
      <c r="B83" s="22" t="s">
        <v>1015</v>
      </c>
      <c r="C83" s="34">
        <v>45816</v>
      </c>
      <c r="D83" s="22" t="s">
        <v>2838</v>
      </c>
      <c r="E83" s="22">
        <v>275</v>
      </c>
      <c r="F83" s="28"/>
      <c r="G83" s="22" t="s">
        <v>482</v>
      </c>
      <c r="H83" s="22" t="s">
        <v>483</v>
      </c>
      <c r="I83" s="22"/>
    </row>
    <row r="84" spans="1:9" x14ac:dyDescent="0.25">
      <c r="A84" s="22" t="b">
        <v>0</v>
      </c>
      <c r="B84" s="22" t="s">
        <v>982</v>
      </c>
      <c r="C84" s="34">
        <v>45819</v>
      </c>
      <c r="D84" s="22" t="s">
        <v>2839</v>
      </c>
      <c r="E84" s="22">
        <v>168</v>
      </c>
      <c r="F84" s="28"/>
      <c r="G84" s="22" t="s">
        <v>482</v>
      </c>
      <c r="H84" s="22" t="s">
        <v>483</v>
      </c>
      <c r="I84" s="22"/>
    </row>
    <row r="85" spans="1:9" x14ac:dyDescent="0.25">
      <c r="A85" s="22" t="b">
        <v>0</v>
      </c>
      <c r="B85" s="22" t="s">
        <v>983</v>
      </c>
      <c r="C85" s="34">
        <v>45819</v>
      </c>
      <c r="D85" s="22" t="s">
        <v>2840</v>
      </c>
      <c r="E85" s="22">
        <v>112</v>
      </c>
      <c r="F85" s="28"/>
      <c r="G85" s="22" t="s">
        <v>482</v>
      </c>
      <c r="H85" s="22" t="s">
        <v>483</v>
      </c>
      <c r="I85" s="22"/>
    </row>
    <row r="86" spans="1:9" x14ac:dyDescent="0.25">
      <c r="A86" s="22" t="b">
        <v>0</v>
      </c>
      <c r="B86" s="22" t="s">
        <v>963</v>
      </c>
      <c r="C86" s="34">
        <v>45821</v>
      </c>
      <c r="D86" s="22" t="s">
        <v>2841</v>
      </c>
      <c r="E86" s="22">
        <v>20</v>
      </c>
      <c r="F86" s="28"/>
      <c r="G86" s="22" t="s">
        <v>482</v>
      </c>
      <c r="H86" s="22" t="s">
        <v>483</v>
      </c>
      <c r="I86" s="22"/>
    </row>
    <row r="87" spans="1:9" x14ac:dyDescent="0.25">
      <c r="A87" s="22" t="b">
        <v>0</v>
      </c>
      <c r="B87" s="22" t="s">
        <v>964</v>
      </c>
      <c r="C87" s="34">
        <v>45821</v>
      </c>
      <c r="D87" s="22" t="s">
        <v>2842</v>
      </c>
      <c r="E87" s="22">
        <v>3147.62</v>
      </c>
      <c r="F87" s="28">
        <v>524.6</v>
      </c>
      <c r="G87" s="22" t="s">
        <v>482</v>
      </c>
      <c r="H87" s="22" t="s">
        <v>483</v>
      </c>
      <c r="I87" s="22"/>
    </row>
    <row r="88" spans="1:9" x14ac:dyDescent="0.25">
      <c r="A88" s="22" t="b">
        <v>0</v>
      </c>
      <c r="B88" s="22" t="s">
        <v>924</v>
      </c>
      <c r="C88" s="34">
        <v>45826</v>
      </c>
      <c r="D88" s="22" t="s">
        <v>2837</v>
      </c>
      <c r="E88" s="22">
        <v>515</v>
      </c>
      <c r="F88" s="28"/>
      <c r="G88" s="22" t="s">
        <v>482</v>
      </c>
      <c r="H88" s="22" t="s">
        <v>483</v>
      </c>
      <c r="I88" s="22"/>
    </row>
    <row r="89" spans="1:9" x14ac:dyDescent="0.25">
      <c r="A89" s="22" t="b">
        <v>0</v>
      </c>
      <c r="B89" s="22" t="s">
        <v>903</v>
      </c>
      <c r="C89" s="34">
        <v>45828</v>
      </c>
      <c r="D89" s="22" t="s">
        <v>2837</v>
      </c>
      <c r="E89" s="22">
        <v>400</v>
      </c>
      <c r="F89" s="28"/>
      <c r="G89" s="22" t="s">
        <v>482</v>
      </c>
      <c r="H89" s="22" t="s">
        <v>483</v>
      </c>
      <c r="I89" s="22"/>
    </row>
    <row r="90" spans="1:9" x14ac:dyDescent="0.25">
      <c r="A90" s="22" t="b">
        <v>0</v>
      </c>
      <c r="B90" s="22" t="s">
        <v>904</v>
      </c>
      <c r="C90" s="34">
        <v>45828</v>
      </c>
      <c r="D90" s="22" t="s">
        <v>2837</v>
      </c>
      <c r="E90" s="22">
        <v>850</v>
      </c>
      <c r="F90" s="28"/>
      <c r="G90" s="22" t="s">
        <v>482</v>
      </c>
      <c r="H90" s="22" t="s">
        <v>483</v>
      </c>
      <c r="I90" s="22"/>
    </row>
    <row r="91" spans="1:9" x14ac:dyDescent="0.25">
      <c r="A91" s="22" t="b">
        <v>0</v>
      </c>
      <c r="B91" s="22" t="s">
        <v>913</v>
      </c>
      <c r="C91" s="34">
        <v>45828</v>
      </c>
      <c r="D91" s="22" t="s">
        <v>2843</v>
      </c>
      <c r="E91" s="22">
        <v>2683.8</v>
      </c>
      <c r="F91" s="28">
        <v>447.3</v>
      </c>
      <c r="G91" s="22" t="s">
        <v>482</v>
      </c>
      <c r="H91" s="22" t="s">
        <v>483</v>
      </c>
      <c r="I91" s="22"/>
    </row>
    <row r="92" spans="1:9" x14ac:dyDescent="0.25">
      <c r="A92" s="22" t="b">
        <v>0</v>
      </c>
      <c r="B92" s="22" t="s">
        <v>874</v>
      </c>
      <c r="C92" s="34">
        <v>45831</v>
      </c>
      <c r="D92" s="22" t="s">
        <v>2844</v>
      </c>
      <c r="E92" s="22">
        <v>1589</v>
      </c>
      <c r="F92" s="28"/>
      <c r="G92" s="22" t="s">
        <v>482</v>
      </c>
      <c r="H92" s="22" t="s">
        <v>483</v>
      </c>
      <c r="I92" s="22"/>
    </row>
    <row r="93" spans="1:9" x14ac:dyDescent="0.25">
      <c r="A93" s="22" t="b">
        <v>0</v>
      </c>
      <c r="B93" s="22" t="s">
        <v>844</v>
      </c>
      <c r="C93" s="34">
        <v>45834</v>
      </c>
      <c r="D93" s="22" t="s">
        <v>2845</v>
      </c>
      <c r="E93" s="22">
        <v>103.2</v>
      </c>
      <c r="F93" s="28">
        <v>17.2</v>
      </c>
      <c r="G93" s="22" t="s">
        <v>482</v>
      </c>
      <c r="H93" s="22" t="s">
        <v>483</v>
      </c>
      <c r="I93" s="22"/>
    </row>
    <row r="94" spans="1:9" x14ac:dyDescent="0.25">
      <c r="A94" s="22" t="b">
        <v>0</v>
      </c>
      <c r="B94" s="22" t="s">
        <v>834</v>
      </c>
      <c r="C94" s="34">
        <v>45835</v>
      </c>
      <c r="D94" s="22" t="s">
        <v>2846</v>
      </c>
      <c r="E94" s="22">
        <v>414.75</v>
      </c>
      <c r="F94" s="28"/>
      <c r="G94" s="22" t="s">
        <v>482</v>
      </c>
      <c r="H94" s="22" t="s">
        <v>483</v>
      </c>
      <c r="I94" s="22"/>
    </row>
    <row r="95" spans="1:9" x14ac:dyDescent="0.25">
      <c r="A95" s="22" t="b">
        <v>0</v>
      </c>
      <c r="B95" s="22" t="s">
        <v>838</v>
      </c>
      <c r="C95" s="34">
        <v>45835</v>
      </c>
      <c r="D95" s="22" t="s">
        <v>2816</v>
      </c>
      <c r="E95" s="22">
        <v>985.9</v>
      </c>
      <c r="F95" s="28"/>
      <c r="G95" s="22" t="s">
        <v>482</v>
      </c>
      <c r="H95" s="22" t="s">
        <v>483</v>
      </c>
      <c r="I95" s="22"/>
    </row>
    <row r="96" spans="1:9" x14ac:dyDescent="0.25">
      <c r="A96" s="22" t="b">
        <v>0</v>
      </c>
      <c r="B96" s="22" t="s">
        <v>809</v>
      </c>
      <c r="C96" s="34">
        <v>45838</v>
      </c>
      <c r="D96" s="22" t="s">
        <v>2847</v>
      </c>
      <c r="E96" s="22">
        <v>100</v>
      </c>
      <c r="F96" s="28"/>
      <c r="G96" s="22" t="s">
        <v>482</v>
      </c>
      <c r="H96" s="22" t="s">
        <v>483</v>
      </c>
      <c r="I96" s="22"/>
    </row>
    <row r="97" spans="1:9" x14ac:dyDescent="0.25">
      <c r="A97" s="22" t="b">
        <v>0</v>
      </c>
      <c r="B97" s="22" t="s">
        <v>813</v>
      </c>
      <c r="C97" s="34">
        <v>45838</v>
      </c>
      <c r="D97" s="22" t="s">
        <v>2848</v>
      </c>
      <c r="E97" s="22">
        <v>105</v>
      </c>
      <c r="F97" s="28"/>
      <c r="G97" s="22" t="s">
        <v>482</v>
      </c>
      <c r="H97" s="22" t="s">
        <v>483</v>
      </c>
      <c r="I97" s="22"/>
    </row>
    <row r="98" spans="1:9" x14ac:dyDescent="0.25">
      <c r="A98" s="22" t="b">
        <v>0</v>
      </c>
      <c r="B98" s="22" t="s">
        <v>814</v>
      </c>
      <c r="C98" s="34">
        <v>45838</v>
      </c>
      <c r="D98" s="22" t="s">
        <v>2849</v>
      </c>
      <c r="E98" s="22">
        <v>585</v>
      </c>
      <c r="F98" s="28"/>
      <c r="G98" s="22" t="s">
        <v>482</v>
      </c>
      <c r="H98" s="22" t="s">
        <v>483</v>
      </c>
      <c r="I98" s="22"/>
    </row>
    <row r="99" spans="1:9" x14ac:dyDescent="0.25">
      <c r="A99" s="22" t="b">
        <v>0</v>
      </c>
      <c r="B99" s="22" t="s">
        <v>815</v>
      </c>
      <c r="C99" s="34">
        <v>45838</v>
      </c>
      <c r="D99" s="22" t="s">
        <v>2850</v>
      </c>
      <c r="E99" s="22">
        <v>320</v>
      </c>
      <c r="F99" s="28"/>
      <c r="G99" s="22" t="s">
        <v>482</v>
      </c>
      <c r="H99" s="22" t="s">
        <v>483</v>
      </c>
      <c r="I99" s="22"/>
    </row>
    <row r="100" spans="1:9" x14ac:dyDescent="0.25">
      <c r="A100" s="22" t="b">
        <v>0</v>
      </c>
      <c r="B100" s="22" t="s">
        <v>1900</v>
      </c>
      <c r="C100" s="34">
        <v>45838</v>
      </c>
      <c r="D100" s="22" t="s">
        <v>2851</v>
      </c>
      <c r="E100" s="22">
        <v>200</v>
      </c>
      <c r="F100" s="28"/>
      <c r="G100" s="22" t="s">
        <v>482</v>
      </c>
      <c r="H100" s="22" t="s">
        <v>483</v>
      </c>
      <c r="I100" s="22"/>
    </row>
    <row r="101" spans="1:9" x14ac:dyDescent="0.25">
      <c r="A101" s="22" t="b">
        <v>0</v>
      </c>
      <c r="B101" s="22" t="s">
        <v>797</v>
      </c>
      <c r="C101" s="34">
        <v>45839</v>
      </c>
      <c r="D101" s="22" t="s">
        <v>2837</v>
      </c>
      <c r="E101" s="22">
        <v>775</v>
      </c>
      <c r="F101" s="28"/>
      <c r="G101" s="22" t="s">
        <v>482</v>
      </c>
      <c r="H101" s="22" t="s">
        <v>483</v>
      </c>
      <c r="I101" s="22"/>
    </row>
    <row r="102" spans="1:9" x14ac:dyDescent="0.25">
      <c r="A102" s="22" t="b">
        <v>0</v>
      </c>
      <c r="B102" s="22" t="s">
        <v>790</v>
      </c>
      <c r="C102" s="34">
        <v>45840</v>
      </c>
      <c r="D102" s="22" t="s">
        <v>2852</v>
      </c>
      <c r="E102" s="22">
        <v>351</v>
      </c>
      <c r="F102" s="28"/>
      <c r="G102" s="22" t="s">
        <v>482</v>
      </c>
      <c r="H102" s="22" t="s">
        <v>483</v>
      </c>
      <c r="I102" s="22"/>
    </row>
    <row r="103" spans="1:9" x14ac:dyDescent="0.25">
      <c r="A103" s="22" t="b">
        <v>0</v>
      </c>
      <c r="B103" s="22" t="s">
        <v>793</v>
      </c>
      <c r="C103" s="34">
        <v>45840</v>
      </c>
      <c r="D103" s="22" t="s">
        <v>2853</v>
      </c>
      <c r="E103" s="22">
        <v>140</v>
      </c>
      <c r="F103" s="28"/>
      <c r="G103" s="22" t="s">
        <v>482</v>
      </c>
      <c r="H103" s="22" t="s">
        <v>483</v>
      </c>
      <c r="I103" s="22"/>
    </row>
    <row r="104" spans="1:9" x14ac:dyDescent="0.25">
      <c r="A104" s="22" t="b">
        <v>0</v>
      </c>
      <c r="B104" s="22" t="s">
        <v>775</v>
      </c>
      <c r="C104" s="34">
        <v>45841</v>
      </c>
      <c r="D104" s="22" t="s">
        <v>2854</v>
      </c>
      <c r="E104" s="22">
        <v>640</v>
      </c>
      <c r="F104" s="28"/>
      <c r="G104" s="22" t="s">
        <v>482</v>
      </c>
      <c r="H104" s="22" t="s">
        <v>483</v>
      </c>
      <c r="I104" s="22"/>
    </row>
    <row r="105" spans="1:9" x14ac:dyDescent="0.25">
      <c r="A105" s="22" t="b">
        <v>0</v>
      </c>
      <c r="B105" s="22" t="s">
        <v>781</v>
      </c>
      <c r="C105" s="34">
        <v>45841</v>
      </c>
      <c r="D105" s="22" t="s">
        <v>2837</v>
      </c>
      <c r="E105" s="22">
        <v>500</v>
      </c>
      <c r="F105" s="28"/>
      <c r="G105" s="22" t="s">
        <v>482</v>
      </c>
      <c r="H105" s="22" t="s">
        <v>483</v>
      </c>
      <c r="I105" s="22"/>
    </row>
    <row r="106" spans="1:9" x14ac:dyDescent="0.25">
      <c r="A106" s="22" t="b">
        <v>0</v>
      </c>
      <c r="B106" s="22" t="s">
        <v>782</v>
      </c>
      <c r="C106" s="34">
        <v>45841</v>
      </c>
      <c r="D106" s="22" t="s">
        <v>2855</v>
      </c>
      <c r="E106" s="22">
        <v>5277.5</v>
      </c>
      <c r="F106" s="28"/>
      <c r="G106" s="22" t="s">
        <v>482</v>
      </c>
      <c r="H106" s="22" t="s">
        <v>483</v>
      </c>
      <c r="I106" s="22"/>
    </row>
    <row r="107" spans="1:9" x14ac:dyDescent="0.25">
      <c r="A107" s="22" t="b">
        <v>0</v>
      </c>
      <c r="B107" s="22" t="s">
        <v>785</v>
      </c>
      <c r="C107" s="34">
        <v>45841</v>
      </c>
      <c r="D107" s="22" t="s">
        <v>2856</v>
      </c>
      <c r="E107" s="22">
        <v>136.65</v>
      </c>
      <c r="F107" s="28"/>
      <c r="G107" s="22" t="s">
        <v>482</v>
      </c>
      <c r="H107" s="22" t="s">
        <v>483</v>
      </c>
      <c r="I107" s="22"/>
    </row>
    <row r="108" spans="1:9" x14ac:dyDescent="0.25">
      <c r="A108" s="22" t="b">
        <v>0</v>
      </c>
      <c r="B108" s="22" t="s">
        <v>716</v>
      </c>
      <c r="C108" s="34">
        <v>45848</v>
      </c>
      <c r="D108" s="22" t="s">
        <v>2857</v>
      </c>
      <c r="E108" s="22">
        <v>1770.6</v>
      </c>
      <c r="F108" s="28"/>
      <c r="G108" s="22" t="s">
        <v>482</v>
      </c>
      <c r="H108" s="22" t="s">
        <v>483</v>
      </c>
      <c r="I108" s="22"/>
    </row>
    <row r="109" spans="1:9" x14ac:dyDescent="0.25">
      <c r="A109" s="22" t="b">
        <v>0</v>
      </c>
      <c r="B109" s="22" t="s">
        <v>710</v>
      </c>
      <c r="C109" s="34">
        <v>45849</v>
      </c>
      <c r="D109" s="22" t="s">
        <v>2858</v>
      </c>
      <c r="E109" s="22">
        <v>496</v>
      </c>
      <c r="F109" s="28"/>
      <c r="G109" s="22" t="s">
        <v>482</v>
      </c>
      <c r="H109" s="22" t="s">
        <v>483</v>
      </c>
      <c r="I109" s="22"/>
    </row>
    <row r="110" spans="1:9" x14ac:dyDescent="0.25">
      <c r="A110" s="22" t="b">
        <v>0</v>
      </c>
      <c r="B110" s="22" t="s">
        <v>690</v>
      </c>
      <c r="C110" s="34">
        <v>45851</v>
      </c>
      <c r="D110" s="22" t="s">
        <v>2859</v>
      </c>
      <c r="E110" s="22">
        <v>115</v>
      </c>
      <c r="F110" s="28"/>
      <c r="G110" s="22" t="s">
        <v>482</v>
      </c>
      <c r="H110" s="22" t="s">
        <v>483</v>
      </c>
      <c r="I110" s="22"/>
    </row>
    <row r="111" spans="1:9" x14ac:dyDescent="0.25">
      <c r="A111" s="22" t="b">
        <v>0</v>
      </c>
      <c r="B111" s="22" t="s">
        <v>679</v>
      </c>
      <c r="C111" s="34">
        <v>45852</v>
      </c>
      <c r="D111" s="22" t="s">
        <v>2860</v>
      </c>
      <c r="E111" s="22">
        <v>500</v>
      </c>
      <c r="F111" s="28"/>
      <c r="G111" s="22" t="s">
        <v>482</v>
      </c>
      <c r="H111" s="22" t="s">
        <v>483</v>
      </c>
      <c r="I111" s="22"/>
    </row>
    <row r="112" spans="1:9" x14ac:dyDescent="0.25">
      <c r="A112" s="22" t="b">
        <v>0</v>
      </c>
      <c r="B112" s="22" t="s">
        <v>681</v>
      </c>
      <c r="C112" s="34">
        <v>45852</v>
      </c>
      <c r="D112" s="22" t="s">
        <v>2812</v>
      </c>
      <c r="E112" s="22">
        <v>701</v>
      </c>
      <c r="F112" s="28"/>
      <c r="G112" s="22" t="s">
        <v>482</v>
      </c>
      <c r="H112" s="22" t="s">
        <v>483</v>
      </c>
      <c r="I112" s="22"/>
    </row>
    <row r="113" spans="1:9" x14ac:dyDescent="0.25">
      <c r="A113" s="22" t="b">
        <v>0</v>
      </c>
      <c r="B113" s="22" t="s">
        <v>685</v>
      </c>
      <c r="C113" s="34">
        <v>45852</v>
      </c>
      <c r="D113" s="22" t="s">
        <v>2861</v>
      </c>
      <c r="E113" s="22">
        <v>185</v>
      </c>
      <c r="F113" s="28"/>
      <c r="G113" s="22" t="s">
        <v>482</v>
      </c>
      <c r="H113" s="22" t="s">
        <v>483</v>
      </c>
      <c r="I113" s="22"/>
    </row>
    <row r="114" spans="1:9" x14ac:dyDescent="0.25">
      <c r="A114" s="22" t="b">
        <v>0</v>
      </c>
      <c r="B114" s="22" t="s">
        <v>686</v>
      </c>
      <c r="C114" s="34">
        <v>45852</v>
      </c>
      <c r="D114" s="22" t="s">
        <v>2862</v>
      </c>
      <c r="E114" s="22">
        <v>870</v>
      </c>
      <c r="F114" s="28"/>
      <c r="G114" s="22" t="s">
        <v>482</v>
      </c>
      <c r="H114" s="22" t="s">
        <v>483</v>
      </c>
      <c r="I114" s="22"/>
    </row>
    <row r="115" spans="1:9" x14ac:dyDescent="0.25">
      <c r="A115" s="22" t="b">
        <v>0</v>
      </c>
      <c r="B115" s="22" t="s">
        <v>671</v>
      </c>
      <c r="C115" s="34">
        <v>45853</v>
      </c>
      <c r="D115" s="22" t="s">
        <v>2863</v>
      </c>
      <c r="E115" s="22">
        <v>3498.6</v>
      </c>
      <c r="F115" s="28">
        <v>583.1</v>
      </c>
      <c r="G115" s="22" t="s">
        <v>482</v>
      </c>
      <c r="H115" s="22" t="s">
        <v>483</v>
      </c>
      <c r="I115" s="22"/>
    </row>
    <row r="116" spans="1:9" x14ac:dyDescent="0.25">
      <c r="A116" s="22" t="b">
        <v>0</v>
      </c>
      <c r="B116" s="22" t="s">
        <v>673</v>
      </c>
      <c r="C116" s="34">
        <v>45853</v>
      </c>
      <c r="D116" s="22" t="s">
        <v>2805</v>
      </c>
      <c r="E116" s="22">
        <v>4000</v>
      </c>
      <c r="F116" s="28"/>
      <c r="G116" s="22" t="s">
        <v>482</v>
      </c>
      <c r="H116" s="22" t="s">
        <v>483</v>
      </c>
      <c r="I116" s="22"/>
    </row>
    <row r="117" spans="1:9" x14ac:dyDescent="0.25">
      <c r="A117" s="22" t="b">
        <v>0</v>
      </c>
      <c r="B117" s="22" t="s">
        <v>648</v>
      </c>
      <c r="C117" s="34">
        <v>45855</v>
      </c>
      <c r="D117" s="22" t="s">
        <v>2864</v>
      </c>
      <c r="E117" s="22">
        <v>784</v>
      </c>
      <c r="F117" s="28"/>
      <c r="G117" s="22" t="s">
        <v>482</v>
      </c>
      <c r="H117" s="22" t="s">
        <v>483</v>
      </c>
      <c r="I117" s="22"/>
    </row>
    <row r="118" spans="1:9" x14ac:dyDescent="0.25">
      <c r="A118" s="22" t="b">
        <v>0</v>
      </c>
      <c r="B118" s="22" t="s">
        <v>635</v>
      </c>
      <c r="C118" s="34">
        <v>45856</v>
      </c>
      <c r="D118" s="22" t="s">
        <v>2865</v>
      </c>
      <c r="E118" s="22">
        <v>500</v>
      </c>
      <c r="F118" s="28"/>
      <c r="G118" s="22" t="s">
        <v>482</v>
      </c>
      <c r="H118" s="22" t="s">
        <v>483</v>
      </c>
      <c r="I118" s="22"/>
    </row>
    <row r="119" spans="1:9" x14ac:dyDescent="0.25">
      <c r="A119" s="22" t="b">
        <v>0</v>
      </c>
      <c r="B119" s="22" t="s">
        <v>636</v>
      </c>
      <c r="C119" s="34">
        <v>45856</v>
      </c>
      <c r="D119" s="22" t="s">
        <v>2866</v>
      </c>
      <c r="E119" s="22">
        <v>5708.47</v>
      </c>
      <c r="F119" s="28">
        <v>951.41</v>
      </c>
      <c r="G119" s="22" t="s">
        <v>482</v>
      </c>
      <c r="H119" s="22" t="s">
        <v>483</v>
      </c>
      <c r="I119" s="22"/>
    </row>
    <row r="120" spans="1:9" x14ac:dyDescent="0.25">
      <c r="A120" s="22" t="b">
        <v>0</v>
      </c>
      <c r="B120" s="22" t="s">
        <v>620</v>
      </c>
      <c r="C120" s="34">
        <v>45858</v>
      </c>
      <c r="D120" s="22" t="s">
        <v>2867</v>
      </c>
      <c r="E120" s="22">
        <v>409.5</v>
      </c>
      <c r="F120" s="28"/>
      <c r="G120" s="22" t="s">
        <v>482</v>
      </c>
      <c r="H120" s="22" t="s">
        <v>483</v>
      </c>
      <c r="I120" s="22"/>
    </row>
    <row r="121" spans="1:9" x14ac:dyDescent="0.25">
      <c r="A121" s="22" t="b">
        <v>0</v>
      </c>
      <c r="B121" s="22" t="s">
        <v>1899</v>
      </c>
      <c r="C121" s="34">
        <v>45859</v>
      </c>
      <c r="D121" s="22" t="s">
        <v>2792</v>
      </c>
      <c r="E121" s="22">
        <v>2195</v>
      </c>
      <c r="F121" s="28"/>
      <c r="G121" s="22" t="s">
        <v>482</v>
      </c>
      <c r="H121" s="22" t="s">
        <v>483</v>
      </c>
      <c r="I121" s="22"/>
    </row>
    <row r="122" spans="1:9" x14ac:dyDescent="0.25">
      <c r="A122" s="22" t="b">
        <v>0</v>
      </c>
      <c r="B122" s="22" t="s">
        <v>1898</v>
      </c>
      <c r="C122" s="34">
        <v>45865</v>
      </c>
      <c r="D122" s="22" t="s">
        <v>2868</v>
      </c>
      <c r="E122" s="22">
        <v>330</v>
      </c>
      <c r="F122" s="28"/>
      <c r="G122" s="22" t="s">
        <v>482</v>
      </c>
      <c r="H122" s="22" t="s">
        <v>483</v>
      </c>
      <c r="I122" s="22"/>
    </row>
    <row r="123" spans="1:9" x14ac:dyDescent="0.25">
      <c r="A123" s="22" t="b">
        <v>0</v>
      </c>
      <c r="B123" s="22" t="s">
        <v>571</v>
      </c>
      <c r="C123" s="34">
        <v>45866</v>
      </c>
      <c r="D123" s="22" t="s">
        <v>2869</v>
      </c>
      <c r="E123" s="22">
        <v>130</v>
      </c>
      <c r="F123" s="28"/>
      <c r="G123" s="22" t="s">
        <v>482</v>
      </c>
      <c r="H123" s="22" t="s">
        <v>483</v>
      </c>
      <c r="I123" s="22"/>
    </row>
    <row r="124" spans="1:9" x14ac:dyDescent="0.25">
      <c r="A124" s="22" t="b">
        <v>0</v>
      </c>
      <c r="B124" s="22" t="s">
        <v>577</v>
      </c>
      <c r="C124" s="34">
        <v>45866</v>
      </c>
      <c r="D124" s="22" t="s">
        <v>2870</v>
      </c>
      <c r="E124" s="22">
        <v>3274</v>
      </c>
      <c r="F124" s="28"/>
      <c r="G124" s="22" t="s">
        <v>482</v>
      </c>
      <c r="H124" s="22" t="s">
        <v>483</v>
      </c>
      <c r="I124" s="22"/>
    </row>
    <row r="125" spans="1:9" x14ac:dyDescent="0.25">
      <c r="A125" s="22" t="b">
        <v>0</v>
      </c>
      <c r="B125" s="22" t="s">
        <v>554</v>
      </c>
      <c r="C125" s="34">
        <v>45867</v>
      </c>
      <c r="D125" s="22" t="s">
        <v>2871</v>
      </c>
      <c r="E125" s="22">
        <v>1998</v>
      </c>
      <c r="F125" s="28">
        <v>333</v>
      </c>
      <c r="G125" s="22" t="s">
        <v>482</v>
      </c>
      <c r="H125" s="22" t="s">
        <v>483</v>
      </c>
      <c r="I125" s="22"/>
    </row>
    <row r="126" spans="1:9" x14ac:dyDescent="0.25">
      <c r="A126" s="22" t="b">
        <v>0</v>
      </c>
      <c r="B126" s="22" t="s">
        <v>562</v>
      </c>
      <c r="C126" s="34">
        <v>45867</v>
      </c>
      <c r="D126" s="22" t="s">
        <v>2872</v>
      </c>
      <c r="E126" s="22">
        <v>1853</v>
      </c>
      <c r="F126" s="28"/>
      <c r="G126" s="22" t="s">
        <v>482</v>
      </c>
      <c r="H126" s="22" t="s">
        <v>483</v>
      </c>
      <c r="I126" s="22"/>
    </row>
    <row r="127" spans="1:9" x14ac:dyDescent="0.25">
      <c r="A127" s="22" t="b">
        <v>0</v>
      </c>
      <c r="B127" s="22" t="s">
        <v>548</v>
      </c>
      <c r="C127" s="34">
        <v>45869</v>
      </c>
      <c r="D127" s="22" t="s">
        <v>2812</v>
      </c>
      <c r="E127" s="22">
        <v>5210</v>
      </c>
      <c r="F127" s="28"/>
      <c r="G127" s="22" t="s">
        <v>482</v>
      </c>
      <c r="H127" s="22" t="s">
        <v>483</v>
      </c>
      <c r="I127" s="22"/>
    </row>
    <row r="128" spans="1:9" x14ac:dyDescent="0.25">
      <c r="A128" s="22" t="b">
        <v>0</v>
      </c>
      <c r="B128" s="22" t="s">
        <v>543</v>
      </c>
      <c r="C128" s="34">
        <v>45870</v>
      </c>
      <c r="D128" s="22" t="s">
        <v>2803</v>
      </c>
      <c r="E128" s="22">
        <v>85</v>
      </c>
      <c r="F128" s="28"/>
      <c r="G128" s="22" t="s">
        <v>482</v>
      </c>
      <c r="H128" s="22" t="s">
        <v>483</v>
      </c>
      <c r="I128" s="22"/>
    </row>
    <row r="129" spans="1:9" x14ac:dyDescent="0.25">
      <c r="A129" s="22" t="b">
        <v>0</v>
      </c>
      <c r="B129" s="22" t="s">
        <v>547</v>
      </c>
      <c r="C129" s="34">
        <v>45870</v>
      </c>
      <c r="D129" s="22" t="s">
        <v>2812</v>
      </c>
      <c r="E129" s="22">
        <v>300</v>
      </c>
      <c r="F129" s="28"/>
      <c r="G129" s="22" t="s">
        <v>482</v>
      </c>
      <c r="H129" s="22" t="s">
        <v>483</v>
      </c>
      <c r="I129" s="22"/>
    </row>
    <row r="130" spans="1:9" x14ac:dyDescent="0.25">
      <c r="A130" s="22" t="b">
        <v>0</v>
      </c>
      <c r="B130" s="22" t="s">
        <v>1897</v>
      </c>
      <c r="C130" s="34">
        <v>45871</v>
      </c>
      <c r="D130" s="22" t="s">
        <v>2873</v>
      </c>
      <c r="E130" s="22">
        <v>240</v>
      </c>
      <c r="F130" s="28"/>
      <c r="G130" s="22" t="s">
        <v>482</v>
      </c>
      <c r="H130" s="22" t="s">
        <v>483</v>
      </c>
      <c r="I130" s="22"/>
    </row>
    <row r="131" spans="1:9" x14ac:dyDescent="0.25">
      <c r="A131" s="22" t="b">
        <v>0</v>
      </c>
      <c r="B131" s="22" t="s">
        <v>530</v>
      </c>
      <c r="C131" s="34">
        <v>45872</v>
      </c>
      <c r="D131" s="22" t="s">
        <v>2874</v>
      </c>
      <c r="E131" s="22">
        <v>135</v>
      </c>
      <c r="F131" s="28"/>
      <c r="G131" s="22" t="s">
        <v>482</v>
      </c>
      <c r="H131" s="22" t="s">
        <v>483</v>
      </c>
      <c r="I131" s="22"/>
    </row>
    <row r="132" spans="1:9" x14ac:dyDescent="0.25">
      <c r="A132" s="22" t="b">
        <v>0</v>
      </c>
      <c r="B132" s="22" t="s">
        <v>529</v>
      </c>
      <c r="C132" s="34">
        <v>45873</v>
      </c>
      <c r="D132" s="22" t="s">
        <v>2875</v>
      </c>
      <c r="E132" s="22">
        <v>25987.5</v>
      </c>
      <c r="F132" s="28">
        <v>4331.25</v>
      </c>
      <c r="G132" s="22" t="s">
        <v>482</v>
      </c>
      <c r="H132" s="22" t="s">
        <v>483</v>
      </c>
      <c r="I132" s="22"/>
    </row>
    <row r="133" spans="1:9" x14ac:dyDescent="0.25">
      <c r="A133" s="22" t="b">
        <v>0</v>
      </c>
      <c r="B133" s="22" t="s">
        <v>526</v>
      </c>
      <c r="C133" s="34">
        <v>45874</v>
      </c>
      <c r="D133" s="22" t="s">
        <v>2876</v>
      </c>
      <c r="E133" s="22">
        <v>0.28999999999999998</v>
      </c>
      <c r="F133" s="28"/>
      <c r="G133" s="22" t="s">
        <v>482</v>
      </c>
      <c r="H133" s="22" t="s">
        <v>483</v>
      </c>
      <c r="I133" s="22"/>
    </row>
    <row r="134" spans="1:9" x14ac:dyDescent="0.25">
      <c r="A134" s="22" t="b">
        <v>0</v>
      </c>
      <c r="B134" s="22" t="s">
        <v>528</v>
      </c>
      <c r="C134" s="34">
        <v>45874</v>
      </c>
      <c r="D134" s="22" t="s">
        <v>2877</v>
      </c>
      <c r="E134" s="22">
        <v>30919.7</v>
      </c>
      <c r="F134" s="28">
        <v>5153.28</v>
      </c>
      <c r="G134" s="22" t="s">
        <v>482</v>
      </c>
      <c r="H134" s="22" t="s">
        <v>483</v>
      </c>
      <c r="I134" s="22"/>
    </row>
    <row r="135" spans="1:9" x14ac:dyDescent="0.25">
      <c r="A135" s="22" t="b">
        <v>0</v>
      </c>
      <c r="B135" s="22" t="s">
        <v>524</v>
      </c>
      <c r="C135" s="34">
        <v>45875</v>
      </c>
      <c r="D135" s="22" t="s">
        <v>2812</v>
      </c>
      <c r="E135" s="22">
        <v>6300</v>
      </c>
      <c r="F135" s="28"/>
      <c r="G135" s="22" t="s">
        <v>482</v>
      </c>
      <c r="H135" s="22" t="s">
        <v>483</v>
      </c>
      <c r="I135" s="22"/>
    </row>
    <row r="136" spans="1:9" x14ac:dyDescent="0.25">
      <c r="A136" s="22" t="b">
        <v>0</v>
      </c>
      <c r="B136" s="22" t="s">
        <v>525</v>
      </c>
      <c r="C136" s="34">
        <v>45875</v>
      </c>
      <c r="D136" s="22" t="s">
        <v>2829</v>
      </c>
      <c r="E136" s="22">
        <v>728</v>
      </c>
      <c r="F136" s="28"/>
      <c r="G136" s="22" t="s">
        <v>482</v>
      </c>
      <c r="H136" s="22" t="s">
        <v>483</v>
      </c>
      <c r="I136" s="22"/>
    </row>
    <row r="137" spans="1:9" x14ac:dyDescent="0.25">
      <c r="A137" s="22" t="b">
        <v>0</v>
      </c>
      <c r="B137" s="22" t="s">
        <v>514</v>
      </c>
      <c r="C137" s="34">
        <v>45878</v>
      </c>
      <c r="D137" s="22" t="s">
        <v>2878</v>
      </c>
      <c r="E137" s="22">
        <v>110</v>
      </c>
      <c r="F137" s="28"/>
      <c r="G137" s="22" t="s">
        <v>482</v>
      </c>
      <c r="H137" s="22" t="s">
        <v>483</v>
      </c>
      <c r="I137" s="22"/>
    </row>
    <row r="138" spans="1:9" x14ac:dyDescent="0.25">
      <c r="A138" s="22" t="b">
        <v>0</v>
      </c>
      <c r="B138" s="22" t="s">
        <v>511</v>
      </c>
      <c r="C138" s="34">
        <v>45879</v>
      </c>
      <c r="D138" s="22" t="s">
        <v>2879</v>
      </c>
      <c r="E138" s="22">
        <v>170</v>
      </c>
      <c r="F138" s="28"/>
      <c r="G138" s="22" t="s">
        <v>482</v>
      </c>
      <c r="H138" s="22" t="s">
        <v>483</v>
      </c>
      <c r="I138" s="22"/>
    </row>
    <row r="139" spans="1:9" x14ac:dyDescent="0.25">
      <c r="A139" s="22" t="b">
        <v>0</v>
      </c>
      <c r="B139" s="22" t="s">
        <v>512</v>
      </c>
      <c r="C139" s="34">
        <v>45879</v>
      </c>
      <c r="D139" s="22" t="s">
        <v>2878</v>
      </c>
      <c r="E139" s="22">
        <v>30</v>
      </c>
      <c r="F139" s="28"/>
      <c r="G139" s="22" t="s">
        <v>482</v>
      </c>
      <c r="H139" s="22" t="s">
        <v>483</v>
      </c>
      <c r="I139" s="22"/>
    </row>
    <row r="140" spans="1:9" x14ac:dyDescent="0.25">
      <c r="A140" s="22" t="b">
        <v>0</v>
      </c>
      <c r="B140" s="22" t="s">
        <v>502</v>
      </c>
      <c r="C140" s="34">
        <v>45881</v>
      </c>
      <c r="D140" s="22" t="s">
        <v>2880</v>
      </c>
      <c r="E140" s="22">
        <v>2059.75</v>
      </c>
      <c r="F140" s="28">
        <v>343.29</v>
      </c>
      <c r="G140" s="22" t="s">
        <v>482</v>
      </c>
      <c r="H140" s="22" t="s">
        <v>483</v>
      </c>
      <c r="I140" s="22"/>
    </row>
    <row r="141" spans="1:9" x14ac:dyDescent="0.25">
      <c r="A141" s="22" t="b">
        <v>0</v>
      </c>
      <c r="B141" s="22" t="s">
        <v>493</v>
      </c>
      <c r="C141" s="34">
        <v>45884</v>
      </c>
      <c r="D141" s="22" t="s">
        <v>2881</v>
      </c>
      <c r="E141" s="22">
        <v>330</v>
      </c>
      <c r="F141" s="28"/>
      <c r="G141" s="22" t="s">
        <v>482</v>
      </c>
      <c r="H141" s="22" t="s">
        <v>483</v>
      </c>
      <c r="I141" s="22"/>
    </row>
    <row r="142" spans="1:9" x14ac:dyDescent="0.25">
      <c r="A142" s="22" t="b">
        <v>0</v>
      </c>
      <c r="B142" s="22" t="s">
        <v>1896</v>
      </c>
      <c r="C142" s="34">
        <v>45884</v>
      </c>
      <c r="D142" s="22" t="s">
        <v>2792</v>
      </c>
      <c r="E142" s="22">
        <v>915</v>
      </c>
      <c r="F142" s="28"/>
      <c r="G142" s="22" t="s">
        <v>482</v>
      </c>
      <c r="H142" s="22" t="s">
        <v>483</v>
      </c>
      <c r="I142" s="22"/>
    </row>
    <row r="143" spans="1:9" x14ac:dyDescent="0.25">
      <c r="A143" s="22" t="b">
        <v>0</v>
      </c>
      <c r="B143" s="22" t="s">
        <v>1888</v>
      </c>
      <c r="C143" s="34">
        <v>45885</v>
      </c>
      <c r="D143" s="22" t="s">
        <v>2881</v>
      </c>
      <c r="E143" s="22">
        <v>55</v>
      </c>
      <c r="F143" s="28"/>
      <c r="G143" s="22" t="s">
        <v>482</v>
      </c>
      <c r="H143" s="22" t="s">
        <v>483</v>
      </c>
      <c r="I143" s="22"/>
    </row>
    <row r="144" spans="1:9" x14ac:dyDescent="0.25">
      <c r="A144" s="22" t="b">
        <v>0</v>
      </c>
      <c r="B144" s="22" t="s">
        <v>1889</v>
      </c>
      <c r="C144" s="34">
        <v>45885</v>
      </c>
      <c r="D144" s="22" t="s">
        <v>2882</v>
      </c>
      <c r="E144" s="22">
        <v>1298</v>
      </c>
      <c r="F144" s="28"/>
      <c r="G144" s="22" t="s">
        <v>482</v>
      </c>
      <c r="H144" s="22" t="s">
        <v>483</v>
      </c>
      <c r="I144" s="22"/>
    </row>
    <row r="145" spans="1:9" x14ac:dyDescent="0.25">
      <c r="A145" s="22" t="b">
        <v>0</v>
      </c>
      <c r="B145" s="22" t="s">
        <v>1874</v>
      </c>
      <c r="C145" s="34">
        <v>45887</v>
      </c>
      <c r="D145" s="22" t="s">
        <v>2883</v>
      </c>
      <c r="E145" s="22">
        <v>1776</v>
      </c>
      <c r="F145" s="28">
        <v>296</v>
      </c>
      <c r="G145" s="22" t="s">
        <v>482</v>
      </c>
      <c r="H145" s="22" t="s">
        <v>483</v>
      </c>
      <c r="I145" s="22"/>
    </row>
    <row r="146" spans="1:9" x14ac:dyDescent="0.25">
      <c r="A146" s="22" t="b">
        <v>0</v>
      </c>
      <c r="B146" s="22" t="s">
        <v>1876</v>
      </c>
      <c r="C146" s="34">
        <v>45887</v>
      </c>
      <c r="D146" s="22" t="s">
        <v>2884</v>
      </c>
      <c r="E146" s="22">
        <v>170</v>
      </c>
      <c r="F146" s="28"/>
      <c r="G146" s="22" t="s">
        <v>482</v>
      </c>
      <c r="H146" s="22" t="s">
        <v>483</v>
      </c>
      <c r="I146" s="22"/>
    </row>
    <row r="147" spans="1:9" x14ac:dyDescent="0.25">
      <c r="A147" s="22" t="b">
        <v>0</v>
      </c>
      <c r="B147" s="22" t="s">
        <v>1877</v>
      </c>
      <c r="C147" s="34">
        <v>45887</v>
      </c>
      <c r="D147" s="22" t="s">
        <v>2812</v>
      </c>
      <c r="E147" s="22">
        <v>6000</v>
      </c>
      <c r="F147" s="28"/>
      <c r="G147" s="22" t="s">
        <v>482</v>
      </c>
      <c r="H147" s="22" t="s">
        <v>483</v>
      </c>
      <c r="I147" s="22"/>
    </row>
    <row r="148" spans="1:9" x14ac:dyDescent="0.25">
      <c r="A148" s="22" t="b">
        <v>0</v>
      </c>
      <c r="B148" s="22" t="s">
        <v>1922</v>
      </c>
      <c r="C148" s="34">
        <v>45887</v>
      </c>
      <c r="D148" s="22" t="s">
        <v>2885</v>
      </c>
      <c r="E148" s="22">
        <v>390</v>
      </c>
      <c r="F148" s="28"/>
      <c r="G148" s="22" t="s">
        <v>482</v>
      </c>
      <c r="H148" s="22" t="s">
        <v>483</v>
      </c>
      <c r="I148" s="22"/>
    </row>
    <row r="149" spans="1:9" x14ac:dyDescent="0.25">
      <c r="A149" s="22" t="b">
        <v>0</v>
      </c>
      <c r="B149" s="22" t="s">
        <v>1920</v>
      </c>
      <c r="C149" s="34">
        <v>45888</v>
      </c>
      <c r="D149" s="22" t="s">
        <v>2885</v>
      </c>
      <c r="E149" s="22">
        <v>350</v>
      </c>
      <c r="F149" s="28"/>
      <c r="G149" s="22" t="s">
        <v>482</v>
      </c>
      <c r="H149" s="22" t="s">
        <v>483</v>
      </c>
      <c r="I149" s="22"/>
    </row>
    <row r="150" spans="1:9" x14ac:dyDescent="0.25">
      <c r="A150" s="22" t="b">
        <v>0</v>
      </c>
      <c r="B150" s="22" t="s">
        <v>1921</v>
      </c>
      <c r="C150" s="34">
        <v>45888</v>
      </c>
      <c r="D150" s="22" t="s">
        <v>2886</v>
      </c>
      <c r="E150" s="22">
        <v>187</v>
      </c>
      <c r="F150" s="28"/>
      <c r="G150" s="22" t="s">
        <v>482</v>
      </c>
      <c r="H150" s="22" t="s">
        <v>483</v>
      </c>
      <c r="I150" s="22"/>
    </row>
    <row r="151" spans="1:9" x14ac:dyDescent="0.25">
      <c r="A151" s="22" t="b">
        <v>0</v>
      </c>
      <c r="B151" s="22" t="s">
        <v>1861</v>
      </c>
      <c r="C151" s="34">
        <v>45889</v>
      </c>
      <c r="D151" s="22" t="s">
        <v>2812</v>
      </c>
      <c r="E151" s="22">
        <v>5903</v>
      </c>
      <c r="F151" s="28"/>
      <c r="G151" s="22" t="s">
        <v>482</v>
      </c>
      <c r="H151" s="22" t="s">
        <v>483</v>
      </c>
      <c r="I151" s="22"/>
    </row>
    <row r="152" spans="1:9" x14ac:dyDescent="0.25">
      <c r="A152" s="22" t="b">
        <v>0</v>
      </c>
      <c r="B152" s="22" t="s">
        <v>1856</v>
      </c>
      <c r="C152" s="34">
        <v>45890</v>
      </c>
      <c r="D152" s="22" t="s">
        <v>2887</v>
      </c>
      <c r="E152" s="22">
        <v>2472.5</v>
      </c>
      <c r="F152" s="28"/>
      <c r="G152" s="22" t="s">
        <v>482</v>
      </c>
      <c r="H152" s="22" t="s">
        <v>483</v>
      </c>
      <c r="I152" s="22"/>
    </row>
    <row r="153" spans="1:9" x14ac:dyDescent="0.25">
      <c r="A153" s="22" t="b">
        <v>0</v>
      </c>
      <c r="B153" s="22" t="s">
        <v>1851</v>
      </c>
      <c r="C153" s="34">
        <v>45892</v>
      </c>
      <c r="D153" s="22" t="s">
        <v>2859</v>
      </c>
      <c r="E153" s="22">
        <v>135.5</v>
      </c>
      <c r="F153" s="28"/>
      <c r="G153" s="22" t="s">
        <v>482</v>
      </c>
      <c r="H153" s="22" t="s">
        <v>483</v>
      </c>
      <c r="I153" s="22"/>
    </row>
    <row r="154" spans="1:9" x14ac:dyDescent="0.25">
      <c r="A154" s="22" t="b">
        <v>0</v>
      </c>
      <c r="B154" s="22" t="s">
        <v>1829</v>
      </c>
      <c r="C154" s="34">
        <v>45896</v>
      </c>
      <c r="D154" s="22" t="s">
        <v>2888</v>
      </c>
      <c r="E154" s="22">
        <v>160</v>
      </c>
      <c r="F154" s="28"/>
      <c r="G154" s="22" t="s">
        <v>482</v>
      </c>
      <c r="H154" s="22" t="s">
        <v>483</v>
      </c>
      <c r="I154" s="22"/>
    </row>
    <row r="155" spans="1:9" x14ac:dyDescent="0.25">
      <c r="A155" s="22" t="b">
        <v>0</v>
      </c>
      <c r="B155" s="22" t="s">
        <v>1919</v>
      </c>
      <c r="C155" s="34">
        <v>45896</v>
      </c>
      <c r="D155" s="22" t="s">
        <v>2889</v>
      </c>
      <c r="E155" s="22">
        <v>275</v>
      </c>
      <c r="F155" s="28"/>
      <c r="G155" s="22" t="s">
        <v>482</v>
      </c>
      <c r="H155" s="22" t="s">
        <v>483</v>
      </c>
      <c r="I155" s="22"/>
    </row>
    <row r="156" spans="1:9" x14ac:dyDescent="0.25">
      <c r="A156" s="22" t="b">
        <v>0</v>
      </c>
      <c r="B156" s="22" t="s">
        <v>1816</v>
      </c>
      <c r="C156" s="34">
        <v>45898</v>
      </c>
      <c r="D156" s="22" t="s">
        <v>2829</v>
      </c>
      <c r="E156" s="22">
        <v>281</v>
      </c>
      <c r="F156" s="28"/>
      <c r="G156" s="22" t="s">
        <v>482</v>
      </c>
      <c r="H156" s="22" t="s">
        <v>483</v>
      </c>
      <c r="I156" s="22"/>
    </row>
    <row r="157" spans="1:9" x14ac:dyDescent="0.25">
      <c r="A157" s="22" t="b">
        <v>0</v>
      </c>
      <c r="B157" s="22" t="s">
        <v>1817</v>
      </c>
      <c r="C157" s="34">
        <v>45898</v>
      </c>
      <c r="D157" s="22" t="s">
        <v>2890</v>
      </c>
      <c r="E157" s="22">
        <v>900</v>
      </c>
      <c r="F157" s="28"/>
      <c r="G157" s="22" t="s">
        <v>482</v>
      </c>
      <c r="H157" s="22" t="s">
        <v>483</v>
      </c>
      <c r="I157" s="22"/>
    </row>
    <row r="158" spans="1:9" x14ac:dyDescent="0.25">
      <c r="A158" s="22" t="b">
        <v>0</v>
      </c>
      <c r="B158" s="22" t="s">
        <v>1766</v>
      </c>
      <c r="C158" s="34">
        <v>45907</v>
      </c>
      <c r="D158" s="22" t="s">
        <v>2891</v>
      </c>
      <c r="E158" s="22">
        <v>584</v>
      </c>
      <c r="F158" s="28"/>
      <c r="G158" s="22" t="s">
        <v>482</v>
      </c>
      <c r="H158" s="22" t="s">
        <v>483</v>
      </c>
      <c r="I158" s="22"/>
    </row>
    <row r="159" spans="1:9" x14ac:dyDescent="0.25">
      <c r="A159" s="22" t="b">
        <v>0</v>
      </c>
      <c r="B159" s="22" t="s">
        <v>1762</v>
      </c>
      <c r="C159" s="34">
        <v>45908</v>
      </c>
      <c r="D159" s="22" t="s">
        <v>2892</v>
      </c>
      <c r="E159" s="22">
        <v>1414.5</v>
      </c>
      <c r="F159" s="28">
        <v>232</v>
      </c>
      <c r="G159" s="22" t="s">
        <v>482</v>
      </c>
      <c r="H159" s="22" t="s">
        <v>483</v>
      </c>
      <c r="I159" s="22"/>
    </row>
    <row r="160" spans="1:9" x14ac:dyDescent="0.25">
      <c r="A160" s="22" t="b">
        <v>0</v>
      </c>
      <c r="B160" s="22" t="s">
        <v>1755</v>
      </c>
      <c r="C160" s="34">
        <v>45909</v>
      </c>
      <c r="D160" s="22" t="s">
        <v>2893</v>
      </c>
      <c r="E160" s="22">
        <v>75</v>
      </c>
      <c r="F160" s="28"/>
      <c r="G160" s="22" t="s">
        <v>482</v>
      </c>
      <c r="H160" s="22" t="s">
        <v>483</v>
      </c>
      <c r="I160" s="22"/>
    </row>
    <row r="161" spans="1:9" x14ac:dyDescent="0.25">
      <c r="A161" s="22" t="b">
        <v>0</v>
      </c>
      <c r="B161" s="22" t="s">
        <v>1758</v>
      </c>
      <c r="C161" s="34">
        <v>45909</v>
      </c>
      <c r="D161" s="22" t="s">
        <v>2894</v>
      </c>
      <c r="E161" s="22">
        <v>2732.75</v>
      </c>
      <c r="F161" s="28"/>
      <c r="G161" s="22" t="s">
        <v>482</v>
      </c>
      <c r="H161" s="22" t="s">
        <v>483</v>
      </c>
      <c r="I161" s="22"/>
    </row>
    <row r="162" spans="1:9" x14ac:dyDescent="0.25">
      <c r="A162" s="22" t="b">
        <v>0</v>
      </c>
      <c r="B162" s="22" t="s">
        <v>1752</v>
      </c>
      <c r="C162" s="34">
        <v>45910</v>
      </c>
      <c r="D162" s="22" t="s">
        <v>2893</v>
      </c>
      <c r="E162" s="22">
        <v>75</v>
      </c>
      <c r="F162" s="28"/>
      <c r="G162" s="22" t="s">
        <v>482</v>
      </c>
      <c r="H162" s="22" t="s">
        <v>483</v>
      </c>
      <c r="I162" s="22"/>
    </row>
    <row r="163" spans="1:9" x14ac:dyDescent="0.25">
      <c r="A163" s="22" t="b">
        <v>0</v>
      </c>
      <c r="B163" s="22" t="s">
        <v>1738</v>
      </c>
      <c r="C163" s="34">
        <v>45912</v>
      </c>
      <c r="D163" s="22" t="s">
        <v>2895</v>
      </c>
      <c r="E163" s="22">
        <v>168</v>
      </c>
      <c r="F163" s="28"/>
      <c r="G163" s="22" t="s">
        <v>482</v>
      </c>
      <c r="H163" s="22" t="s">
        <v>483</v>
      </c>
      <c r="I163" s="22"/>
    </row>
    <row r="164" spans="1:9" x14ac:dyDescent="0.25">
      <c r="A164" s="22" t="b">
        <v>0</v>
      </c>
      <c r="B164" s="22" t="s">
        <v>1734</v>
      </c>
      <c r="C164" s="34">
        <v>45913</v>
      </c>
      <c r="D164" s="22" t="s">
        <v>2896</v>
      </c>
      <c r="E164" s="22">
        <v>325</v>
      </c>
      <c r="F164" s="28"/>
      <c r="G164" s="22" t="s">
        <v>482</v>
      </c>
      <c r="H164" s="22" t="s">
        <v>483</v>
      </c>
      <c r="I164" s="22"/>
    </row>
    <row r="165" spans="1:9" x14ac:dyDescent="0.25">
      <c r="A165" s="22" t="b">
        <v>0</v>
      </c>
      <c r="B165" s="22" t="s">
        <v>1721</v>
      </c>
      <c r="C165" s="34">
        <v>45914</v>
      </c>
      <c r="D165" s="22" t="s">
        <v>2897</v>
      </c>
      <c r="E165" s="22">
        <v>3300</v>
      </c>
      <c r="F165" s="28"/>
      <c r="G165" s="22" t="s">
        <v>482</v>
      </c>
      <c r="H165" s="22" t="s">
        <v>483</v>
      </c>
      <c r="I165" s="22"/>
    </row>
    <row r="166" spans="1:9" x14ac:dyDescent="0.25">
      <c r="A166" s="22" t="b">
        <v>0</v>
      </c>
      <c r="B166" s="22" t="s">
        <v>1707</v>
      </c>
      <c r="C166" s="34">
        <v>45915</v>
      </c>
      <c r="D166" s="22" t="s">
        <v>2898</v>
      </c>
      <c r="E166" s="22">
        <v>405.97</v>
      </c>
      <c r="F166" s="28">
        <v>67.66</v>
      </c>
      <c r="G166" s="22" t="s">
        <v>482</v>
      </c>
      <c r="H166" s="22" t="s">
        <v>483</v>
      </c>
      <c r="I166" s="22"/>
    </row>
    <row r="167" spans="1:9" x14ac:dyDescent="0.25">
      <c r="A167" s="22" t="b">
        <v>0</v>
      </c>
      <c r="B167" s="22" t="s">
        <v>1918</v>
      </c>
      <c r="C167" s="34">
        <v>45918</v>
      </c>
      <c r="D167" s="22" t="s">
        <v>2899</v>
      </c>
      <c r="E167" s="22">
        <v>97.77</v>
      </c>
      <c r="F167" s="28"/>
      <c r="G167" s="22" t="s">
        <v>482</v>
      </c>
      <c r="H167" s="22" t="s">
        <v>483</v>
      </c>
      <c r="I167" s="22"/>
    </row>
    <row r="168" spans="1:9" x14ac:dyDescent="0.25">
      <c r="A168" s="22" t="b">
        <v>0</v>
      </c>
      <c r="B168" s="22" t="s">
        <v>1676</v>
      </c>
      <c r="C168" s="34">
        <v>45922</v>
      </c>
      <c r="D168" s="22" t="s">
        <v>2900</v>
      </c>
      <c r="E168" s="22">
        <v>2372.5</v>
      </c>
      <c r="F168" s="28"/>
      <c r="G168" s="22" t="s">
        <v>482</v>
      </c>
      <c r="H168" s="22" t="s">
        <v>483</v>
      </c>
      <c r="I168" s="22"/>
    </row>
    <row r="169" spans="1:9" x14ac:dyDescent="0.25">
      <c r="A169" s="22" t="b">
        <v>0</v>
      </c>
      <c r="B169" s="22" t="s">
        <v>1917</v>
      </c>
      <c r="C169" s="34">
        <v>45922</v>
      </c>
      <c r="D169" s="22" t="s">
        <v>2899</v>
      </c>
      <c r="E169" s="22">
        <v>147.25</v>
      </c>
      <c r="F169" s="28"/>
      <c r="G169" s="22" t="s">
        <v>482</v>
      </c>
      <c r="H169" s="22" t="s">
        <v>483</v>
      </c>
      <c r="I169" s="22"/>
    </row>
    <row r="170" spans="1:9" x14ac:dyDescent="0.25">
      <c r="A170" s="22" t="b">
        <v>0</v>
      </c>
      <c r="B170" s="22" t="s">
        <v>1671</v>
      </c>
      <c r="C170" s="34">
        <v>45923</v>
      </c>
      <c r="D170" s="22" t="s">
        <v>2901</v>
      </c>
      <c r="E170" s="22">
        <v>1574</v>
      </c>
      <c r="F170" s="28"/>
      <c r="G170" s="22" t="s">
        <v>482</v>
      </c>
      <c r="H170" s="22" t="s">
        <v>483</v>
      </c>
      <c r="I170" s="22"/>
    </row>
    <row r="171" spans="1:9" x14ac:dyDescent="0.25">
      <c r="A171" s="22" t="b">
        <v>0</v>
      </c>
      <c r="B171" s="22" t="s">
        <v>1916</v>
      </c>
      <c r="C171" s="34">
        <v>45923</v>
      </c>
      <c r="D171" s="22" t="s">
        <v>2899</v>
      </c>
      <c r="E171" s="22">
        <v>225.89</v>
      </c>
      <c r="F171" s="28"/>
      <c r="G171" s="22" t="s">
        <v>482</v>
      </c>
      <c r="H171" s="22" t="s">
        <v>483</v>
      </c>
      <c r="I171" s="22"/>
    </row>
    <row r="172" spans="1:9" x14ac:dyDescent="0.25">
      <c r="A172" s="22" t="b">
        <v>0</v>
      </c>
      <c r="B172" s="22" t="s">
        <v>1666</v>
      </c>
      <c r="C172" s="34">
        <v>45924</v>
      </c>
      <c r="D172" s="22" t="s">
        <v>2902</v>
      </c>
      <c r="E172" s="22">
        <v>1000</v>
      </c>
      <c r="F172" s="28"/>
      <c r="G172" s="22" t="s">
        <v>482</v>
      </c>
      <c r="H172" s="22" t="s">
        <v>483</v>
      </c>
      <c r="I172" s="22"/>
    </row>
    <row r="173" spans="1:9" x14ac:dyDescent="0.25">
      <c r="A173" s="22" t="b">
        <v>0</v>
      </c>
      <c r="B173" s="22" t="s">
        <v>1659</v>
      </c>
      <c r="C173" s="34">
        <v>45925</v>
      </c>
      <c r="D173" s="22" t="s">
        <v>2903</v>
      </c>
      <c r="E173" s="22">
        <v>3067</v>
      </c>
      <c r="F173" s="28"/>
      <c r="G173" s="22" t="s">
        <v>482</v>
      </c>
      <c r="H173" s="22" t="s">
        <v>483</v>
      </c>
      <c r="I173" s="22"/>
    </row>
    <row r="174" spans="1:9" x14ac:dyDescent="0.25">
      <c r="A174" s="22" t="b">
        <v>0</v>
      </c>
      <c r="B174" s="22" t="s">
        <v>1644</v>
      </c>
      <c r="C174" s="34">
        <v>45926</v>
      </c>
      <c r="D174" s="22" t="s">
        <v>2904</v>
      </c>
      <c r="E174" s="22">
        <v>4140.4799999999996</v>
      </c>
      <c r="F174" s="28"/>
      <c r="G174" s="22" t="s">
        <v>482</v>
      </c>
      <c r="H174" s="22" t="s">
        <v>483</v>
      </c>
      <c r="I174" s="22"/>
    </row>
    <row r="175" spans="1:9" x14ac:dyDescent="0.25">
      <c r="A175" s="22" t="b">
        <v>0</v>
      </c>
      <c r="B175" s="22" t="s">
        <v>1640</v>
      </c>
      <c r="C175" s="34">
        <v>45927</v>
      </c>
      <c r="D175" s="22" t="s">
        <v>2905</v>
      </c>
      <c r="E175" s="22">
        <v>280</v>
      </c>
      <c r="F175" s="28"/>
      <c r="G175" s="22" t="s">
        <v>482</v>
      </c>
      <c r="H175" s="22" t="s">
        <v>483</v>
      </c>
      <c r="I175" s="22"/>
    </row>
    <row r="176" spans="1:9" x14ac:dyDescent="0.25">
      <c r="A176" s="22" t="b">
        <v>0</v>
      </c>
      <c r="B176" s="22" t="s">
        <v>1641</v>
      </c>
      <c r="C176" s="34">
        <v>45927</v>
      </c>
      <c r="D176" s="22" t="s">
        <v>2906</v>
      </c>
      <c r="E176" s="22">
        <v>1326</v>
      </c>
      <c r="F176" s="28"/>
      <c r="G176" s="22" t="s">
        <v>482</v>
      </c>
      <c r="H176" s="22" t="s">
        <v>483</v>
      </c>
      <c r="I176" s="22"/>
    </row>
    <row r="177" spans="1:9" x14ac:dyDescent="0.25">
      <c r="A177" s="22" t="b">
        <v>0</v>
      </c>
      <c r="B177" s="22" t="s">
        <v>1631</v>
      </c>
      <c r="C177" s="34">
        <v>45928</v>
      </c>
      <c r="D177" s="22" t="s">
        <v>2907</v>
      </c>
      <c r="E177" s="22">
        <v>875</v>
      </c>
      <c r="F177" s="28"/>
      <c r="G177" s="22" t="s">
        <v>482</v>
      </c>
      <c r="H177" s="22" t="s">
        <v>483</v>
      </c>
      <c r="I177" s="22"/>
    </row>
    <row r="178" spans="1:9" x14ac:dyDescent="0.25">
      <c r="A178" s="22" t="b">
        <v>0</v>
      </c>
      <c r="B178" s="22" t="s">
        <v>1915</v>
      </c>
      <c r="C178" s="34">
        <v>45928</v>
      </c>
      <c r="D178" s="22" t="s">
        <v>2908</v>
      </c>
      <c r="E178" s="22">
        <v>165</v>
      </c>
      <c r="F178" s="28"/>
      <c r="G178" s="22" t="s">
        <v>482</v>
      </c>
      <c r="H178" s="22" t="s">
        <v>483</v>
      </c>
      <c r="I178" s="22"/>
    </row>
    <row r="179" spans="1:9" x14ac:dyDescent="0.25">
      <c r="A179" s="22" t="b">
        <v>0</v>
      </c>
      <c r="B179" s="22" t="s">
        <v>1618</v>
      </c>
      <c r="C179" s="34">
        <v>45931</v>
      </c>
      <c r="D179" s="22" t="s">
        <v>2909</v>
      </c>
      <c r="E179" s="22">
        <v>511</v>
      </c>
      <c r="F179" s="28"/>
      <c r="G179" s="22" t="s">
        <v>482</v>
      </c>
      <c r="H179" s="22" t="s">
        <v>483</v>
      </c>
      <c r="I179" s="22"/>
    </row>
    <row r="180" spans="1:9" x14ac:dyDescent="0.25">
      <c r="A180" s="22" t="b">
        <v>0</v>
      </c>
      <c r="B180" s="22" t="s">
        <v>1620</v>
      </c>
      <c r="C180" s="34">
        <v>45931</v>
      </c>
      <c r="D180" s="22" t="s">
        <v>2829</v>
      </c>
      <c r="E180" s="22">
        <v>1006</v>
      </c>
      <c r="F180" s="28"/>
      <c r="G180" s="22" t="s">
        <v>482</v>
      </c>
      <c r="H180" s="22" t="s">
        <v>483</v>
      </c>
      <c r="I180" s="22"/>
    </row>
    <row r="181" spans="1:9" x14ac:dyDescent="0.25">
      <c r="A181" s="22" t="b">
        <v>0</v>
      </c>
      <c r="B181" s="22" t="s">
        <v>1609</v>
      </c>
      <c r="C181" s="34">
        <v>45932</v>
      </c>
      <c r="D181" s="22" t="s">
        <v>2910</v>
      </c>
      <c r="E181" s="22">
        <v>195</v>
      </c>
      <c r="F181" s="28"/>
      <c r="G181" s="22" t="s">
        <v>482</v>
      </c>
      <c r="H181" s="22" t="s">
        <v>483</v>
      </c>
      <c r="I181" s="22"/>
    </row>
    <row r="182" spans="1:9" x14ac:dyDescent="0.25">
      <c r="A182" s="22" t="b">
        <v>0</v>
      </c>
      <c r="B182" s="22" t="s">
        <v>1601</v>
      </c>
      <c r="C182" s="34">
        <v>45934</v>
      </c>
      <c r="D182" s="22" t="s">
        <v>2911</v>
      </c>
      <c r="E182" s="22">
        <v>1820</v>
      </c>
      <c r="F182" s="28"/>
      <c r="G182" s="22" t="s">
        <v>482</v>
      </c>
      <c r="H182" s="22" t="s">
        <v>483</v>
      </c>
      <c r="I182" s="22"/>
    </row>
    <row r="183" spans="1:9" x14ac:dyDescent="0.25">
      <c r="A183" s="22" t="b">
        <v>0</v>
      </c>
      <c r="B183" s="22" t="s">
        <v>1573</v>
      </c>
      <c r="C183" s="34">
        <v>45943</v>
      </c>
      <c r="D183" s="22" t="s">
        <v>2912</v>
      </c>
      <c r="E183" s="22">
        <v>7038.5</v>
      </c>
      <c r="F183" s="28">
        <v>1147.5</v>
      </c>
      <c r="G183" s="22" t="s">
        <v>482</v>
      </c>
      <c r="H183" s="22" t="s">
        <v>483</v>
      </c>
      <c r="I183" s="22"/>
    </row>
    <row r="184" spans="1:9" x14ac:dyDescent="0.25">
      <c r="A184" s="22" t="b">
        <v>0</v>
      </c>
      <c r="B184" s="22" t="s">
        <v>1563</v>
      </c>
      <c r="C184" s="34">
        <v>45947</v>
      </c>
      <c r="D184" s="22" t="s">
        <v>2913</v>
      </c>
      <c r="E184" s="22">
        <v>615.46</v>
      </c>
      <c r="F184" s="28">
        <v>102.58</v>
      </c>
      <c r="G184" s="22" t="s">
        <v>482</v>
      </c>
      <c r="H184" s="22" t="s">
        <v>483</v>
      </c>
      <c r="I184" s="22"/>
    </row>
    <row r="185" spans="1:9" x14ac:dyDescent="0.25">
      <c r="A185" s="22" t="b">
        <v>0</v>
      </c>
      <c r="B185" s="22" t="s">
        <v>1564</v>
      </c>
      <c r="C185" s="34">
        <v>45947</v>
      </c>
      <c r="D185" s="22" t="s">
        <v>2914</v>
      </c>
      <c r="E185" s="22">
        <v>4026.09</v>
      </c>
      <c r="F185" s="28">
        <v>657.4</v>
      </c>
      <c r="G185" s="22" t="s">
        <v>482</v>
      </c>
      <c r="H185" s="22" t="s">
        <v>483</v>
      </c>
      <c r="I185" s="22"/>
    </row>
    <row r="186" spans="1:9" x14ac:dyDescent="0.25">
      <c r="A186" s="22" t="b">
        <v>0</v>
      </c>
      <c r="B186" s="22" t="s">
        <v>1552</v>
      </c>
      <c r="C186" s="34">
        <v>45954</v>
      </c>
      <c r="D186" s="22" t="s">
        <v>2915</v>
      </c>
      <c r="E186" s="22">
        <v>5887</v>
      </c>
      <c r="F186" s="28"/>
      <c r="G186" s="22" t="s">
        <v>482</v>
      </c>
      <c r="H186" s="22" t="s">
        <v>483</v>
      </c>
      <c r="I186" s="22"/>
    </row>
    <row r="187" spans="1:9" x14ac:dyDescent="0.25">
      <c r="A187" s="22" t="b">
        <v>0</v>
      </c>
      <c r="B187" s="22" t="s">
        <v>1515</v>
      </c>
      <c r="C187" s="34">
        <v>45964</v>
      </c>
      <c r="D187" s="22" t="s">
        <v>2916</v>
      </c>
      <c r="E187" s="22">
        <v>2472</v>
      </c>
      <c r="F187" s="28">
        <v>412</v>
      </c>
      <c r="G187" s="22" t="s">
        <v>482</v>
      </c>
      <c r="H187" s="22" t="s">
        <v>483</v>
      </c>
      <c r="I187" s="22"/>
    </row>
    <row r="188" spans="1:9" x14ac:dyDescent="0.25">
      <c r="A188" s="22" t="b">
        <v>0</v>
      </c>
      <c r="B188" s="22" t="s">
        <v>1946</v>
      </c>
      <c r="C188" s="34">
        <v>45964</v>
      </c>
      <c r="D188" s="22" t="s">
        <v>2917</v>
      </c>
      <c r="E188" s="22">
        <v>5000</v>
      </c>
      <c r="F188" s="28"/>
      <c r="G188" s="22" t="s">
        <v>482</v>
      </c>
      <c r="H188" s="22" t="s">
        <v>483</v>
      </c>
      <c r="I188" s="22"/>
    </row>
    <row r="189" spans="1:9" x14ac:dyDescent="0.25">
      <c r="A189" s="22" t="b">
        <v>0</v>
      </c>
      <c r="B189" s="22" t="s">
        <v>1945</v>
      </c>
      <c r="C189" s="34">
        <v>45966</v>
      </c>
      <c r="D189" s="22" t="s">
        <v>2917</v>
      </c>
      <c r="E189" s="22">
        <v>5000</v>
      </c>
      <c r="F189" s="28"/>
      <c r="G189" s="22" t="s">
        <v>482</v>
      </c>
      <c r="H189" s="22" t="s">
        <v>483</v>
      </c>
      <c r="I189" s="22"/>
    </row>
    <row r="190" spans="1:9" x14ac:dyDescent="0.25">
      <c r="A190" s="22" t="b">
        <v>0</v>
      </c>
      <c r="B190" s="22" t="s">
        <v>1500</v>
      </c>
      <c r="C190" s="34">
        <v>45968</v>
      </c>
      <c r="D190" s="22" t="s">
        <v>2918</v>
      </c>
      <c r="E190" s="22">
        <v>100</v>
      </c>
      <c r="F190" s="28"/>
      <c r="G190" s="22" t="s">
        <v>482</v>
      </c>
      <c r="H190" s="22" t="s">
        <v>483</v>
      </c>
      <c r="I190" s="22"/>
    </row>
    <row r="191" spans="1:9" x14ac:dyDescent="0.25">
      <c r="A191" s="22" t="b">
        <v>0</v>
      </c>
      <c r="B191" s="22" t="s">
        <v>1913</v>
      </c>
      <c r="C191" s="34">
        <v>45970</v>
      </c>
      <c r="D191" s="22" t="s">
        <v>2919</v>
      </c>
      <c r="E191" s="22">
        <v>150</v>
      </c>
      <c r="F191" s="28"/>
      <c r="G191" s="22" t="s">
        <v>482</v>
      </c>
      <c r="H191" s="22" t="s">
        <v>483</v>
      </c>
      <c r="I191" s="22"/>
    </row>
    <row r="192" spans="1:9" x14ac:dyDescent="0.25">
      <c r="A192" s="22" t="b">
        <v>0</v>
      </c>
      <c r="B192" s="22" t="s">
        <v>1489</v>
      </c>
      <c r="C192" s="34">
        <v>45971</v>
      </c>
      <c r="D192" s="22" t="s">
        <v>2920</v>
      </c>
      <c r="E192" s="22">
        <v>1045</v>
      </c>
      <c r="F192" s="28"/>
      <c r="G192" s="22" t="s">
        <v>482</v>
      </c>
      <c r="H192" s="22" t="s">
        <v>483</v>
      </c>
      <c r="I192" s="22"/>
    </row>
    <row r="193" spans="1:9" x14ac:dyDescent="0.25">
      <c r="A193" s="22" t="b">
        <v>0</v>
      </c>
      <c r="B193" s="22" t="s">
        <v>1912</v>
      </c>
      <c r="C193" s="34">
        <v>45971</v>
      </c>
      <c r="D193" s="22" t="s">
        <v>2921</v>
      </c>
      <c r="E193" s="22">
        <v>100</v>
      </c>
      <c r="F193" s="28"/>
      <c r="G193" s="22" t="s">
        <v>482</v>
      </c>
      <c r="H193" s="22" t="s">
        <v>483</v>
      </c>
      <c r="I193" s="22"/>
    </row>
    <row r="194" spans="1:9" x14ac:dyDescent="0.25">
      <c r="A194" s="22" t="b">
        <v>0</v>
      </c>
      <c r="B194" s="22" t="s">
        <v>1486</v>
      </c>
      <c r="C194" s="34">
        <v>45972</v>
      </c>
      <c r="D194" s="22" t="s">
        <v>2829</v>
      </c>
      <c r="E194" s="22">
        <v>703</v>
      </c>
      <c r="F194" s="28"/>
      <c r="G194" s="22" t="s">
        <v>482</v>
      </c>
      <c r="H194" s="22" t="s">
        <v>483</v>
      </c>
      <c r="I194" s="22"/>
    </row>
    <row r="195" spans="1:9" x14ac:dyDescent="0.25">
      <c r="A195" s="22" t="b">
        <v>0</v>
      </c>
      <c r="B195" s="22" t="s">
        <v>1480</v>
      </c>
      <c r="C195" s="34">
        <v>45974</v>
      </c>
      <c r="D195" s="22" t="s">
        <v>2922</v>
      </c>
      <c r="E195" s="22">
        <v>423.37</v>
      </c>
      <c r="F195" s="28">
        <v>70.56</v>
      </c>
      <c r="G195" s="22" t="s">
        <v>482</v>
      </c>
      <c r="H195" s="22" t="s">
        <v>483</v>
      </c>
      <c r="I195" s="22"/>
    </row>
    <row r="196" spans="1:9" x14ac:dyDescent="0.25">
      <c r="A196" s="22" t="b">
        <v>0</v>
      </c>
      <c r="B196" s="22" t="s">
        <v>1463</v>
      </c>
      <c r="C196" s="34">
        <v>45979</v>
      </c>
      <c r="D196" s="22" t="s">
        <v>2923</v>
      </c>
      <c r="E196" s="22">
        <v>6780</v>
      </c>
      <c r="F196" s="28"/>
      <c r="G196" s="22" t="s">
        <v>482</v>
      </c>
      <c r="H196" s="22" t="s">
        <v>483</v>
      </c>
      <c r="I196" s="22"/>
    </row>
    <row r="197" spans="1:9" x14ac:dyDescent="0.25">
      <c r="A197" s="22" t="b">
        <v>0</v>
      </c>
      <c r="B197" s="22" t="s">
        <v>1944</v>
      </c>
      <c r="C197" s="34">
        <v>45980</v>
      </c>
      <c r="D197" s="22" t="s">
        <v>2917</v>
      </c>
      <c r="E197" s="22">
        <v>4000</v>
      </c>
      <c r="F197" s="28"/>
      <c r="G197" s="22" t="s">
        <v>482</v>
      </c>
      <c r="H197" s="22" t="s">
        <v>483</v>
      </c>
      <c r="I197" s="22"/>
    </row>
    <row r="198" spans="1:9" x14ac:dyDescent="0.25">
      <c r="A198" s="22" t="b">
        <v>0</v>
      </c>
      <c r="B198" s="22" t="s">
        <v>1439</v>
      </c>
      <c r="C198" s="34">
        <v>45985</v>
      </c>
      <c r="D198" s="22" t="s">
        <v>2924</v>
      </c>
      <c r="E198" s="22">
        <v>102</v>
      </c>
      <c r="F198" s="28"/>
      <c r="G198" s="22" t="s">
        <v>482</v>
      </c>
      <c r="H198" s="22" t="s">
        <v>483</v>
      </c>
      <c r="I198" s="22"/>
    </row>
    <row r="199" spans="1:9" x14ac:dyDescent="0.25">
      <c r="A199" s="22" t="b">
        <v>0</v>
      </c>
      <c r="B199" s="22" t="s">
        <v>1440</v>
      </c>
      <c r="C199" s="34">
        <v>45985</v>
      </c>
      <c r="D199" s="22" t="s">
        <v>2925</v>
      </c>
      <c r="E199" s="22">
        <v>276</v>
      </c>
      <c r="F199" s="28"/>
      <c r="G199" s="22" t="s">
        <v>482</v>
      </c>
      <c r="H199" s="22" t="s">
        <v>483</v>
      </c>
      <c r="I199" s="22"/>
    </row>
    <row r="200" spans="1:9" x14ac:dyDescent="0.25">
      <c r="A200" s="22" t="b">
        <v>0</v>
      </c>
      <c r="B200" s="22" t="s">
        <v>1910</v>
      </c>
      <c r="C200" s="34">
        <v>45988</v>
      </c>
      <c r="D200" s="22" t="s">
        <v>2926</v>
      </c>
      <c r="E200" s="22">
        <v>220</v>
      </c>
      <c r="F200" s="28"/>
      <c r="G200" s="22" t="s">
        <v>482</v>
      </c>
      <c r="H200" s="22" t="s">
        <v>483</v>
      </c>
      <c r="I200" s="22"/>
    </row>
    <row r="201" spans="1:9" x14ac:dyDescent="0.25">
      <c r="A201" s="22" t="b">
        <v>0</v>
      </c>
      <c r="B201" s="22" t="s">
        <v>1911</v>
      </c>
      <c r="C201" s="34">
        <v>45988</v>
      </c>
      <c r="D201" s="22" t="s">
        <v>2927</v>
      </c>
      <c r="E201" s="22">
        <v>270</v>
      </c>
      <c r="F201" s="28"/>
      <c r="G201" s="22" t="s">
        <v>482</v>
      </c>
      <c r="H201" s="22" t="s">
        <v>483</v>
      </c>
      <c r="I201" s="22"/>
    </row>
    <row r="202" spans="1:9" x14ac:dyDescent="0.25">
      <c r="A202" s="22" t="b">
        <v>0</v>
      </c>
      <c r="B202" s="22" t="s">
        <v>1408</v>
      </c>
      <c r="C202" s="34">
        <v>45992</v>
      </c>
      <c r="D202" s="22" t="s">
        <v>2928</v>
      </c>
      <c r="E202" s="22">
        <v>2000</v>
      </c>
      <c r="F202" s="28"/>
      <c r="G202" s="22" t="s">
        <v>482</v>
      </c>
      <c r="H202" s="22" t="s">
        <v>483</v>
      </c>
      <c r="I202" s="22"/>
    </row>
    <row r="203" spans="1:9" x14ac:dyDescent="0.25">
      <c r="A203" s="22" t="b">
        <v>0</v>
      </c>
      <c r="B203" s="22" t="s">
        <v>1399</v>
      </c>
      <c r="C203" s="34">
        <v>45993</v>
      </c>
      <c r="D203" s="22" t="s">
        <v>2929</v>
      </c>
      <c r="E203" s="22">
        <v>550</v>
      </c>
      <c r="F203" s="28"/>
      <c r="G203" s="22" t="s">
        <v>482</v>
      </c>
      <c r="H203" s="22" t="s">
        <v>483</v>
      </c>
      <c r="I203" s="22"/>
    </row>
    <row r="204" spans="1:9" x14ac:dyDescent="0.25">
      <c r="A204" s="22" t="b">
        <v>0</v>
      </c>
      <c r="B204" s="22" t="s">
        <v>1400</v>
      </c>
      <c r="C204" s="34">
        <v>45993</v>
      </c>
      <c r="D204" s="22" t="s">
        <v>2930</v>
      </c>
      <c r="E204" s="22">
        <v>159</v>
      </c>
      <c r="F204" s="28"/>
      <c r="G204" s="22" t="s">
        <v>482</v>
      </c>
      <c r="H204" s="22" t="s">
        <v>483</v>
      </c>
      <c r="I204" s="22"/>
    </row>
    <row r="205" spans="1:9" x14ac:dyDescent="0.25">
      <c r="A205" s="22" t="b">
        <v>0</v>
      </c>
      <c r="B205" s="22" t="s">
        <v>1401</v>
      </c>
      <c r="C205" s="34">
        <v>45993</v>
      </c>
      <c r="D205" s="22" t="s">
        <v>2931</v>
      </c>
      <c r="E205" s="22">
        <v>2</v>
      </c>
      <c r="F205" s="28">
        <v>0.33</v>
      </c>
      <c r="G205" s="22" t="s">
        <v>482</v>
      </c>
      <c r="H205" s="22" t="s">
        <v>483</v>
      </c>
      <c r="I205" s="22"/>
    </row>
    <row r="206" spans="1:9" x14ac:dyDescent="0.25">
      <c r="A206" s="22" t="b">
        <v>0</v>
      </c>
      <c r="B206" s="22" t="s">
        <v>1402</v>
      </c>
      <c r="C206" s="34">
        <v>45993</v>
      </c>
      <c r="D206" s="22" t="s">
        <v>2932</v>
      </c>
      <c r="E206" s="22">
        <v>6313</v>
      </c>
      <c r="F206" s="28">
        <v>1040</v>
      </c>
      <c r="G206" s="22" t="s">
        <v>482</v>
      </c>
      <c r="H206" s="22" t="s">
        <v>483</v>
      </c>
      <c r="I206" s="22"/>
    </row>
    <row r="207" spans="1:9" x14ac:dyDescent="0.25">
      <c r="A207" s="22" t="b">
        <v>0</v>
      </c>
      <c r="B207" s="22" t="s">
        <v>1357</v>
      </c>
      <c r="C207" s="34">
        <v>45999</v>
      </c>
      <c r="D207" s="22" t="s">
        <v>2933</v>
      </c>
      <c r="E207" s="22">
        <v>444</v>
      </c>
      <c r="F207" s="28"/>
      <c r="G207" s="22" t="s">
        <v>482</v>
      </c>
      <c r="H207" s="22" t="s">
        <v>483</v>
      </c>
      <c r="I207" s="22"/>
    </row>
    <row r="208" spans="1:9" x14ac:dyDescent="0.25">
      <c r="A208" s="22" t="b">
        <v>0</v>
      </c>
      <c r="B208" s="22" t="s">
        <v>1348</v>
      </c>
      <c r="C208" s="34">
        <v>46002</v>
      </c>
      <c r="D208" s="22" t="s">
        <v>2934</v>
      </c>
      <c r="E208" s="22">
        <v>100</v>
      </c>
      <c r="F208" s="28"/>
      <c r="G208" s="22" t="s">
        <v>482</v>
      </c>
      <c r="H208" s="22" t="s">
        <v>483</v>
      </c>
      <c r="I208" s="22"/>
    </row>
    <row r="209" spans="1:9" x14ac:dyDescent="0.25">
      <c r="A209" s="22" t="b">
        <v>0</v>
      </c>
      <c r="B209" s="22" t="s">
        <v>1344</v>
      </c>
      <c r="C209" s="34">
        <v>46003</v>
      </c>
      <c r="D209" s="22" t="s">
        <v>2935</v>
      </c>
      <c r="E209" s="22">
        <v>292.88</v>
      </c>
      <c r="F209" s="28">
        <v>48.81</v>
      </c>
      <c r="G209" s="22" t="s">
        <v>482</v>
      </c>
      <c r="H209" s="22" t="s">
        <v>483</v>
      </c>
      <c r="I209" s="22"/>
    </row>
    <row r="210" spans="1:9" x14ac:dyDescent="0.25">
      <c r="A210" s="22" t="b">
        <v>0</v>
      </c>
      <c r="B210" s="22" t="s">
        <v>1345</v>
      </c>
      <c r="C210" s="34">
        <v>46003</v>
      </c>
      <c r="D210" s="22" t="s">
        <v>2936</v>
      </c>
      <c r="E210" s="22">
        <v>556</v>
      </c>
      <c r="F210" s="28"/>
      <c r="G210" s="22" t="s">
        <v>482</v>
      </c>
      <c r="H210" s="22" t="s">
        <v>483</v>
      </c>
      <c r="I210" s="22"/>
    </row>
    <row r="211" spans="1:9" x14ac:dyDescent="0.25">
      <c r="A211" s="22" t="b">
        <v>0</v>
      </c>
      <c r="B211" s="22" t="s">
        <v>1340</v>
      </c>
      <c r="C211" s="34">
        <v>46004</v>
      </c>
      <c r="D211" s="22" t="s">
        <v>2937</v>
      </c>
      <c r="E211" s="22">
        <v>345</v>
      </c>
      <c r="F211" s="28"/>
      <c r="G211" s="22" t="s">
        <v>482</v>
      </c>
      <c r="H211" s="22" t="s">
        <v>483</v>
      </c>
      <c r="I211" s="22"/>
    </row>
    <row r="212" spans="1:9" x14ac:dyDescent="0.25">
      <c r="A212" s="22" t="b">
        <v>0</v>
      </c>
      <c r="B212" s="22" t="s">
        <v>1328</v>
      </c>
      <c r="C212" s="34">
        <v>46007</v>
      </c>
      <c r="D212" s="22" t="s">
        <v>2938</v>
      </c>
      <c r="E212" s="22">
        <v>65</v>
      </c>
      <c r="F212" s="28"/>
      <c r="G212" s="22" t="s">
        <v>482</v>
      </c>
      <c r="H212" s="22" t="s">
        <v>483</v>
      </c>
      <c r="I212" s="22"/>
    </row>
    <row r="213" spans="1:9" x14ac:dyDescent="0.25">
      <c r="A213" s="22" t="b">
        <v>0</v>
      </c>
      <c r="B213" s="22" t="s">
        <v>390</v>
      </c>
      <c r="C213" s="22" t="s">
        <v>2939</v>
      </c>
      <c r="D213" s="22" t="s">
        <v>2940</v>
      </c>
      <c r="E213" s="22">
        <v>2300</v>
      </c>
      <c r="F213" s="28"/>
      <c r="G213" s="22" t="s">
        <v>482</v>
      </c>
      <c r="H213" s="22" t="s">
        <v>483</v>
      </c>
      <c r="I213" s="22"/>
    </row>
    <row r="214" spans="1:9" x14ac:dyDescent="0.25">
      <c r="A214" s="22" t="b">
        <v>0</v>
      </c>
      <c r="B214" s="22" t="s">
        <v>395</v>
      </c>
      <c r="C214" s="22" t="s">
        <v>2939</v>
      </c>
      <c r="D214" s="22" t="s">
        <v>2941</v>
      </c>
      <c r="E214" s="22">
        <v>2910</v>
      </c>
      <c r="F214" s="28"/>
      <c r="G214" s="22" t="s">
        <v>482</v>
      </c>
      <c r="H214" s="22" t="s">
        <v>483</v>
      </c>
      <c r="I214" s="22"/>
    </row>
    <row r="215" spans="1:9" x14ac:dyDescent="0.25">
      <c r="A215" s="22" t="b">
        <v>0</v>
      </c>
      <c r="B215" s="22" t="s">
        <v>408</v>
      </c>
      <c r="C215" s="22" t="s">
        <v>2939</v>
      </c>
      <c r="D215" s="22" t="s">
        <v>2942</v>
      </c>
      <c r="E215" s="22">
        <v>242.04</v>
      </c>
      <c r="F215" s="28"/>
      <c r="G215" s="22" t="s">
        <v>482</v>
      </c>
      <c r="H215" s="22" t="s">
        <v>483</v>
      </c>
      <c r="I215" s="22"/>
    </row>
    <row r="216" spans="1:9" x14ac:dyDescent="0.25">
      <c r="A216" s="22" t="b">
        <v>0</v>
      </c>
      <c r="B216" s="22" t="s">
        <v>410</v>
      </c>
      <c r="C216" s="22" t="s">
        <v>2939</v>
      </c>
      <c r="D216" s="22" t="s">
        <v>2943</v>
      </c>
      <c r="E216" s="22">
        <v>606</v>
      </c>
      <c r="F216" s="28"/>
      <c r="G216" s="22" t="s">
        <v>482</v>
      </c>
      <c r="H216" s="22" t="s">
        <v>483</v>
      </c>
      <c r="I216" s="22"/>
    </row>
    <row r="217" spans="1:9" x14ac:dyDescent="0.25">
      <c r="A217" s="22" t="b">
        <v>0</v>
      </c>
      <c r="B217" s="22" t="s">
        <v>2735</v>
      </c>
      <c r="C217" s="22" t="s">
        <v>2939</v>
      </c>
      <c r="D217" s="22" t="s">
        <v>2944</v>
      </c>
      <c r="E217" s="22">
        <v>1117</v>
      </c>
      <c r="F217" s="28"/>
      <c r="G217" s="22" t="s">
        <v>482</v>
      </c>
      <c r="H217" s="22" t="s">
        <v>483</v>
      </c>
      <c r="I217" s="22"/>
    </row>
    <row r="218" spans="1:9" x14ac:dyDescent="0.25">
      <c r="A218" s="22" t="b">
        <v>0</v>
      </c>
      <c r="B218" s="22" t="s">
        <v>2743</v>
      </c>
      <c r="C218" s="22" t="s">
        <v>2939</v>
      </c>
      <c r="D218" s="22" t="s">
        <v>2945</v>
      </c>
      <c r="E218" s="22">
        <v>544</v>
      </c>
      <c r="F218" s="28"/>
      <c r="G218" s="22" t="s">
        <v>482</v>
      </c>
      <c r="H218" s="22" t="s">
        <v>483</v>
      </c>
      <c r="I218" s="22"/>
    </row>
    <row r="219" spans="1:9" x14ac:dyDescent="0.25">
      <c r="A219" s="22" t="b">
        <v>0</v>
      </c>
      <c r="B219" s="22" t="s">
        <v>2747</v>
      </c>
      <c r="C219" s="22" t="s">
        <v>2939</v>
      </c>
      <c r="D219" s="22" t="s">
        <v>2946</v>
      </c>
      <c r="E219" s="22">
        <v>8640</v>
      </c>
      <c r="F219" s="28"/>
      <c r="G219" s="22" t="s">
        <v>482</v>
      </c>
      <c r="H219" s="22" t="s">
        <v>483</v>
      </c>
      <c r="I219" s="22"/>
    </row>
    <row r="220" spans="1:9" x14ac:dyDescent="0.25">
      <c r="A220" s="22" t="b">
        <v>0</v>
      </c>
      <c r="B220" s="22" t="s">
        <v>2750</v>
      </c>
      <c r="C220" s="22" t="s">
        <v>2939</v>
      </c>
      <c r="D220" s="22" t="s">
        <v>2947</v>
      </c>
      <c r="E220" s="22">
        <v>126</v>
      </c>
      <c r="F220" s="28"/>
      <c r="G220" s="22" t="s">
        <v>482</v>
      </c>
      <c r="H220" s="22" t="s">
        <v>483</v>
      </c>
      <c r="I220" s="22"/>
    </row>
    <row r="221" spans="1:9" x14ac:dyDescent="0.25">
      <c r="A221" s="22" t="b">
        <v>0</v>
      </c>
      <c r="B221" s="22" t="s">
        <v>2760</v>
      </c>
      <c r="C221" s="22" t="s">
        <v>2939</v>
      </c>
      <c r="D221" s="22" t="s">
        <v>2948</v>
      </c>
      <c r="E221" s="22">
        <v>450</v>
      </c>
      <c r="F221" s="28"/>
      <c r="G221" s="22" t="s">
        <v>482</v>
      </c>
      <c r="H221" s="22" t="s">
        <v>483</v>
      </c>
      <c r="I221" s="22"/>
    </row>
    <row r="222" spans="1:9" x14ac:dyDescent="0.25">
      <c r="A222" s="22" t="b">
        <v>0</v>
      </c>
      <c r="B222" s="22" t="s">
        <v>2764</v>
      </c>
      <c r="C222" s="22" t="s">
        <v>2939</v>
      </c>
      <c r="D222" s="22" t="s">
        <v>2949</v>
      </c>
      <c r="E222" s="22">
        <v>300</v>
      </c>
      <c r="F222" s="28"/>
      <c r="G222" s="22" t="s">
        <v>482</v>
      </c>
      <c r="H222" s="22" t="s">
        <v>483</v>
      </c>
      <c r="I222" s="22"/>
    </row>
    <row r="223" spans="1:9" x14ac:dyDescent="0.25">
      <c r="A223" s="22" t="b">
        <v>0</v>
      </c>
      <c r="B223" s="22" t="s">
        <v>1325</v>
      </c>
      <c r="C223" s="22" t="s">
        <v>2939</v>
      </c>
      <c r="D223" s="22" t="s">
        <v>2950</v>
      </c>
      <c r="E223" s="22">
        <v>937.41</v>
      </c>
      <c r="F223" s="28"/>
      <c r="G223" s="22" t="s">
        <v>482</v>
      </c>
      <c r="H223" s="22" t="s">
        <v>483</v>
      </c>
      <c r="I223" s="22"/>
    </row>
    <row r="224" spans="1:9" x14ac:dyDescent="0.25">
      <c r="A224" s="22" t="b">
        <v>0</v>
      </c>
      <c r="B224" s="22" t="s">
        <v>1326</v>
      </c>
      <c r="C224" s="22" t="s">
        <v>2939</v>
      </c>
      <c r="D224" s="22" t="s">
        <v>2951</v>
      </c>
      <c r="E224" s="22">
        <v>200</v>
      </c>
      <c r="F224" s="28"/>
      <c r="G224" s="22" t="s">
        <v>482</v>
      </c>
      <c r="H224" s="22" t="s">
        <v>483</v>
      </c>
      <c r="I224" s="22"/>
    </row>
    <row r="225" spans="1:9" x14ac:dyDescent="0.25">
      <c r="A225" s="22" t="b">
        <v>0</v>
      </c>
      <c r="B225" s="22" t="s">
        <v>81</v>
      </c>
      <c r="C225" s="34">
        <v>46069</v>
      </c>
      <c r="D225" s="22" t="s">
        <v>2952</v>
      </c>
      <c r="E225" s="22">
        <v>589</v>
      </c>
      <c r="F225" s="22" t="s">
        <v>482</v>
      </c>
      <c r="G225" s="22" t="s">
        <v>483</v>
      </c>
      <c r="H225" s="22"/>
      <c r="I225" s="22">
        <v>21</v>
      </c>
    </row>
    <row r="226" spans="1:9" x14ac:dyDescent="0.25">
      <c r="A226" s="22" t="b">
        <v>0</v>
      </c>
      <c r="B226" s="22" t="s">
        <v>95</v>
      </c>
      <c r="C226" s="34">
        <v>46067</v>
      </c>
      <c r="D226" s="22" t="s">
        <v>2812</v>
      </c>
      <c r="E226" s="22">
        <v>280</v>
      </c>
      <c r="F226" s="22" t="s">
        <v>482</v>
      </c>
      <c r="G226" s="22" t="s">
        <v>483</v>
      </c>
      <c r="H226" s="22"/>
      <c r="I226" s="22">
        <v>29</v>
      </c>
    </row>
    <row r="227" spans="1:9" x14ac:dyDescent="0.25">
      <c r="A227" s="22" t="b">
        <v>0</v>
      </c>
      <c r="B227" s="22" t="s">
        <v>102</v>
      </c>
      <c r="C227" s="34">
        <v>46066</v>
      </c>
      <c r="D227" s="22" t="s">
        <v>2953</v>
      </c>
      <c r="E227" s="22">
        <v>323.11</v>
      </c>
      <c r="F227" s="22" t="s">
        <v>482</v>
      </c>
      <c r="G227" s="22" t="s">
        <v>483</v>
      </c>
      <c r="H227" s="22"/>
      <c r="I227" s="22">
        <v>32</v>
      </c>
    </row>
    <row r="228" spans="1:9" x14ac:dyDescent="0.25">
      <c r="A228" s="22" t="b">
        <v>0</v>
      </c>
      <c r="B228" s="22" t="s">
        <v>105</v>
      </c>
      <c r="C228" s="34">
        <v>46066</v>
      </c>
      <c r="D228" s="22" t="s">
        <v>2910</v>
      </c>
      <c r="E228" s="22">
        <v>42</v>
      </c>
      <c r="F228" s="22" t="s">
        <v>482</v>
      </c>
      <c r="G228" s="22" t="s">
        <v>483</v>
      </c>
      <c r="H228" s="22"/>
      <c r="I228" s="22">
        <v>33</v>
      </c>
    </row>
    <row r="229" spans="1:9" x14ac:dyDescent="0.25">
      <c r="A229" s="22" t="b">
        <v>0</v>
      </c>
      <c r="B229" s="22" t="s">
        <v>122</v>
      </c>
      <c r="C229" s="34">
        <v>46065</v>
      </c>
      <c r="D229" s="22" t="s">
        <v>2829</v>
      </c>
      <c r="E229" s="22">
        <v>802</v>
      </c>
      <c r="F229" s="22" t="s">
        <v>482</v>
      </c>
      <c r="G229" s="22" t="s">
        <v>483</v>
      </c>
      <c r="H229" s="22"/>
      <c r="I229" s="22">
        <v>42</v>
      </c>
    </row>
    <row r="230" spans="1:9" x14ac:dyDescent="0.25">
      <c r="A230" s="22" t="b">
        <v>0</v>
      </c>
      <c r="B230" s="22" t="s">
        <v>124</v>
      </c>
      <c r="C230" s="34">
        <v>46065</v>
      </c>
      <c r="D230" s="22" t="s">
        <v>2954</v>
      </c>
      <c r="E230" s="22">
        <v>51.83</v>
      </c>
      <c r="F230" s="22" t="s">
        <v>482</v>
      </c>
      <c r="G230" s="22" t="s">
        <v>483</v>
      </c>
      <c r="H230" s="22"/>
      <c r="I230" s="22">
        <v>43</v>
      </c>
    </row>
    <row r="231" spans="1:9" x14ac:dyDescent="0.25">
      <c r="A231" s="22" t="b">
        <v>0</v>
      </c>
      <c r="B231" s="22" t="s">
        <v>129</v>
      </c>
      <c r="C231" s="34">
        <v>46065</v>
      </c>
      <c r="D231" s="22" t="s">
        <v>2955</v>
      </c>
      <c r="E231" s="22">
        <v>156</v>
      </c>
      <c r="F231" s="22" t="s">
        <v>482</v>
      </c>
      <c r="G231" s="22" t="s">
        <v>483</v>
      </c>
      <c r="H231" s="22"/>
      <c r="I231" s="22">
        <v>45</v>
      </c>
    </row>
    <row r="232" spans="1:9" x14ac:dyDescent="0.25">
      <c r="A232" s="22" t="b">
        <v>0</v>
      </c>
      <c r="B232" s="22" t="s">
        <v>201</v>
      </c>
      <c r="C232" s="34">
        <v>46058</v>
      </c>
      <c r="D232" s="22" t="s">
        <v>2956</v>
      </c>
      <c r="E232" s="22">
        <v>6434</v>
      </c>
      <c r="F232" s="22" t="s">
        <v>482</v>
      </c>
      <c r="G232" s="22" t="s">
        <v>483</v>
      </c>
      <c r="H232" s="22"/>
      <c r="I232" s="22">
        <v>78</v>
      </c>
    </row>
    <row r="233" spans="1:9" x14ac:dyDescent="0.25">
      <c r="A233" s="22" t="b">
        <v>0</v>
      </c>
      <c r="B233" s="22" t="s">
        <v>249</v>
      </c>
      <c r="C233" s="34">
        <v>46054</v>
      </c>
      <c r="D233" s="22" t="s">
        <v>2812</v>
      </c>
      <c r="E233" s="22">
        <v>755</v>
      </c>
      <c r="F233" s="22" t="s">
        <v>482</v>
      </c>
      <c r="G233" s="22" t="s">
        <v>483</v>
      </c>
      <c r="H233" s="22"/>
      <c r="I233" s="22">
        <v>102</v>
      </c>
    </row>
    <row r="234" spans="1:9" x14ac:dyDescent="0.25">
      <c r="A234" s="22" t="b">
        <v>0</v>
      </c>
      <c r="B234" s="22" t="s">
        <v>263</v>
      </c>
      <c r="C234" s="34">
        <v>46051</v>
      </c>
      <c r="D234" s="22" t="s">
        <v>2957</v>
      </c>
      <c r="E234" s="22">
        <v>215</v>
      </c>
      <c r="F234" s="22" t="s">
        <v>482</v>
      </c>
      <c r="G234" s="22" t="s">
        <v>483</v>
      </c>
      <c r="H234" s="22"/>
      <c r="I234" s="22">
        <v>111</v>
      </c>
    </row>
    <row r="235" spans="1:9" x14ac:dyDescent="0.25">
      <c r="A235" s="22" t="b">
        <v>0</v>
      </c>
      <c r="B235" s="22" t="s">
        <v>271</v>
      </c>
      <c r="C235" s="34">
        <v>46051</v>
      </c>
      <c r="D235" s="22" t="s">
        <v>2958</v>
      </c>
      <c r="E235" s="22">
        <v>566</v>
      </c>
      <c r="F235" s="22" t="s">
        <v>482</v>
      </c>
      <c r="G235" s="22" t="s">
        <v>483</v>
      </c>
      <c r="H235" s="22"/>
      <c r="I235" s="22">
        <v>114</v>
      </c>
    </row>
    <row r="236" spans="1:9" x14ac:dyDescent="0.25">
      <c r="A236" s="22" t="b">
        <v>0</v>
      </c>
      <c r="B236" s="22" t="s">
        <v>277</v>
      </c>
      <c r="C236" s="34">
        <v>46050</v>
      </c>
      <c r="D236" s="22" t="s">
        <v>2959</v>
      </c>
      <c r="E236" s="22">
        <v>150</v>
      </c>
      <c r="F236" s="22" t="s">
        <v>482</v>
      </c>
      <c r="G236" s="22" t="s">
        <v>483</v>
      </c>
      <c r="H236" s="22"/>
      <c r="I236" s="22">
        <v>117</v>
      </c>
    </row>
    <row r="237" spans="1:9" x14ac:dyDescent="0.25">
      <c r="A237" s="22" t="b">
        <v>0</v>
      </c>
      <c r="B237" s="22" t="s">
        <v>301</v>
      </c>
      <c r="C237" s="34">
        <v>46045</v>
      </c>
      <c r="D237" s="22" t="s">
        <v>2960</v>
      </c>
      <c r="E237" s="22">
        <v>640</v>
      </c>
      <c r="F237" s="22" t="s">
        <v>482</v>
      </c>
      <c r="G237" s="22" t="s">
        <v>483</v>
      </c>
      <c r="H237" s="22"/>
      <c r="I237" s="22">
        <v>129</v>
      </c>
    </row>
    <row r="238" spans="1:9" x14ac:dyDescent="0.25">
      <c r="A238" s="22" t="b">
        <v>0</v>
      </c>
      <c r="B238" s="22" t="s">
        <v>307</v>
      </c>
      <c r="C238" s="34">
        <v>46044</v>
      </c>
      <c r="D238" s="22" t="s">
        <v>2839</v>
      </c>
      <c r="E238" s="22">
        <v>529</v>
      </c>
      <c r="F238" s="22" t="s">
        <v>482</v>
      </c>
      <c r="G238" s="22" t="s">
        <v>483</v>
      </c>
      <c r="H238" s="22"/>
      <c r="I238" s="22">
        <v>132</v>
      </c>
    </row>
    <row r="239" spans="1:9" x14ac:dyDescent="0.25">
      <c r="A239" s="22" t="b">
        <v>0</v>
      </c>
      <c r="B239" s="22" t="s">
        <v>310</v>
      </c>
      <c r="C239" s="34">
        <v>46044</v>
      </c>
      <c r="D239" s="22" t="s">
        <v>2839</v>
      </c>
      <c r="E239" s="22">
        <v>768</v>
      </c>
      <c r="F239" s="22" t="s">
        <v>482</v>
      </c>
      <c r="G239" s="22" t="s">
        <v>483</v>
      </c>
      <c r="H239" s="22"/>
      <c r="I239" s="22">
        <v>133</v>
      </c>
    </row>
    <row r="240" spans="1:9" x14ac:dyDescent="0.25">
      <c r="A240" s="22" t="b">
        <v>0</v>
      </c>
      <c r="B240" s="22" t="s">
        <v>311</v>
      </c>
      <c r="C240" s="34">
        <v>46044</v>
      </c>
      <c r="D240" s="22" t="s">
        <v>2829</v>
      </c>
      <c r="E240" s="22">
        <v>622</v>
      </c>
      <c r="F240" s="22" t="s">
        <v>482</v>
      </c>
      <c r="G240" s="22" t="s">
        <v>483</v>
      </c>
      <c r="H240" s="22"/>
      <c r="I240" s="22">
        <v>134</v>
      </c>
    </row>
    <row r="241" spans="1:9" x14ac:dyDescent="0.25">
      <c r="A241" s="22" t="b">
        <v>0</v>
      </c>
      <c r="B241" s="22" t="s">
        <v>327</v>
      </c>
      <c r="C241" s="34">
        <v>46042</v>
      </c>
      <c r="D241" s="22" t="s">
        <v>2961</v>
      </c>
      <c r="E241" s="22">
        <v>175</v>
      </c>
      <c r="F241" s="22" t="s">
        <v>482</v>
      </c>
      <c r="G241" s="22" t="s">
        <v>483</v>
      </c>
      <c r="H241" s="22"/>
      <c r="I241" s="22">
        <v>142</v>
      </c>
    </row>
    <row r="242" spans="1:9" x14ac:dyDescent="0.25">
      <c r="A242" s="22" t="b">
        <v>0</v>
      </c>
      <c r="B242" s="22" t="s">
        <v>341</v>
      </c>
      <c r="C242" s="34">
        <v>46040</v>
      </c>
      <c r="D242" s="22" t="s">
        <v>2962</v>
      </c>
      <c r="E242" s="22">
        <v>35</v>
      </c>
      <c r="F242" s="22" t="s">
        <v>482</v>
      </c>
      <c r="G242" s="22" t="s">
        <v>483</v>
      </c>
      <c r="H242" s="22"/>
      <c r="I242" s="22">
        <v>148</v>
      </c>
    </row>
    <row r="243" spans="1:9" x14ac:dyDescent="0.25">
      <c r="A243" s="22" t="b">
        <v>0</v>
      </c>
      <c r="B243" s="22" t="s">
        <v>344</v>
      </c>
      <c r="C243" s="34">
        <v>46039</v>
      </c>
      <c r="D243" s="22" t="s">
        <v>2963</v>
      </c>
      <c r="E243" s="22">
        <v>145</v>
      </c>
      <c r="F243" s="22" t="s">
        <v>482</v>
      </c>
      <c r="G243" s="22" t="s">
        <v>483</v>
      </c>
      <c r="H243" s="22"/>
      <c r="I243" s="22">
        <v>149</v>
      </c>
    </row>
    <row r="244" spans="1:9" x14ac:dyDescent="0.25">
      <c r="A244" s="22" t="b">
        <v>0</v>
      </c>
      <c r="B244" s="22" t="s">
        <v>378</v>
      </c>
      <c r="C244" s="34">
        <v>46035</v>
      </c>
      <c r="D244" s="22" t="s">
        <v>2964</v>
      </c>
      <c r="E244" s="22">
        <v>416.16</v>
      </c>
      <c r="F244" s="22" t="s">
        <v>482</v>
      </c>
      <c r="G244" s="22" t="s">
        <v>483</v>
      </c>
      <c r="H244" s="22"/>
      <c r="I244" s="22">
        <v>170</v>
      </c>
    </row>
    <row r="245" spans="1:9" x14ac:dyDescent="0.25">
      <c r="A245" s="22" t="b">
        <v>0</v>
      </c>
      <c r="B245" s="22" t="s">
        <v>333</v>
      </c>
      <c r="C245" s="34">
        <v>46042</v>
      </c>
      <c r="D245" s="22" t="s">
        <v>2917</v>
      </c>
      <c r="E245" s="22">
        <v>17000</v>
      </c>
      <c r="F245" s="22" t="s">
        <v>482</v>
      </c>
      <c r="G245" s="22" t="s">
        <v>483</v>
      </c>
      <c r="H245" s="22"/>
    </row>
  </sheetData>
  <autoFilter ref="D1:D919" xr:uid="{00000000-0009-0000-0000-000005000000}"/>
  <dataValidations count="1">
    <dataValidation type="list" allowBlank="1" showErrorMessage="1" sqref="I2:I224 H225:H245" xr:uid="{00000000-0002-0000-05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32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4" max="4" width="47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1</v>
      </c>
      <c r="B2" s="22" t="s">
        <v>2218</v>
      </c>
      <c r="C2" s="34">
        <v>45751</v>
      </c>
      <c r="D2" s="22" t="s">
        <v>2965</v>
      </c>
      <c r="E2" s="22">
        <v>-295.2</v>
      </c>
      <c r="F2" s="28"/>
      <c r="G2" s="22" t="s">
        <v>489</v>
      </c>
      <c r="H2" s="22" t="s">
        <v>483</v>
      </c>
      <c r="I2" s="22"/>
    </row>
    <row r="3" spans="1:11" x14ac:dyDescent="0.25">
      <c r="A3" s="22" t="b">
        <v>0</v>
      </c>
      <c r="B3" s="22" t="s">
        <v>2219</v>
      </c>
      <c r="C3" s="34">
        <v>45751</v>
      </c>
      <c r="D3" s="22" t="s">
        <v>2966</v>
      </c>
      <c r="E3" s="22">
        <v>-170.2</v>
      </c>
      <c r="F3" s="28"/>
      <c r="G3" s="22" t="s">
        <v>489</v>
      </c>
      <c r="H3" s="22" t="s">
        <v>483</v>
      </c>
      <c r="I3" s="22"/>
    </row>
    <row r="4" spans="1:11" x14ac:dyDescent="0.25">
      <c r="A4" s="22" t="b">
        <v>0</v>
      </c>
      <c r="B4" s="22" t="s">
        <v>2215</v>
      </c>
      <c r="C4" s="34">
        <v>45753</v>
      </c>
      <c r="D4" s="22" t="s">
        <v>2967</v>
      </c>
      <c r="E4" s="22">
        <v>-120.2</v>
      </c>
      <c r="F4" s="28"/>
      <c r="G4" s="22" t="s">
        <v>489</v>
      </c>
      <c r="H4" s="22" t="s">
        <v>483</v>
      </c>
      <c r="I4" s="22"/>
    </row>
    <row r="5" spans="1:11" x14ac:dyDescent="0.25">
      <c r="A5" s="22" t="b">
        <v>0</v>
      </c>
      <c r="B5" s="22" t="s">
        <v>2216</v>
      </c>
      <c r="C5" s="34">
        <v>45753</v>
      </c>
      <c r="D5" s="22" t="s">
        <v>2968</v>
      </c>
      <c r="E5" s="22">
        <v>-70</v>
      </c>
      <c r="F5" s="28"/>
      <c r="G5" s="22" t="s">
        <v>489</v>
      </c>
      <c r="H5" s="22" t="s">
        <v>483</v>
      </c>
      <c r="I5" s="22"/>
    </row>
    <row r="6" spans="1:11" x14ac:dyDescent="0.25">
      <c r="A6" s="22" t="b">
        <v>0</v>
      </c>
      <c r="B6" s="22" t="s">
        <v>2217</v>
      </c>
      <c r="C6" s="34">
        <v>45753</v>
      </c>
      <c r="D6" s="22" t="s">
        <v>2969</v>
      </c>
      <c r="E6" s="22">
        <v>-330.2</v>
      </c>
      <c r="F6" s="28"/>
      <c r="G6" s="22" t="s">
        <v>489</v>
      </c>
      <c r="H6" s="22" t="s">
        <v>483</v>
      </c>
      <c r="I6" s="22"/>
    </row>
    <row r="7" spans="1:11" x14ac:dyDescent="0.25">
      <c r="A7" s="22" t="b">
        <v>0</v>
      </c>
      <c r="B7" s="22" t="s">
        <v>2214</v>
      </c>
      <c r="C7" s="34">
        <v>45754</v>
      </c>
      <c r="D7" s="22" t="s">
        <v>2970</v>
      </c>
      <c r="E7" s="22">
        <v>-380.2</v>
      </c>
      <c r="F7" s="28"/>
      <c r="G7" s="22" t="s">
        <v>489</v>
      </c>
      <c r="H7" s="22" t="s">
        <v>483</v>
      </c>
      <c r="I7" s="22"/>
    </row>
    <row r="8" spans="1:11" x14ac:dyDescent="0.25">
      <c r="A8" s="22" t="b">
        <v>0</v>
      </c>
      <c r="B8" s="22" t="s">
        <v>2211</v>
      </c>
      <c r="C8" s="34">
        <v>45755</v>
      </c>
      <c r="D8" s="22" t="s">
        <v>2971</v>
      </c>
      <c r="E8" s="22">
        <v>-580.15</v>
      </c>
      <c r="F8" s="28"/>
      <c r="G8" s="22" t="s">
        <v>489</v>
      </c>
      <c r="H8" s="22" t="s">
        <v>483</v>
      </c>
      <c r="I8" s="22"/>
    </row>
    <row r="9" spans="1:11" x14ac:dyDescent="0.25">
      <c r="A9" s="22" t="b">
        <v>0</v>
      </c>
      <c r="B9" s="22" t="s">
        <v>2212</v>
      </c>
      <c r="C9" s="34">
        <v>45755</v>
      </c>
      <c r="D9" s="22" t="s">
        <v>2972</v>
      </c>
      <c r="E9" s="22">
        <v>-215</v>
      </c>
      <c r="F9" s="28"/>
      <c r="G9" s="22" t="s">
        <v>489</v>
      </c>
      <c r="H9" s="22" t="s">
        <v>483</v>
      </c>
      <c r="I9" s="22"/>
    </row>
    <row r="10" spans="1:11" x14ac:dyDescent="0.25">
      <c r="A10" s="22" t="b">
        <v>0</v>
      </c>
      <c r="B10" s="22" t="s">
        <v>2213</v>
      </c>
      <c r="C10" s="34">
        <v>45755</v>
      </c>
      <c r="D10" s="22" t="s">
        <v>2973</v>
      </c>
      <c r="E10" s="22">
        <v>-342.18</v>
      </c>
      <c r="F10" s="28"/>
      <c r="G10" s="22" t="s">
        <v>489</v>
      </c>
      <c r="H10" s="22" t="s">
        <v>483</v>
      </c>
      <c r="I10" s="22"/>
    </row>
    <row r="11" spans="1:11" x14ac:dyDescent="0.25">
      <c r="A11" s="22" t="b">
        <v>0</v>
      </c>
      <c r="B11" s="22" t="s">
        <v>2209</v>
      </c>
      <c r="C11" s="34">
        <v>45756</v>
      </c>
      <c r="D11" s="22" t="s">
        <v>2974</v>
      </c>
      <c r="E11" s="22">
        <v>-216</v>
      </c>
      <c r="F11" s="28"/>
      <c r="G11" s="22" t="s">
        <v>489</v>
      </c>
      <c r="H11" s="22" t="s">
        <v>483</v>
      </c>
      <c r="I11" s="22"/>
    </row>
    <row r="12" spans="1:11" x14ac:dyDescent="0.25">
      <c r="A12" s="22" t="b">
        <v>0</v>
      </c>
      <c r="B12" s="22" t="s">
        <v>2210</v>
      </c>
      <c r="C12" s="34">
        <v>45756</v>
      </c>
      <c r="D12" s="22" t="s">
        <v>2971</v>
      </c>
      <c r="E12" s="22">
        <v>-270</v>
      </c>
      <c r="F12" s="28"/>
      <c r="G12" s="22" t="s">
        <v>489</v>
      </c>
      <c r="H12" s="22" t="s">
        <v>483</v>
      </c>
      <c r="I12" s="22"/>
    </row>
    <row r="13" spans="1:11" x14ac:dyDescent="0.25">
      <c r="A13" s="22" t="b">
        <v>0</v>
      </c>
      <c r="B13" s="22" t="s">
        <v>2208</v>
      </c>
      <c r="C13" s="34">
        <v>45760</v>
      </c>
      <c r="D13" s="22" t="s">
        <v>2966</v>
      </c>
      <c r="E13" s="22">
        <v>-800</v>
      </c>
      <c r="F13" s="28"/>
      <c r="G13" s="22" t="s">
        <v>489</v>
      </c>
      <c r="H13" s="22" t="s">
        <v>483</v>
      </c>
      <c r="I13" s="22"/>
    </row>
    <row r="14" spans="1:11" x14ac:dyDescent="0.25">
      <c r="A14" s="22" t="b">
        <v>0</v>
      </c>
      <c r="B14" s="22" t="s">
        <v>2207</v>
      </c>
      <c r="C14" s="34">
        <v>45761</v>
      </c>
      <c r="D14" s="22" t="s">
        <v>2975</v>
      </c>
      <c r="E14" s="22">
        <v>-95</v>
      </c>
      <c r="F14" s="28"/>
      <c r="G14" s="22" t="s">
        <v>489</v>
      </c>
      <c r="H14" s="22" t="s">
        <v>483</v>
      </c>
      <c r="I14" s="22"/>
    </row>
    <row r="15" spans="1:11" x14ac:dyDescent="0.25">
      <c r="A15" s="22" t="b">
        <v>0</v>
      </c>
      <c r="B15" s="22" t="s">
        <v>2205</v>
      </c>
      <c r="C15" s="34">
        <v>45762</v>
      </c>
      <c r="D15" s="22" t="s">
        <v>2976</v>
      </c>
      <c r="E15" s="22">
        <v>-2000.2</v>
      </c>
      <c r="F15" s="28"/>
      <c r="G15" s="22" t="s">
        <v>489</v>
      </c>
      <c r="H15" s="22" t="s">
        <v>483</v>
      </c>
      <c r="I15" s="22"/>
    </row>
    <row r="16" spans="1:11" x14ac:dyDescent="0.25">
      <c r="A16" s="22" t="b">
        <v>0</v>
      </c>
      <c r="B16" s="22" t="s">
        <v>2206</v>
      </c>
      <c r="C16" s="34">
        <v>45762</v>
      </c>
      <c r="D16" s="22" t="s">
        <v>2977</v>
      </c>
      <c r="E16" s="22">
        <v>-90</v>
      </c>
      <c r="F16" s="28"/>
      <c r="G16" s="22" t="s">
        <v>489</v>
      </c>
      <c r="H16" s="22" t="s">
        <v>483</v>
      </c>
      <c r="I16" s="22"/>
    </row>
    <row r="17" spans="1:9" x14ac:dyDescent="0.25">
      <c r="A17" s="22" t="b">
        <v>0</v>
      </c>
      <c r="B17" s="22" t="s">
        <v>2204</v>
      </c>
      <c r="C17" s="34">
        <v>45763</v>
      </c>
      <c r="D17" s="22" t="s">
        <v>2978</v>
      </c>
      <c r="E17" s="22">
        <v>-66.2</v>
      </c>
      <c r="F17" s="28"/>
      <c r="G17" s="22" t="s">
        <v>489</v>
      </c>
      <c r="H17" s="22" t="s">
        <v>483</v>
      </c>
      <c r="I17" s="22"/>
    </row>
    <row r="18" spans="1:9" x14ac:dyDescent="0.25">
      <c r="A18" s="22" t="b">
        <v>0</v>
      </c>
      <c r="B18" s="22" t="s">
        <v>2202</v>
      </c>
      <c r="C18" s="34">
        <v>45765</v>
      </c>
      <c r="D18" s="22" t="s">
        <v>2979</v>
      </c>
      <c r="E18" s="22">
        <v>-1892.85</v>
      </c>
      <c r="F18" s="28"/>
      <c r="G18" s="22" t="s">
        <v>489</v>
      </c>
      <c r="H18" s="22" t="s">
        <v>483</v>
      </c>
      <c r="I18" s="22"/>
    </row>
    <row r="19" spans="1:9" x14ac:dyDescent="0.25">
      <c r="A19" s="22" t="b">
        <v>0</v>
      </c>
      <c r="B19" s="22" t="s">
        <v>2203</v>
      </c>
      <c r="C19" s="34">
        <v>45765</v>
      </c>
      <c r="D19" s="22" t="s">
        <v>2977</v>
      </c>
      <c r="E19" s="22">
        <v>-72.7</v>
      </c>
      <c r="F19" s="28"/>
      <c r="G19" s="22" t="s">
        <v>489</v>
      </c>
      <c r="H19" s="22" t="s">
        <v>483</v>
      </c>
      <c r="I19" s="22"/>
    </row>
    <row r="20" spans="1:9" x14ac:dyDescent="0.25">
      <c r="A20" s="22" t="b">
        <v>0</v>
      </c>
      <c r="B20" s="22" t="s">
        <v>2201</v>
      </c>
      <c r="C20" s="34">
        <v>45769</v>
      </c>
      <c r="D20" s="22" t="s">
        <v>2980</v>
      </c>
      <c r="E20" s="22">
        <v>-80.2</v>
      </c>
      <c r="F20" s="28"/>
      <c r="G20" s="22" t="s">
        <v>489</v>
      </c>
      <c r="H20" s="22" t="s">
        <v>483</v>
      </c>
      <c r="I20" s="22"/>
    </row>
    <row r="21" spans="1:9" x14ac:dyDescent="0.25">
      <c r="A21" s="22" t="b">
        <v>0</v>
      </c>
      <c r="B21" s="22" t="s">
        <v>2200</v>
      </c>
      <c r="C21" s="34">
        <v>45770</v>
      </c>
      <c r="D21" s="22" t="s">
        <v>2981</v>
      </c>
      <c r="E21" s="22">
        <v>-410.2</v>
      </c>
      <c r="F21" s="28"/>
      <c r="G21" s="22" t="s">
        <v>489</v>
      </c>
      <c r="H21" s="22" t="s">
        <v>483</v>
      </c>
      <c r="I21" s="22"/>
    </row>
    <row r="22" spans="1:9" x14ac:dyDescent="0.25">
      <c r="A22" s="22" t="b">
        <v>0</v>
      </c>
      <c r="B22" s="22" t="s">
        <v>2199</v>
      </c>
      <c r="C22" s="34">
        <v>45774</v>
      </c>
      <c r="D22" s="22" t="s">
        <v>2982</v>
      </c>
      <c r="E22" s="22">
        <v>-150.19999999999999</v>
      </c>
      <c r="F22" s="28"/>
      <c r="G22" s="22" t="s">
        <v>489</v>
      </c>
      <c r="H22" s="22" t="s">
        <v>483</v>
      </c>
      <c r="I22" s="22"/>
    </row>
    <row r="23" spans="1:9" x14ac:dyDescent="0.25">
      <c r="A23" s="22" t="b">
        <v>0</v>
      </c>
      <c r="B23" s="22" t="s">
        <v>2198</v>
      </c>
      <c r="C23" s="34">
        <v>45776</v>
      </c>
      <c r="D23" s="22" t="s">
        <v>2983</v>
      </c>
      <c r="E23" s="22">
        <v>-60</v>
      </c>
      <c r="F23" s="28"/>
      <c r="G23" s="22" t="s">
        <v>489</v>
      </c>
      <c r="H23" s="22" t="s">
        <v>483</v>
      </c>
      <c r="I23" s="22"/>
    </row>
    <row r="24" spans="1:9" x14ac:dyDescent="0.25">
      <c r="A24" s="22" t="b">
        <v>0</v>
      </c>
      <c r="B24" s="22" t="s">
        <v>2195</v>
      </c>
      <c r="C24" s="34">
        <v>45780</v>
      </c>
      <c r="D24" s="22" t="s">
        <v>2968</v>
      </c>
      <c r="E24" s="22">
        <v>-27.5</v>
      </c>
      <c r="F24" s="28"/>
      <c r="G24" s="22" t="s">
        <v>489</v>
      </c>
      <c r="H24" s="22" t="s">
        <v>483</v>
      </c>
      <c r="I24" s="22"/>
    </row>
    <row r="25" spans="1:9" x14ac:dyDescent="0.25">
      <c r="A25" s="22" t="b">
        <v>0</v>
      </c>
      <c r="B25" s="22" t="s">
        <v>2196</v>
      </c>
      <c r="C25" s="34">
        <v>45780</v>
      </c>
      <c r="D25" s="22" t="s">
        <v>2984</v>
      </c>
      <c r="E25" s="22">
        <v>-85.2</v>
      </c>
      <c r="F25" s="28"/>
      <c r="G25" s="22" t="s">
        <v>489</v>
      </c>
      <c r="H25" s="22" t="s">
        <v>483</v>
      </c>
      <c r="I25" s="22"/>
    </row>
    <row r="26" spans="1:9" x14ac:dyDescent="0.25">
      <c r="A26" s="22" t="b">
        <v>0</v>
      </c>
      <c r="B26" s="22" t="s">
        <v>2197</v>
      </c>
      <c r="C26" s="34">
        <v>45780</v>
      </c>
      <c r="D26" s="22" t="s">
        <v>2985</v>
      </c>
      <c r="E26" s="22">
        <v>-150.19999999999999</v>
      </c>
      <c r="F26" s="28"/>
      <c r="G26" s="22" t="s">
        <v>489</v>
      </c>
      <c r="H26" s="22" t="s">
        <v>483</v>
      </c>
      <c r="I26" s="22"/>
    </row>
    <row r="27" spans="1:9" x14ac:dyDescent="0.25">
      <c r="A27" s="22" t="b">
        <v>0</v>
      </c>
      <c r="B27" s="22" t="s">
        <v>2362</v>
      </c>
      <c r="C27" s="34">
        <v>45780</v>
      </c>
      <c r="D27" s="22" t="s">
        <v>2986</v>
      </c>
      <c r="E27" s="22">
        <v>-90</v>
      </c>
      <c r="F27" s="28"/>
      <c r="G27" s="22" t="s">
        <v>489</v>
      </c>
      <c r="H27" s="22" t="s">
        <v>483</v>
      </c>
      <c r="I27" s="22"/>
    </row>
    <row r="28" spans="1:9" x14ac:dyDescent="0.25">
      <c r="A28" s="22" t="b">
        <v>0</v>
      </c>
      <c r="B28" s="22" t="s">
        <v>2194</v>
      </c>
      <c r="C28" s="34">
        <v>45783</v>
      </c>
      <c r="D28" s="22" t="s">
        <v>2987</v>
      </c>
      <c r="E28" s="22">
        <v>-90.2</v>
      </c>
      <c r="F28" s="28"/>
      <c r="G28" s="22" t="s">
        <v>489</v>
      </c>
      <c r="H28" s="22" t="s">
        <v>483</v>
      </c>
      <c r="I28" s="22"/>
    </row>
    <row r="29" spans="1:9" x14ac:dyDescent="0.25">
      <c r="A29" s="22" t="b">
        <v>0</v>
      </c>
      <c r="B29" s="22" t="s">
        <v>2193</v>
      </c>
      <c r="C29" s="34">
        <v>45787</v>
      </c>
      <c r="D29" s="22" t="s">
        <v>2988</v>
      </c>
      <c r="E29" s="22">
        <v>-227</v>
      </c>
      <c r="F29" s="28"/>
      <c r="G29" s="22" t="s">
        <v>489</v>
      </c>
      <c r="H29" s="22" t="s">
        <v>483</v>
      </c>
      <c r="I29" s="22"/>
    </row>
    <row r="30" spans="1:9" x14ac:dyDescent="0.25">
      <c r="A30" s="22" t="b">
        <v>0</v>
      </c>
      <c r="B30" s="22" t="s">
        <v>2124</v>
      </c>
      <c r="C30" s="34">
        <v>45792</v>
      </c>
      <c r="D30" s="22" t="s">
        <v>2989</v>
      </c>
      <c r="E30" s="22">
        <v>-87.41</v>
      </c>
      <c r="F30" s="28"/>
      <c r="G30" s="22" t="s">
        <v>489</v>
      </c>
      <c r="H30" s="22" t="s">
        <v>483</v>
      </c>
      <c r="I30" s="22"/>
    </row>
    <row r="31" spans="1:9" x14ac:dyDescent="0.25">
      <c r="A31" s="22" t="b">
        <v>0</v>
      </c>
      <c r="B31" s="22" t="s">
        <v>2121</v>
      </c>
      <c r="C31" s="34">
        <v>45793</v>
      </c>
      <c r="D31" s="22" t="s">
        <v>2990</v>
      </c>
      <c r="E31" s="22">
        <v>-16</v>
      </c>
      <c r="F31" s="28"/>
      <c r="G31" s="22" t="s">
        <v>489</v>
      </c>
      <c r="H31" s="22" t="s">
        <v>483</v>
      </c>
      <c r="I31" s="22"/>
    </row>
    <row r="32" spans="1:9" x14ac:dyDescent="0.25">
      <c r="A32" s="22" t="b">
        <v>0</v>
      </c>
      <c r="B32" s="22" t="s">
        <v>2122</v>
      </c>
      <c r="C32" s="34">
        <v>45793</v>
      </c>
      <c r="D32" s="22" t="s">
        <v>2991</v>
      </c>
      <c r="E32" s="22">
        <v>-93.5</v>
      </c>
      <c r="F32" s="28"/>
      <c r="G32" s="22" t="s">
        <v>489</v>
      </c>
      <c r="H32" s="22" t="s">
        <v>483</v>
      </c>
      <c r="I32" s="22"/>
    </row>
    <row r="33" spans="1:9" x14ac:dyDescent="0.25">
      <c r="A33" s="22" t="b">
        <v>0</v>
      </c>
      <c r="B33" s="22" t="s">
        <v>2123</v>
      </c>
      <c r="C33" s="34">
        <v>45793</v>
      </c>
      <c r="D33" s="22" t="s">
        <v>2988</v>
      </c>
      <c r="E33" s="22">
        <v>-117.5</v>
      </c>
      <c r="F33" s="28"/>
      <c r="G33" s="22" t="s">
        <v>489</v>
      </c>
      <c r="H33" s="22" t="s">
        <v>483</v>
      </c>
      <c r="I33" s="22"/>
    </row>
    <row r="34" spans="1:9" x14ac:dyDescent="0.25">
      <c r="A34" s="22" t="b">
        <v>0</v>
      </c>
      <c r="B34" s="22" t="s">
        <v>2120</v>
      </c>
      <c r="C34" s="34">
        <v>45795</v>
      </c>
      <c r="D34" s="22" t="s">
        <v>2992</v>
      </c>
      <c r="E34" s="22">
        <v>-171.2</v>
      </c>
      <c r="F34" s="28"/>
      <c r="G34" s="22" t="s">
        <v>489</v>
      </c>
      <c r="H34" s="22" t="s">
        <v>483</v>
      </c>
      <c r="I34" s="22"/>
    </row>
    <row r="35" spans="1:9" x14ac:dyDescent="0.25">
      <c r="A35" s="22" t="b">
        <v>0</v>
      </c>
      <c r="B35" s="22" t="s">
        <v>2119</v>
      </c>
      <c r="C35" s="34">
        <v>45799</v>
      </c>
      <c r="D35" s="22" t="s">
        <v>2993</v>
      </c>
      <c r="E35" s="22">
        <v>-56</v>
      </c>
      <c r="F35" s="28"/>
      <c r="G35" s="22" t="s">
        <v>489</v>
      </c>
      <c r="H35" s="22" t="s">
        <v>483</v>
      </c>
      <c r="I35" s="22"/>
    </row>
    <row r="36" spans="1:9" x14ac:dyDescent="0.25">
      <c r="A36" s="22" t="b">
        <v>0</v>
      </c>
      <c r="B36" s="22" t="s">
        <v>2118</v>
      </c>
      <c r="C36" s="34">
        <v>45802</v>
      </c>
      <c r="D36" s="22" t="s">
        <v>2994</v>
      </c>
      <c r="E36" s="22">
        <v>-150.19999999999999</v>
      </c>
      <c r="F36" s="28"/>
      <c r="G36" s="22" t="s">
        <v>489</v>
      </c>
      <c r="H36" s="22" t="s">
        <v>483</v>
      </c>
      <c r="I36" s="22"/>
    </row>
    <row r="37" spans="1:9" x14ac:dyDescent="0.25">
      <c r="A37" s="22" t="b">
        <v>0</v>
      </c>
      <c r="B37" s="22" t="s">
        <v>2117</v>
      </c>
      <c r="C37" s="34">
        <v>45803</v>
      </c>
      <c r="D37" s="22" t="s">
        <v>2995</v>
      </c>
      <c r="E37" s="22">
        <v>-168.2</v>
      </c>
      <c r="F37" s="28"/>
      <c r="G37" s="22" t="s">
        <v>489</v>
      </c>
      <c r="H37" s="22" t="s">
        <v>483</v>
      </c>
      <c r="I37" s="22"/>
    </row>
    <row r="38" spans="1:9" x14ac:dyDescent="0.25">
      <c r="A38" s="22" t="b">
        <v>0</v>
      </c>
      <c r="B38" s="22" t="s">
        <v>2111</v>
      </c>
      <c r="C38" s="34">
        <v>45804</v>
      </c>
      <c r="D38" s="22" t="s">
        <v>2996</v>
      </c>
      <c r="E38" s="22">
        <v>-263.5</v>
      </c>
      <c r="F38" s="28"/>
      <c r="G38" s="22" t="s">
        <v>489</v>
      </c>
      <c r="H38" s="22" t="s">
        <v>483</v>
      </c>
      <c r="I38" s="22"/>
    </row>
    <row r="39" spans="1:9" x14ac:dyDescent="0.25">
      <c r="A39" s="22" t="b">
        <v>0</v>
      </c>
      <c r="B39" s="22" t="s">
        <v>2112</v>
      </c>
      <c r="C39" s="34">
        <v>45804</v>
      </c>
      <c r="D39" s="22" t="s">
        <v>2997</v>
      </c>
      <c r="E39" s="22">
        <v>-7.2</v>
      </c>
      <c r="F39" s="28"/>
      <c r="G39" s="22" t="s">
        <v>489</v>
      </c>
      <c r="H39" s="22" t="s">
        <v>483</v>
      </c>
      <c r="I39" s="22"/>
    </row>
    <row r="40" spans="1:9" x14ac:dyDescent="0.25">
      <c r="A40" s="22" t="b">
        <v>0</v>
      </c>
      <c r="B40" s="22" t="s">
        <v>2113</v>
      </c>
      <c r="C40" s="34">
        <v>45804</v>
      </c>
      <c r="D40" s="22" t="s">
        <v>2997</v>
      </c>
      <c r="E40" s="22">
        <v>-131.69999999999999</v>
      </c>
      <c r="F40" s="28"/>
      <c r="G40" s="22" t="s">
        <v>489</v>
      </c>
      <c r="H40" s="22" t="s">
        <v>483</v>
      </c>
      <c r="I40" s="22"/>
    </row>
    <row r="41" spans="1:9" x14ac:dyDescent="0.25">
      <c r="A41" s="22" t="b">
        <v>0</v>
      </c>
      <c r="B41" s="22" t="s">
        <v>2114</v>
      </c>
      <c r="C41" s="34">
        <v>45804</v>
      </c>
      <c r="D41" s="22" t="s">
        <v>2998</v>
      </c>
      <c r="E41" s="22">
        <v>-277.2</v>
      </c>
      <c r="F41" s="28"/>
      <c r="G41" s="22" t="s">
        <v>489</v>
      </c>
      <c r="H41" s="22" t="s">
        <v>483</v>
      </c>
      <c r="I41" s="22"/>
    </row>
    <row r="42" spans="1:9" x14ac:dyDescent="0.25">
      <c r="A42" s="22" t="b">
        <v>0</v>
      </c>
      <c r="B42" s="22" t="s">
        <v>2115</v>
      </c>
      <c r="C42" s="34">
        <v>45804</v>
      </c>
      <c r="D42" s="22" t="s">
        <v>2999</v>
      </c>
      <c r="E42" s="22">
        <v>-138.69999999999999</v>
      </c>
      <c r="F42" s="28"/>
      <c r="G42" s="22" t="s">
        <v>489</v>
      </c>
      <c r="H42" s="22" t="s">
        <v>483</v>
      </c>
      <c r="I42" s="22"/>
    </row>
    <row r="43" spans="1:9" x14ac:dyDescent="0.25">
      <c r="A43" s="22" t="b">
        <v>0</v>
      </c>
      <c r="B43" s="22" t="s">
        <v>2109</v>
      </c>
      <c r="C43" s="34">
        <v>45805</v>
      </c>
      <c r="D43" s="22" t="s">
        <v>3000</v>
      </c>
      <c r="E43" s="22">
        <v>-240.2</v>
      </c>
      <c r="F43" s="28"/>
      <c r="G43" s="22" t="s">
        <v>489</v>
      </c>
      <c r="H43" s="22" t="s">
        <v>483</v>
      </c>
      <c r="I43" s="22"/>
    </row>
    <row r="44" spans="1:9" x14ac:dyDescent="0.25">
      <c r="A44" s="22" t="b">
        <v>0</v>
      </c>
      <c r="B44" s="22" t="s">
        <v>2110</v>
      </c>
      <c r="C44" s="34">
        <v>45805</v>
      </c>
      <c r="D44" s="22" t="s">
        <v>3001</v>
      </c>
      <c r="E44" s="22">
        <v>-602.70000000000005</v>
      </c>
      <c r="F44" s="28"/>
      <c r="G44" s="22" t="s">
        <v>489</v>
      </c>
      <c r="H44" s="22" t="s">
        <v>483</v>
      </c>
      <c r="I44" s="22"/>
    </row>
    <row r="45" spans="1:9" x14ac:dyDescent="0.25">
      <c r="A45" s="22" t="b">
        <v>0</v>
      </c>
      <c r="B45" s="22" t="s">
        <v>2108</v>
      </c>
      <c r="C45" s="34">
        <v>45806</v>
      </c>
      <c r="D45" s="22" t="s">
        <v>2992</v>
      </c>
      <c r="E45" s="22">
        <v>-90.2</v>
      </c>
      <c r="F45" s="28"/>
      <c r="G45" s="22" t="s">
        <v>489</v>
      </c>
      <c r="H45" s="22" t="s">
        <v>483</v>
      </c>
      <c r="I45" s="22"/>
    </row>
    <row r="46" spans="1:9" x14ac:dyDescent="0.25">
      <c r="A46" s="22" t="b">
        <v>0</v>
      </c>
      <c r="B46" s="22" t="s">
        <v>2105</v>
      </c>
      <c r="C46" s="34">
        <v>45809</v>
      </c>
      <c r="D46" s="22" t="s">
        <v>3002</v>
      </c>
      <c r="E46" s="22">
        <v>-95.2</v>
      </c>
      <c r="F46" s="28"/>
      <c r="G46" s="22" t="s">
        <v>489</v>
      </c>
      <c r="H46" s="22" t="s">
        <v>483</v>
      </c>
      <c r="I46" s="22"/>
    </row>
    <row r="47" spans="1:9" x14ac:dyDescent="0.25">
      <c r="A47" s="22" t="b">
        <v>0</v>
      </c>
      <c r="B47" s="22" t="s">
        <v>2103</v>
      </c>
      <c r="C47" s="34">
        <v>45810</v>
      </c>
      <c r="D47" s="22" t="s">
        <v>3003</v>
      </c>
      <c r="E47" s="22">
        <v>-180.2</v>
      </c>
      <c r="F47" s="28"/>
      <c r="G47" s="22" t="s">
        <v>489</v>
      </c>
      <c r="H47" s="22" t="s">
        <v>483</v>
      </c>
      <c r="I47" s="22"/>
    </row>
    <row r="48" spans="1:9" x14ac:dyDescent="0.25">
      <c r="A48" s="22" t="b">
        <v>0</v>
      </c>
      <c r="B48" s="22" t="s">
        <v>2104</v>
      </c>
      <c r="C48" s="34">
        <v>45810</v>
      </c>
      <c r="D48" s="22" t="s">
        <v>3004</v>
      </c>
      <c r="E48" s="22">
        <v>-181.2</v>
      </c>
      <c r="F48" s="28"/>
      <c r="G48" s="22" t="s">
        <v>489</v>
      </c>
      <c r="H48" s="22" t="s">
        <v>483</v>
      </c>
      <c r="I48" s="22"/>
    </row>
    <row r="49" spans="1:9" x14ac:dyDescent="0.25">
      <c r="A49" s="22" t="b">
        <v>0</v>
      </c>
      <c r="B49" s="22" t="s">
        <v>2102</v>
      </c>
      <c r="C49" s="34">
        <v>45813</v>
      </c>
      <c r="D49" s="22" t="s">
        <v>3005</v>
      </c>
      <c r="E49" s="22">
        <v>-440.2</v>
      </c>
      <c r="F49" s="28"/>
      <c r="G49" s="22" t="s">
        <v>489</v>
      </c>
      <c r="H49" s="22" t="s">
        <v>483</v>
      </c>
      <c r="I49" s="22"/>
    </row>
    <row r="50" spans="1:9" x14ac:dyDescent="0.25">
      <c r="A50" s="22" t="b">
        <v>0</v>
      </c>
      <c r="B50" s="22" t="s">
        <v>2192</v>
      </c>
      <c r="C50" s="34">
        <v>45815</v>
      </c>
      <c r="D50" s="22" t="s">
        <v>3006</v>
      </c>
      <c r="E50" s="22">
        <v>-90.2</v>
      </c>
      <c r="F50" s="28"/>
      <c r="G50" s="22" t="s">
        <v>489</v>
      </c>
      <c r="H50" s="22" t="s">
        <v>483</v>
      </c>
      <c r="I50" s="22"/>
    </row>
    <row r="51" spans="1:9" x14ac:dyDescent="0.25">
      <c r="A51" s="22" t="b">
        <v>0</v>
      </c>
      <c r="B51" s="22" t="s">
        <v>2149</v>
      </c>
      <c r="C51" s="34">
        <v>45816</v>
      </c>
      <c r="D51" s="22" t="s">
        <v>3007</v>
      </c>
      <c r="E51" s="22">
        <v>-447.5</v>
      </c>
      <c r="F51" s="28"/>
      <c r="G51" s="22" t="s">
        <v>489</v>
      </c>
      <c r="H51" s="22" t="s">
        <v>483</v>
      </c>
      <c r="I51" s="22"/>
    </row>
    <row r="52" spans="1:9" x14ac:dyDescent="0.25">
      <c r="A52" s="22" t="b">
        <v>0</v>
      </c>
      <c r="B52" s="22" t="s">
        <v>2147</v>
      </c>
      <c r="C52" s="34">
        <v>45817</v>
      </c>
      <c r="D52" s="22" t="s">
        <v>3008</v>
      </c>
      <c r="E52" s="22">
        <v>-150</v>
      </c>
      <c r="F52" s="28"/>
      <c r="G52" s="22" t="s">
        <v>489</v>
      </c>
      <c r="H52" s="22" t="s">
        <v>483</v>
      </c>
      <c r="I52" s="22"/>
    </row>
    <row r="53" spans="1:9" x14ac:dyDescent="0.25">
      <c r="A53" s="22" t="b">
        <v>0</v>
      </c>
      <c r="B53" s="22" t="s">
        <v>2148</v>
      </c>
      <c r="C53" s="34">
        <v>45817</v>
      </c>
      <c r="D53" s="22" t="s">
        <v>3009</v>
      </c>
      <c r="E53" s="22">
        <v>-550</v>
      </c>
      <c r="F53" s="28"/>
      <c r="G53" s="22" t="s">
        <v>489</v>
      </c>
      <c r="H53" s="22" t="s">
        <v>483</v>
      </c>
      <c r="I53" s="22"/>
    </row>
    <row r="54" spans="1:9" x14ac:dyDescent="0.25">
      <c r="A54" s="22" t="b">
        <v>0</v>
      </c>
      <c r="B54" s="22" t="s">
        <v>2146</v>
      </c>
      <c r="C54" s="34">
        <v>45818</v>
      </c>
      <c r="D54" s="22" t="s">
        <v>3010</v>
      </c>
      <c r="E54" s="22">
        <v>-55</v>
      </c>
      <c r="F54" s="28"/>
      <c r="G54" s="22" t="s">
        <v>489</v>
      </c>
      <c r="H54" s="22" t="s">
        <v>483</v>
      </c>
      <c r="I54" s="22"/>
    </row>
    <row r="55" spans="1:9" x14ac:dyDescent="0.25">
      <c r="A55" s="22" t="b">
        <v>0</v>
      </c>
      <c r="B55" s="22" t="s">
        <v>2144</v>
      </c>
      <c r="C55" s="34">
        <v>45822</v>
      </c>
      <c r="D55" s="22" t="s">
        <v>3011</v>
      </c>
      <c r="E55" s="22">
        <v>-210</v>
      </c>
      <c r="F55" s="28"/>
      <c r="G55" s="22" t="s">
        <v>489</v>
      </c>
      <c r="H55" s="22" t="s">
        <v>483</v>
      </c>
      <c r="I55" s="22"/>
    </row>
    <row r="56" spans="1:9" x14ac:dyDescent="0.25">
      <c r="A56" s="22" t="b">
        <v>0</v>
      </c>
      <c r="B56" s="22" t="s">
        <v>2145</v>
      </c>
      <c r="C56" s="34">
        <v>45822</v>
      </c>
      <c r="D56" s="22" t="s">
        <v>3012</v>
      </c>
      <c r="E56" s="22">
        <v>-60</v>
      </c>
      <c r="F56" s="28"/>
      <c r="G56" s="22" t="s">
        <v>489</v>
      </c>
      <c r="H56" s="22" t="s">
        <v>483</v>
      </c>
      <c r="I56" s="22"/>
    </row>
    <row r="57" spans="1:9" x14ac:dyDescent="0.25">
      <c r="A57" s="22" t="b">
        <v>0</v>
      </c>
      <c r="B57" s="22" t="s">
        <v>2142</v>
      </c>
      <c r="C57" s="34">
        <v>45824</v>
      </c>
      <c r="D57" s="22" t="s">
        <v>3013</v>
      </c>
      <c r="E57" s="22">
        <v>-75</v>
      </c>
      <c r="F57" s="28"/>
      <c r="G57" s="22" t="s">
        <v>489</v>
      </c>
      <c r="H57" s="22" t="s">
        <v>483</v>
      </c>
      <c r="I57" s="22"/>
    </row>
    <row r="58" spans="1:9" x14ac:dyDescent="0.25">
      <c r="A58" s="22" t="b">
        <v>0</v>
      </c>
      <c r="B58" s="22" t="s">
        <v>2143</v>
      </c>
      <c r="C58" s="34">
        <v>45824</v>
      </c>
      <c r="D58" s="22" t="s">
        <v>3014</v>
      </c>
      <c r="E58" s="22">
        <v>-225</v>
      </c>
      <c r="F58" s="28"/>
      <c r="G58" s="22" t="s">
        <v>489</v>
      </c>
      <c r="H58" s="22" t="s">
        <v>483</v>
      </c>
      <c r="I58" s="22"/>
    </row>
    <row r="59" spans="1:9" x14ac:dyDescent="0.25">
      <c r="A59" s="22" t="b">
        <v>0</v>
      </c>
      <c r="B59" s="22" t="s">
        <v>2141</v>
      </c>
      <c r="C59" s="34">
        <v>45825</v>
      </c>
      <c r="D59" s="22" t="s">
        <v>3015</v>
      </c>
      <c r="E59" s="22">
        <v>-135</v>
      </c>
      <c r="F59" s="28"/>
      <c r="G59" s="22" t="s">
        <v>489</v>
      </c>
      <c r="H59" s="22" t="s">
        <v>483</v>
      </c>
      <c r="I59" s="22"/>
    </row>
    <row r="60" spans="1:9" x14ac:dyDescent="0.25">
      <c r="A60" s="22" t="b">
        <v>0</v>
      </c>
      <c r="B60" s="22" t="s">
        <v>2191</v>
      </c>
      <c r="C60" s="34">
        <v>45825</v>
      </c>
      <c r="D60" s="22" t="s">
        <v>3016</v>
      </c>
      <c r="E60" s="22">
        <v>-380</v>
      </c>
      <c r="F60" s="28"/>
      <c r="G60" s="22" t="s">
        <v>489</v>
      </c>
      <c r="H60" s="22" t="s">
        <v>483</v>
      </c>
      <c r="I60" s="22"/>
    </row>
    <row r="61" spans="1:9" x14ac:dyDescent="0.25">
      <c r="A61" s="22" t="b">
        <v>0</v>
      </c>
      <c r="B61" s="22" t="s">
        <v>2140</v>
      </c>
      <c r="C61" s="34">
        <v>45826</v>
      </c>
      <c r="D61" s="22" t="s">
        <v>3017</v>
      </c>
      <c r="E61" s="22">
        <v>-345.2</v>
      </c>
      <c r="F61" s="28"/>
      <c r="G61" s="22" t="s">
        <v>489</v>
      </c>
      <c r="H61" s="22" t="s">
        <v>483</v>
      </c>
      <c r="I61" s="22"/>
    </row>
    <row r="62" spans="1:9" x14ac:dyDescent="0.25">
      <c r="A62" s="22" t="b">
        <v>0</v>
      </c>
      <c r="B62" s="22" t="s">
        <v>2189</v>
      </c>
      <c r="C62" s="34">
        <v>45827</v>
      </c>
      <c r="D62" s="22" t="s">
        <v>3018</v>
      </c>
      <c r="E62" s="22">
        <v>-83.7</v>
      </c>
      <c r="F62" s="28"/>
      <c r="G62" s="22" t="s">
        <v>489</v>
      </c>
      <c r="H62" s="22" t="s">
        <v>483</v>
      </c>
      <c r="I62" s="22"/>
    </row>
    <row r="63" spans="1:9" x14ac:dyDescent="0.25">
      <c r="A63" s="22" t="b">
        <v>0</v>
      </c>
      <c r="B63" s="22" t="s">
        <v>2190</v>
      </c>
      <c r="C63" s="34">
        <v>45827</v>
      </c>
      <c r="D63" s="22" t="s">
        <v>3019</v>
      </c>
      <c r="E63" s="22">
        <v>-487.2</v>
      </c>
      <c r="F63" s="28"/>
      <c r="G63" s="22" t="s">
        <v>489</v>
      </c>
      <c r="H63" s="22" t="s">
        <v>483</v>
      </c>
      <c r="I63" s="22"/>
    </row>
    <row r="64" spans="1:9" x14ac:dyDescent="0.25">
      <c r="A64" s="22" t="b">
        <v>0</v>
      </c>
      <c r="B64" s="22" t="s">
        <v>2098</v>
      </c>
      <c r="C64" s="34">
        <v>45828</v>
      </c>
      <c r="D64" s="22" t="s">
        <v>3020</v>
      </c>
      <c r="E64" s="22">
        <v>-40.200000000000003</v>
      </c>
      <c r="F64" s="28"/>
      <c r="G64" s="22" t="s">
        <v>489</v>
      </c>
      <c r="H64" s="22" t="s">
        <v>483</v>
      </c>
      <c r="I64" s="22"/>
    </row>
    <row r="65" spans="1:9" x14ac:dyDescent="0.25">
      <c r="A65" s="22" t="b">
        <v>0</v>
      </c>
      <c r="B65" s="22" t="s">
        <v>2099</v>
      </c>
      <c r="C65" s="34">
        <v>45828</v>
      </c>
      <c r="D65" s="22" t="s">
        <v>3021</v>
      </c>
      <c r="E65" s="22">
        <v>-73.7</v>
      </c>
      <c r="F65" s="28"/>
      <c r="G65" s="22" t="s">
        <v>489</v>
      </c>
      <c r="H65" s="22" t="s">
        <v>483</v>
      </c>
      <c r="I65" s="22"/>
    </row>
    <row r="66" spans="1:9" x14ac:dyDescent="0.25">
      <c r="A66" s="22" t="b">
        <v>0</v>
      </c>
      <c r="B66" s="22" t="s">
        <v>2100</v>
      </c>
      <c r="C66" s="34">
        <v>45828</v>
      </c>
      <c r="D66" s="22" t="s">
        <v>3022</v>
      </c>
      <c r="E66" s="22">
        <v>-100.2</v>
      </c>
      <c r="F66" s="28"/>
      <c r="G66" s="22" t="s">
        <v>489</v>
      </c>
      <c r="H66" s="22" t="s">
        <v>483</v>
      </c>
      <c r="I66" s="22"/>
    </row>
    <row r="67" spans="1:9" x14ac:dyDescent="0.25">
      <c r="A67" s="22" t="b">
        <v>0</v>
      </c>
      <c r="B67" s="22" t="s">
        <v>2094</v>
      </c>
      <c r="C67" s="34">
        <v>45829</v>
      </c>
      <c r="D67" s="22" t="s">
        <v>3023</v>
      </c>
      <c r="E67" s="22">
        <v>-125.2</v>
      </c>
      <c r="F67" s="28"/>
      <c r="G67" s="22" t="s">
        <v>489</v>
      </c>
      <c r="H67" s="22" t="s">
        <v>483</v>
      </c>
      <c r="I67" s="22"/>
    </row>
    <row r="68" spans="1:9" x14ac:dyDescent="0.25">
      <c r="A68" s="22" t="b">
        <v>0</v>
      </c>
      <c r="B68" s="22" t="s">
        <v>2095</v>
      </c>
      <c r="C68" s="34">
        <v>45829</v>
      </c>
      <c r="D68" s="22" t="s">
        <v>3024</v>
      </c>
      <c r="E68" s="22">
        <v>-440.2</v>
      </c>
      <c r="F68" s="28"/>
      <c r="G68" s="22" t="s">
        <v>489</v>
      </c>
      <c r="H68" s="22" t="s">
        <v>483</v>
      </c>
      <c r="I68" s="22"/>
    </row>
    <row r="69" spans="1:9" x14ac:dyDescent="0.25">
      <c r="A69" s="22" t="b">
        <v>0</v>
      </c>
      <c r="B69" s="22" t="s">
        <v>2096</v>
      </c>
      <c r="C69" s="34">
        <v>45829</v>
      </c>
      <c r="D69" s="22" t="s">
        <v>3025</v>
      </c>
      <c r="E69" s="22">
        <v>-360.2</v>
      </c>
      <c r="F69" s="28"/>
      <c r="G69" s="22" t="s">
        <v>489</v>
      </c>
      <c r="H69" s="22" t="s">
        <v>483</v>
      </c>
      <c r="I69" s="22"/>
    </row>
    <row r="70" spans="1:9" x14ac:dyDescent="0.25">
      <c r="A70" s="22" t="b">
        <v>0</v>
      </c>
      <c r="B70" s="22" t="s">
        <v>2097</v>
      </c>
      <c r="C70" s="34">
        <v>45829</v>
      </c>
      <c r="D70" s="22" t="s">
        <v>3026</v>
      </c>
      <c r="E70" s="22">
        <v>-156.19999999999999</v>
      </c>
      <c r="F70" s="28"/>
      <c r="G70" s="22" t="s">
        <v>489</v>
      </c>
      <c r="H70" s="22" t="s">
        <v>483</v>
      </c>
      <c r="I70" s="22"/>
    </row>
    <row r="71" spans="1:9" x14ac:dyDescent="0.25">
      <c r="A71" s="22" t="b">
        <v>0</v>
      </c>
      <c r="B71" s="22" t="s">
        <v>2092</v>
      </c>
      <c r="C71" s="34">
        <v>45830</v>
      </c>
      <c r="D71" s="22" t="s">
        <v>3027</v>
      </c>
      <c r="E71" s="22">
        <v>-40</v>
      </c>
      <c r="F71" s="28"/>
      <c r="G71" s="22" t="s">
        <v>489</v>
      </c>
      <c r="H71" s="22" t="s">
        <v>483</v>
      </c>
      <c r="I71" s="22"/>
    </row>
    <row r="72" spans="1:9" x14ac:dyDescent="0.25">
      <c r="A72" s="22" t="b">
        <v>0</v>
      </c>
      <c r="B72" s="22" t="s">
        <v>2093</v>
      </c>
      <c r="C72" s="34">
        <v>45830</v>
      </c>
      <c r="D72" s="22" t="s">
        <v>3028</v>
      </c>
      <c r="E72" s="22">
        <v>-315.2</v>
      </c>
      <c r="F72" s="28"/>
      <c r="G72" s="22" t="s">
        <v>489</v>
      </c>
      <c r="H72" s="22" t="s">
        <v>483</v>
      </c>
      <c r="I72" s="22"/>
    </row>
    <row r="73" spans="1:9" x14ac:dyDescent="0.25">
      <c r="A73" s="22" t="b">
        <v>0</v>
      </c>
      <c r="B73" s="22" t="s">
        <v>2090</v>
      </c>
      <c r="C73" s="34">
        <v>45831</v>
      </c>
      <c r="D73" s="22" t="s">
        <v>3029</v>
      </c>
      <c r="E73" s="22">
        <v>-312.2</v>
      </c>
      <c r="F73" s="28"/>
      <c r="G73" s="22" t="s">
        <v>489</v>
      </c>
      <c r="H73" s="22" t="s">
        <v>483</v>
      </c>
      <c r="I73" s="22"/>
    </row>
    <row r="74" spans="1:9" x14ac:dyDescent="0.25">
      <c r="A74" s="22" t="b">
        <v>0</v>
      </c>
      <c r="B74" s="22" t="s">
        <v>2091</v>
      </c>
      <c r="C74" s="34">
        <v>45831</v>
      </c>
      <c r="D74" s="22" t="s">
        <v>3030</v>
      </c>
      <c r="E74" s="22">
        <v>-250.2</v>
      </c>
      <c r="F74" s="28"/>
      <c r="G74" s="22" t="s">
        <v>489</v>
      </c>
      <c r="H74" s="22" t="s">
        <v>483</v>
      </c>
      <c r="I74" s="22"/>
    </row>
    <row r="75" spans="1:9" x14ac:dyDescent="0.25">
      <c r="A75" s="22" t="b">
        <v>0</v>
      </c>
      <c r="B75" s="22" t="s">
        <v>2089</v>
      </c>
      <c r="C75" s="34">
        <v>45832</v>
      </c>
      <c r="D75" s="22" t="s">
        <v>3031</v>
      </c>
      <c r="E75" s="22">
        <v>-430.2</v>
      </c>
      <c r="F75" s="28"/>
      <c r="G75" s="22" t="s">
        <v>489</v>
      </c>
      <c r="H75" s="22" t="s">
        <v>483</v>
      </c>
      <c r="I75" s="22"/>
    </row>
    <row r="76" spans="1:9" x14ac:dyDescent="0.25">
      <c r="A76" s="22" t="b">
        <v>0</v>
      </c>
      <c r="B76" s="22" t="s">
        <v>2088</v>
      </c>
      <c r="C76" s="34">
        <v>45833</v>
      </c>
      <c r="D76" s="22" t="s">
        <v>3032</v>
      </c>
      <c r="E76" s="22">
        <v>-135.19999999999999</v>
      </c>
      <c r="F76" s="28"/>
      <c r="G76" s="22" t="s">
        <v>489</v>
      </c>
      <c r="H76" s="22" t="s">
        <v>483</v>
      </c>
      <c r="I76" s="22"/>
    </row>
    <row r="77" spans="1:9" x14ac:dyDescent="0.25">
      <c r="A77" s="22" t="b">
        <v>0</v>
      </c>
      <c r="B77" s="22" t="s">
        <v>2086</v>
      </c>
      <c r="C77" s="34">
        <v>45834</v>
      </c>
      <c r="D77" s="22" t="s">
        <v>3033</v>
      </c>
      <c r="E77" s="22">
        <v>-150.19999999999999</v>
      </c>
      <c r="F77" s="28"/>
      <c r="G77" s="22" t="s">
        <v>489</v>
      </c>
      <c r="H77" s="22" t="s">
        <v>483</v>
      </c>
      <c r="I77" s="22"/>
    </row>
    <row r="78" spans="1:9" x14ac:dyDescent="0.25">
      <c r="A78" s="22" t="b">
        <v>0</v>
      </c>
      <c r="B78" s="22" t="s">
        <v>2087</v>
      </c>
      <c r="C78" s="34">
        <v>45834</v>
      </c>
      <c r="D78" s="22" t="s">
        <v>3034</v>
      </c>
      <c r="E78" s="22">
        <v>-80.2</v>
      </c>
      <c r="F78" s="28"/>
      <c r="G78" s="22" t="s">
        <v>489</v>
      </c>
      <c r="H78" s="22" t="s">
        <v>483</v>
      </c>
      <c r="I78" s="22"/>
    </row>
    <row r="79" spans="1:9" x14ac:dyDescent="0.25">
      <c r="A79" s="22" t="b">
        <v>0</v>
      </c>
      <c r="B79" s="22" t="s">
        <v>2082</v>
      </c>
      <c r="C79" s="34">
        <v>45835</v>
      </c>
      <c r="D79" s="22" t="s">
        <v>3035</v>
      </c>
      <c r="E79" s="22">
        <v>-192.7</v>
      </c>
      <c r="F79" s="28"/>
      <c r="G79" s="22" t="s">
        <v>489</v>
      </c>
      <c r="H79" s="22" t="s">
        <v>483</v>
      </c>
      <c r="I79" s="22"/>
    </row>
    <row r="80" spans="1:9" x14ac:dyDescent="0.25">
      <c r="A80" s="22" t="b">
        <v>0</v>
      </c>
      <c r="B80" s="22" t="s">
        <v>2083</v>
      </c>
      <c r="C80" s="34">
        <v>45835</v>
      </c>
      <c r="D80" s="22" t="s">
        <v>3036</v>
      </c>
      <c r="E80" s="22">
        <v>-90.2</v>
      </c>
      <c r="F80" s="28"/>
      <c r="G80" s="22" t="s">
        <v>489</v>
      </c>
      <c r="H80" s="22" t="s">
        <v>483</v>
      </c>
      <c r="I80" s="22"/>
    </row>
    <row r="81" spans="1:9" x14ac:dyDescent="0.25">
      <c r="A81" s="22" t="b">
        <v>0</v>
      </c>
      <c r="B81" s="22" t="s">
        <v>2084</v>
      </c>
      <c r="C81" s="34">
        <v>45835</v>
      </c>
      <c r="D81" s="22" t="s">
        <v>3037</v>
      </c>
      <c r="E81" s="22">
        <v>-207.7</v>
      </c>
      <c r="F81" s="28"/>
      <c r="G81" s="22" t="s">
        <v>489</v>
      </c>
      <c r="H81" s="22" t="s">
        <v>483</v>
      </c>
      <c r="I81" s="22"/>
    </row>
    <row r="82" spans="1:9" x14ac:dyDescent="0.25">
      <c r="A82" s="22" t="b">
        <v>0</v>
      </c>
      <c r="B82" s="22" t="s">
        <v>2085</v>
      </c>
      <c r="C82" s="34">
        <v>45835</v>
      </c>
      <c r="D82" s="22" t="s">
        <v>3038</v>
      </c>
      <c r="E82" s="22">
        <v>-464.2</v>
      </c>
      <c r="F82" s="28"/>
      <c r="G82" s="22" t="s">
        <v>489</v>
      </c>
      <c r="H82" s="22" t="s">
        <v>483</v>
      </c>
      <c r="I82" s="22"/>
    </row>
    <row r="83" spans="1:9" x14ac:dyDescent="0.25">
      <c r="A83" s="22" t="b">
        <v>0</v>
      </c>
      <c r="B83" s="22" t="s">
        <v>2080</v>
      </c>
      <c r="C83" s="34">
        <v>45838</v>
      </c>
      <c r="D83" s="22" t="s">
        <v>3039</v>
      </c>
      <c r="E83" s="22">
        <v>-829.2</v>
      </c>
      <c r="F83" s="28"/>
      <c r="G83" s="22" t="s">
        <v>489</v>
      </c>
      <c r="H83" s="22" t="s">
        <v>483</v>
      </c>
      <c r="I83" s="22"/>
    </row>
    <row r="84" spans="1:9" x14ac:dyDescent="0.25">
      <c r="A84" s="22" t="b">
        <v>0</v>
      </c>
      <c r="B84" s="22" t="s">
        <v>2081</v>
      </c>
      <c r="C84" s="34">
        <v>45838</v>
      </c>
      <c r="D84" s="22" t="s">
        <v>3040</v>
      </c>
      <c r="E84" s="22">
        <v>-165.2</v>
      </c>
      <c r="F84" s="28"/>
      <c r="G84" s="22" t="s">
        <v>489</v>
      </c>
      <c r="H84" s="22" t="s">
        <v>483</v>
      </c>
      <c r="I84" s="22"/>
    </row>
    <row r="85" spans="1:9" x14ac:dyDescent="0.25">
      <c r="A85" s="22" t="b">
        <v>0</v>
      </c>
      <c r="B85" s="22" t="s">
        <v>2079</v>
      </c>
      <c r="C85" s="34">
        <v>45839</v>
      </c>
      <c r="D85" s="22" t="s">
        <v>3041</v>
      </c>
      <c r="E85" s="22">
        <v>-90.2</v>
      </c>
      <c r="F85" s="28"/>
      <c r="G85" s="22" t="s">
        <v>489</v>
      </c>
      <c r="H85" s="22" t="s">
        <v>483</v>
      </c>
      <c r="I85" s="22"/>
    </row>
    <row r="86" spans="1:9" x14ac:dyDescent="0.25">
      <c r="A86" s="22" t="b">
        <v>0</v>
      </c>
      <c r="B86" s="22" t="s">
        <v>2139</v>
      </c>
      <c r="C86" s="34">
        <v>45839</v>
      </c>
      <c r="D86" s="22" t="s">
        <v>3042</v>
      </c>
      <c r="E86" s="22">
        <v>-175.2</v>
      </c>
      <c r="F86" s="28"/>
      <c r="G86" s="22" t="s">
        <v>489</v>
      </c>
      <c r="H86" s="22" t="s">
        <v>483</v>
      </c>
      <c r="I86" s="22"/>
    </row>
    <row r="87" spans="1:9" x14ac:dyDescent="0.25">
      <c r="A87" s="22" t="b">
        <v>0</v>
      </c>
      <c r="B87" s="22" t="s">
        <v>2138</v>
      </c>
      <c r="C87" s="34">
        <v>45840</v>
      </c>
      <c r="D87" s="22" t="s">
        <v>3043</v>
      </c>
      <c r="E87" s="22">
        <v>-96.2</v>
      </c>
      <c r="F87" s="28"/>
      <c r="G87" s="22" t="s">
        <v>489</v>
      </c>
      <c r="H87" s="22" t="s">
        <v>483</v>
      </c>
      <c r="I87" s="22"/>
    </row>
    <row r="88" spans="1:9" x14ac:dyDescent="0.25">
      <c r="A88" s="22" t="b">
        <v>0</v>
      </c>
      <c r="B88" s="22" t="s">
        <v>2137</v>
      </c>
      <c r="C88" s="34">
        <v>45841</v>
      </c>
      <c r="D88" s="22" t="s">
        <v>3044</v>
      </c>
      <c r="E88" s="22">
        <v>-80.2</v>
      </c>
      <c r="F88" s="28"/>
      <c r="G88" s="22" t="s">
        <v>489</v>
      </c>
      <c r="H88" s="22" t="s">
        <v>483</v>
      </c>
      <c r="I88" s="22"/>
    </row>
    <row r="89" spans="1:9" x14ac:dyDescent="0.25">
      <c r="A89" s="22" t="b">
        <v>0</v>
      </c>
      <c r="B89" s="22" t="s">
        <v>2133</v>
      </c>
      <c r="C89" s="34">
        <v>45842</v>
      </c>
      <c r="D89" s="22" t="s">
        <v>3045</v>
      </c>
      <c r="E89" s="22">
        <v>-104.7</v>
      </c>
      <c r="F89" s="28"/>
      <c r="G89" s="22" t="s">
        <v>489</v>
      </c>
      <c r="H89" s="22" t="s">
        <v>483</v>
      </c>
      <c r="I89" s="22"/>
    </row>
    <row r="90" spans="1:9" x14ac:dyDescent="0.25">
      <c r="A90" s="22" t="b">
        <v>0</v>
      </c>
      <c r="B90" s="22" t="s">
        <v>2134</v>
      </c>
      <c r="C90" s="34">
        <v>45842</v>
      </c>
      <c r="D90" s="22" t="s">
        <v>3046</v>
      </c>
      <c r="E90" s="22">
        <v>-12.2</v>
      </c>
      <c r="F90" s="28"/>
      <c r="G90" s="22" t="s">
        <v>489</v>
      </c>
      <c r="H90" s="22" t="s">
        <v>483</v>
      </c>
      <c r="I90" s="22"/>
    </row>
    <row r="91" spans="1:9" x14ac:dyDescent="0.25">
      <c r="A91" s="22" t="b">
        <v>0</v>
      </c>
      <c r="B91" s="22" t="s">
        <v>2135</v>
      </c>
      <c r="C91" s="34">
        <v>45842</v>
      </c>
      <c r="D91" s="22" t="s">
        <v>3046</v>
      </c>
      <c r="E91" s="22">
        <v>-10.199999999999999</v>
      </c>
      <c r="F91" s="28"/>
      <c r="G91" s="22" t="s">
        <v>489</v>
      </c>
      <c r="H91" s="22" t="s">
        <v>483</v>
      </c>
      <c r="I91" s="22"/>
    </row>
    <row r="92" spans="1:9" x14ac:dyDescent="0.25">
      <c r="A92" s="22" t="b">
        <v>0</v>
      </c>
      <c r="B92" s="22" t="s">
        <v>2136</v>
      </c>
      <c r="C92" s="34">
        <v>45842</v>
      </c>
      <c r="D92" s="22" t="s">
        <v>3046</v>
      </c>
      <c r="E92" s="22">
        <v>-338.2</v>
      </c>
      <c r="F92" s="28"/>
      <c r="G92" s="22" t="s">
        <v>489</v>
      </c>
      <c r="H92" s="22" t="s">
        <v>483</v>
      </c>
      <c r="I92" s="22"/>
    </row>
    <row r="93" spans="1:9" x14ac:dyDescent="0.25">
      <c r="A93" s="22" t="b">
        <v>0</v>
      </c>
      <c r="B93" s="22" t="s">
        <v>2129</v>
      </c>
      <c r="C93" s="34">
        <v>45843</v>
      </c>
      <c r="D93" s="22" t="s">
        <v>3047</v>
      </c>
      <c r="E93" s="22">
        <v>-9.1999999999999993</v>
      </c>
      <c r="F93" s="28"/>
      <c r="G93" s="22" t="s">
        <v>489</v>
      </c>
      <c r="H93" s="22" t="s">
        <v>483</v>
      </c>
      <c r="I93" s="22"/>
    </row>
    <row r="94" spans="1:9" x14ac:dyDescent="0.25">
      <c r="A94" s="22" t="b">
        <v>0</v>
      </c>
      <c r="B94" s="22" t="s">
        <v>2130</v>
      </c>
      <c r="C94" s="34">
        <v>45843</v>
      </c>
      <c r="D94" s="22" t="s">
        <v>3048</v>
      </c>
      <c r="E94" s="22">
        <v>-76.7</v>
      </c>
      <c r="F94" s="28"/>
      <c r="G94" s="22" t="s">
        <v>489</v>
      </c>
      <c r="H94" s="22" t="s">
        <v>483</v>
      </c>
      <c r="I94" s="22"/>
    </row>
    <row r="95" spans="1:9" x14ac:dyDescent="0.25">
      <c r="A95" s="22" t="b">
        <v>0</v>
      </c>
      <c r="B95" s="22" t="s">
        <v>2131</v>
      </c>
      <c r="C95" s="34">
        <v>45843</v>
      </c>
      <c r="D95" s="22" t="s">
        <v>3049</v>
      </c>
      <c r="E95" s="22">
        <v>-150.19999999999999</v>
      </c>
      <c r="F95" s="28"/>
      <c r="G95" s="22" t="s">
        <v>489</v>
      </c>
      <c r="H95" s="22" t="s">
        <v>483</v>
      </c>
      <c r="I95" s="22"/>
    </row>
    <row r="96" spans="1:9" x14ac:dyDescent="0.25">
      <c r="A96" s="22" t="b">
        <v>0</v>
      </c>
      <c r="B96" s="22" t="s">
        <v>2132</v>
      </c>
      <c r="C96" s="34">
        <v>45843</v>
      </c>
      <c r="D96" s="22" t="s">
        <v>3047</v>
      </c>
      <c r="E96" s="22">
        <v>-96.2</v>
      </c>
      <c r="F96" s="28"/>
      <c r="G96" s="22" t="s">
        <v>489</v>
      </c>
      <c r="H96" s="22" t="s">
        <v>483</v>
      </c>
      <c r="I96" s="22"/>
    </row>
    <row r="97" spans="1:9" x14ac:dyDescent="0.25">
      <c r="A97" s="22" t="b">
        <v>0</v>
      </c>
      <c r="B97" s="22" t="s">
        <v>2125</v>
      </c>
      <c r="C97" s="34">
        <v>45845</v>
      </c>
      <c r="D97" s="22" t="s">
        <v>3050</v>
      </c>
      <c r="E97" s="22">
        <v>-2025.2</v>
      </c>
      <c r="F97" s="28"/>
      <c r="G97" s="22" t="s">
        <v>489</v>
      </c>
      <c r="H97" s="22" t="s">
        <v>483</v>
      </c>
      <c r="I97" s="22"/>
    </row>
    <row r="98" spans="1:9" x14ac:dyDescent="0.25">
      <c r="A98" s="22" t="b">
        <v>0</v>
      </c>
      <c r="B98" s="22" t="s">
        <v>2126</v>
      </c>
      <c r="C98" s="34">
        <v>45845</v>
      </c>
      <c r="D98" s="22" t="s">
        <v>3051</v>
      </c>
      <c r="E98" s="22">
        <v>-40.200000000000003</v>
      </c>
      <c r="F98" s="28"/>
      <c r="G98" s="22" t="s">
        <v>489</v>
      </c>
      <c r="H98" s="22" t="s">
        <v>483</v>
      </c>
      <c r="I98" s="22"/>
    </row>
    <row r="99" spans="1:9" x14ac:dyDescent="0.25">
      <c r="A99" s="22" t="b">
        <v>0</v>
      </c>
      <c r="B99" s="22" t="s">
        <v>2127</v>
      </c>
      <c r="C99" s="34">
        <v>45845</v>
      </c>
      <c r="D99" s="22" t="s">
        <v>3052</v>
      </c>
      <c r="E99" s="22">
        <v>-88.7</v>
      </c>
      <c r="F99" s="28"/>
      <c r="G99" s="22" t="s">
        <v>489</v>
      </c>
      <c r="H99" s="22" t="s">
        <v>483</v>
      </c>
      <c r="I99" s="22"/>
    </row>
    <row r="100" spans="1:9" x14ac:dyDescent="0.25">
      <c r="A100" s="22" t="b">
        <v>0</v>
      </c>
      <c r="B100" s="22" t="s">
        <v>2128</v>
      </c>
      <c r="C100" s="34">
        <v>45845</v>
      </c>
      <c r="D100" s="22" t="s">
        <v>3053</v>
      </c>
      <c r="E100" s="22">
        <v>-124.7</v>
      </c>
      <c r="F100" s="28"/>
      <c r="G100" s="22" t="s">
        <v>489</v>
      </c>
      <c r="H100" s="22" t="s">
        <v>483</v>
      </c>
      <c r="I100" s="22"/>
    </row>
    <row r="101" spans="1:9" x14ac:dyDescent="0.25">
      <c r="A101" s="22" t="b">
        <v>0</v>
      </c>
      <c r="B101" s="22" t="s">
        <v>2185</v>
      </c>
      <c r="C101" s="34">
        <v>45846</v>
      </c>
      <c r="D101" s="22" t="s">
        <v>3054</v>
      </c>
      <c r="E101" s="22">
        <v>-270</v>
      </c>
      <c r="F101" s="28"/>
      <c r="G101" s="22" t="s">
        <v>489</v>
      </c>
      <c r="H101" s="22" t="s">
        <v>483</v>
      </c>
      <c r="I101" s="22"/>
    </row>
    <row r="102" spans="1:9" x14ac:dyDescent="0.25">
      <c r="A102" s="22" t="b">
        <v>0</v>
      </c>
      <c r="B102" s="22" t="s">
        <v>2186</v>
      </c>
      <c r="C102" s="34">
        <v>45846</v>
      </c>
      <c r="D102" s="22" t="s">
        <v>3001</v>
      </c>
      <c r="E102" s="22">
        <v>-505</v>
      </c>
      <c r="F102" s="28"/>
      <c r="G102" s="22" t="s">
        <v>489</v>
      </c>
      <c r="H102" s="22" t="s">
        <v>483</v>
      </c>
      <c r="I102" s="22"/>
    </row>
    <row r="103" spans="1:9" x14ac:dyDescent="0.25">
      <c r="A103" s="22" t="b">
        <v>0</v>
      </c>
      <c r="B103" s="22" t="s">
        <v>2187</v>
      </c>
      <c r="C103" s="34">
        <v>45846</v>
      </c>
      <c r="D103" s="22" t="s">
        <v>3055</v>
      </c>
      <c r="E103" s="22">
        <v>-187.5</v>
      </c>
      <c r="F103" s="28"/>
      <c r="G103" s="22" t="s">
        <v>489</v>
      </c>
      <c r="H103" s="22" t="s">
        <v>483</v>
      </c>
      <c r="I103" s="22"/>
    </row>
    <row r="104" spans="1:9" x14ac:dyDescent="0.25">
      <c r="A104" s="22" t="b">
        <v>0</v>
      </c>
      <c r="B104" s="22" t="s">
        <v>2188</v>
      </c>
      <c r="C104" s="34">
        <v>45846</v>
      </c>
      <c r="D104" s="22" t="s">
        <v>3056</v>
      </c>
      <c r="E104" s="22">
        <v>-220</v>
      </c>
      <c r="F104" s="28"/>
      <c r="G104" s="22" t="s">
        <v>489</v>
      </c>
      <c r="H104" s="22" t="s">
        <v>483</v>
      </c>
      <c r="I104" s="22"/>
    </row>
    <row r="105" spans="1:9" x14ac:dyDescent="0.25">
      <c r="A105" s="22" t="b">
        <v>0</v>
      </c>
      <c r="B105" s="22" t="s">
        <v>2075</v>
      </c>
      <c r="C105" s="34">
        <v>45847</v>
      </c>
      <c r="D105" s="22" t="s">
        <v>3057</v>
      </c>
      <c r="E105" s="22">
        <v>-192.5</v>
      </c>
      <c r="F105" s="28"/>
      <c r="G105" s="22" t="s">
        <v>489</v>
      </c>
      <c r="H105" s="22" t="s">
        <v>483</v>
      </c>
      <c r="I105" s="22"/>
    </row>
    <row r="106" spans="1:9" x14ac:dyDescent="0.25">
      <c r="A106" s="22" t="b">
        <v>0</v>
      </c>
      <c r="B106" s="22" t="s">
        <v>2076</v>
      </c>
      <c r="C106" s="34">
        <v>45847</v>
      </c>
      <c r="D106" s="22" t="s">
        <v>3058</v>
      </c>
      <c r="E106" s="22">
        <v>-91.5</v>
      </c>
      <c r="F106" s="28"/>
      <c r="G106" s="22" t="s">
        <v>489</v>
      </c>
      <c r="H106" s="22" t="s">
        <v>483</v>
      </c>
      <c r="I106" s="22"/>
    </row>
    <row r="107" spans="1:9" x14ac:dyDescent="0.25">
      <c r="A107" s="22" t="b">
        <v>0</v>
      </c>
      <c r="B107" s="22" t="s">
        <v>2078</v>
      </c>
      <c r="C107" s="34">
        <v>45847</v>
      </c>
      <c r="D107" s="22" t="s">
        <v>3059</v>
      </c>
      <c r="E107" s="22">
        <v>-123.75</v>
      </c>
      <c r="F107" s="28"/>
      <c r="G107" s="22" t="s">
        <v>489</v>
      </c>
      <c r="H107" s="22" t="s">
        <v>483</v>
      </c>
      <c r="I107" s="22"/>
    </row>
    <row r="108" spans="1:9" x14ac:dyDescent="0.25">
      <c r="A108" s="22" t="b">
        <v>0</v>
      </c>
      <c r="B108" s="22" t="s">
        <v>2074</v>
      </c>
      <c r="C108" s="34">
        <v>45848</v>
      </c>
      <c r="D108" s="22" t="s">
        <v>3060</v>
      </c>
      <c r="E108" s="22">
        <v>-300</v>
      </c>
      <c r="F108" s="28"/>
      <c r="G108" s="22" t="s">
        <v>489</v>
      </c>
      <c r="H108" s="22" t="s">
        <v>483</v>
      </c>
      <c r="I108" s="22"/>
    </row>
    <row r="109" spans="1:9" x14ac:dyDescent="0.25">
      <c r="A109" s="22" t="b">
        <v>0</v>
      </c>
      <c r="B109" s="22" t="s">
        <v>2070</v>
      </c>
      <c r="C109" s="34">
        <v>45850</v>
      </c>
      <c r="D109" s="22" t="s">
        <v>3061</v>
      </c>
      <c r="E109" s="22">
        <v>-89.7</v>
      </c>
      <c r="F109" s="28"/>
      <c r="G109" s="22" t="s">
        <v>489</v>
      </c>
      <c r="H109" s="22" t="s">
        <v>483</v>
      </c>
      <c r="I109" s="22"/>
    </row>
    <row r="110" spans="1:9" x14ac:dyDescent="0.25">
      <c r="A110" s="22" t="b">
        <v>0</v>
      </c>
      <c r="B110" s="22" t="s">
        <v>2071</v>
      </c>
      <c r="C110" s="34">
        <v>45850</v>
      </c>
      <c r="D110" s="22" t="s">
        <v>3062</v>
      </c>
      <c r="E110" s="22">
        <v>-144.19999999999999</v>
      </c>
      <c r="F110" s="28"/>
      <c r="G110" s="22" t="s">
        <v>489</v>
      </c>
      <c r="H110" s="22" t="s">
        <v>483</v>
      </c>
      <c r="I110" s="22"/>
    </row>
    <row r="111" spans="1:9" x14ac:dyDescent="0.25">
      <c r="A111" s="22" t="b">
        <v>0</v>
      </c>
      <c r="B111" s="22" t="s">
        <v>2072</v>
      </c>
      <c r="C111" s="34">
        <v>45850</v>
      </c>
      <c r="D111" s="22" t="s">
        <v>3063</v>
      </c>
      <c r="E111" s="22">
        <v>-145.19999999999999</v>
      </c>
      <c r="F111" s="28"/>
      <c r="G111" s="22" t="s">
        <v>489</v>
      </c>
      <c r="H111" s="22" t="s">
        <v>483</v>
      </c>
      <c r="I111" s="22"/>
    </row>
    <row r="112" spans="1:9" x14ac:dyDescent="0.25">
      <c r="A112" s="22" t="b">
        <v>0</v>
      </c>
      <c r="B112" s="22" t="s">
        <v>2073</v>
      </c>
      <c r="C112" s="34">
        <v>45850</v>
      </c>
      <c r="D112" s="22" t="s">
        <v>3064</v>
      </c>
      <c r="E112" s="22">
        <v>-105</v>
      </c>
      <c r="F112" s="28"/>
      <c r="G112" s="22" t="s">
        <v>489</v>
      </c>
      <c r="H112" s="22" t="s">
        <v>483</v>
      </c>
      <c r="I112" s="22"/>
    </row>
    <row r="113" spans="1:9" x14ac:dyDescent="0.25">
      <c r="A113" s="22" t="b">
        <v>0</v>
      </c>
      <c r="B113" s="22" t="s">
        <v>2064</v>
      </c>
      <c r="C113" s="34">
        <v>45852</v>
      </c>
      <c r="D113" s="22" t="s">
        <v>3065</v>
      </c>
      <c r="E113" s="22">
        <v>-87.7</v>
      </c>
      <c r="F113" s="28"/>
      <c r="G113" s="22" t="s">
        <v>489</v>
      </c>
      <c r="H113" s="22" t="s">
        <v>483</v>
      </c>
      <c r="I113" s="22"/>
    </row>
    <row r="114" spans="1:9" x14ac:dyDescent="0.25">
      <c r="A114" s="22" t="b">
        <v>0</v>
      </c>
      <c r="B114" s="22" t="s">
        <v>2065</v>
      </c>
      <c r="C114" s="34">
        <v>45852</v>
      </c>
      <c r="D114" s="22" t="s">
        <v>3066</v>
      </c>
      <c r="E114" s="22">
        <v>-390.2</v>
      </c>
      <c r="F114" s="28"/>
      <c r="G114" s="22" t="s">
        <v>489</v>
      </c>
      <c r="H114" s="22" t="s">
        <v>483</v>
      </c>
      <c r="I114" s="22"/>
    </row>
    <row r="115" spans="1:9" x14ac:dyDescent="0.25">
      <c r="A115" s="22" t="b">
        <v>0</v>
      </c>
      <c r="B115" s="22" t="s">
        <v>2066</v>
      </c>
      <c r="C115" s="34">
        <v>45852</v>
      </c>
      <c r="D115" s="22" t="s">
        <v>3067</v>
      </c>
      <c r="E115" s="22">
        <v>-612.70000000000005</v>
      </c>
      <c r="F115" s="28"/>
      <c r="G115" s="22" t="s">
        <v>489</v>
      </c>
      <c r="H115" s="22" t="s">
        <v>483</v>
      </c>
      <c r="I115" s="22"/>
    </row>
    <row r="116" spans="1:9" x14ac:dyDescent="0.25">
      <c r="A116" s="22" t="b">
        <v>0</v>
      </c>
      <c r="B116" s="22" t="s">
        <v>2067</v>
      </c>
      <c r="C116" s="34">
        <v>45852</v>
      </c>
      <c r="D116" s="22" t="s">
        <v>3068</v>
      </c>
      <c r="E116" s="22">
        <v>-324.7</v>
      </c>
      <c r="F116" s="28"/>
      <c r="G116" s="22" t="s">
        <v>489</v>
      </c>
      <c r="H116" s="22" t="s">
        <v>483</v>
      </c>
      <c r="I116" s="22"/>
    </row>
    <row r="117" spans="1:9" x14ac:dyDescent="0.25">
      <c r="A117" s="22" t="b">
        <v>0</v>
      </c>
      <c r="B117" s="22" t="s">
        <v>2068</v>
      </c>
      <c r="C117" s="34">
        <v>45852</v>
      </c>
      <c r="D117" s="22" t="s">
        <v>3069</v>
      </c>
      <c r="E117" s="22">
        <v>-140.19999999999999</v>
      </c>
      <c r="F117" s="28"/>
      <c r="G117" s="22" t="s">
        <v>489</v>
      </c>
      <c r="H117" s="22" t="s">
        <v>483</v>
      </c>
      <c r="I117" s="22"/>
    </row>
    <row r="118" spans="1:9" x14ac:dyDescent="0.25">
      <c r="A118" s="22" t="b">
        <v>0</v>
      </c>
      <c r="B118" s="22" t="s">
        <v>2069</v>
      </c>
      <c r="C118" s="34">
        <v>45852</v>
      </c>
      <c r="D118" s="22" t="s">
        <v>3070</v>
      </c>
      <c r="E118" s="22">
        <v>-747.7</v>
      </c>
      <c r="F118" s="28"/>
      <c r="G118" s="22" t="s">
        <v>489</v>
      </c>
      <c r="H118" s="22" t="s">
        <v>483</v>
      </c>
      <c r="I118" s="22"/>
    </row>
    <row r="119" spans="1:9" x14ac:dyDescent="0.25">
      <c r="A119" s="22" t="b">
        <v>0</v>
      </c>
      <c r="B119" s="22" t="s">
        <v>2060</v>
      </c>
      <c r="C119" s="34">
        <v>45853</v>
      </c>
      <c r="D119" s="22" t="s">
        <v>3071</v>
      </c>
      <c r="E119" s="22">
        <v>-90.2</v>
      </c>
      <c r="F119" s="28"/>
      <c r="G119" s="22" t="s">
        <v>489</v>
      </c>
      <c r="H119" s="22" t="s">
        <v>483</v>
      </c>
      <c r="I119" s="22"/>
    </row>
    <row r="120" spans="1:9" x14ac:dyDescent="0.25">
      <c r="A120" s="22" t="b">
        <v>0</v>
      </c>
      <c r="B120" s="22" t="s">
        <v>2061</v>
      </c>
      <c r="C120" s="34">
        <v>45853</v>
      </c>
      <c r="D120" s="22" t="s">
        <v>3072</v>
      </c>
      <c r="E120" s="22">
        <v>-360.2</v>
      </c>
      <c r="F120" s="28"/>
      <c r="G120" s="22" t="s">
        <v>489</v>
      </c>
      <c r="H120" s="22" t="s">
        <v>483</v>
      </c>
      <c r="I120" s="22"/>
    </row>
    <row r="121" spans="1:9" x14ac:dyDescent="0.25">
      <c r="A121" s="22" t="b">
        <v>0</v>
      </c>
      <c r="B121" s="22" t="s">
        <v>2062</v>
      </c>
      <c r="C121" s="34">
        <v>45853</v>
      </c>
      <c r="D121" s="22" t="s">
        <v>3073</v>
      </c>
      <c r="E121" s="22">
        <v>-177.2</v>
      </c>
      <c r="F121" s="28"/>
      <c r="G121" s="22" t="s">
        <v>489</v>
      </c>
      <c r="H121" s="22" t="s">
        <v>483</v>
      </c>
      <c r="I121" s="22"/>
    </row>
    <row r="122" spans="1:9" x14ac:dyDescent="0.25">
      <c r="A122" s="22" t="b">
        <v>0</v>
      </c>
      <c r="B122" s="22" t="s">
        <v>2063</v>
      </c>
      <c r="C122" s="34">
        <v>45853</v>
      </c>
      <c r="D122" s="22" t="s">
        <v>3074</v>
      </c>
      <c r="E122" s="22">
        <v>-382.5</v>
      </c>
      <c r="F122" s="28"/>
      <c r="G122" s="22" t="s">
        <v>489</v>
      </c>
      <c r="H122" s="22" t="s">
        <v>483</v>
      </c>
      <c r="I122" s="22"/>
    </row>
    <row r="123" spans="1:9" x14ac:dyDescent="0.25">
      <c r="A123" s="22" t="b">
        <v>0</v>
      </c>
      <c r="B123" s="22" t="s">
        <v>2058</v>
      </c>
      <c r="C123" s="34">
        <v>45854</v>
      </c>
      <c r="D123" s="22" t="s">
        <v>3075</v>
      </c>
      <c r="E123" s="22">
        <v>-298.7</v>
      </c>
      <c r="F123" s="28"/>
      <c r="G123" s="22" t="s">
        <v>489</v>
      </c>
      <c r="H123" s="22" t="s">
        <v>483</v>
      </c>
      <c r="I123" s="22"/>
    </row>
    <row r="124" spans="1:9" x14ac:dyDescent="0.25">
      <c r="A124" s="22" t="b">
        <v>0</v>
      </c>
      <c r="B124" s="22" t="s">
        <v>2059</v>
      </c>
      <c r="C124" s="34">
        <v>45854</v>
      </c>
      <c r="D124" s="22" t="s">
        <v>3076</v>
      </c>
      <c r="E124" s="22">
        <v>-603.70000000000005</v>
      </c>
      <c r="F124" s="28"/>
      <c r="G124" s="22" t="s">
        <v>489</v>
      </c>
      <c r="H124" s="22" t="s">
        <v>483</v>
      </c>
      <c r="I124" s="22"/>
    </row>
    <row r="125" spans="1:9" x14ac:dyDescent="0.25">
      <c r="A125" s="22" t="b">
        <v>0</v>
      </c>
      <c r="B125" s="22" t="s">
        <v>2055</v>
      </c>
      <c r="C125" s="34">
        <v>45855</v>
      </c>
      <c r="D125" s="22" t="s">
        <v>3077</v>
      </c>
      <c r="E125" s="22">
        <v>-70.2</v>
      </c>
      <c r="F125" s="28"/>
      <c r="G125" s="22" t="s">
        <v>489</v>
      </c>
      <c r="H125" s="22" t="s">
        <v>483</v>
      </c>
      <c r="I125" s="22"/>
    </row>
    <row r="126" spans="1:9" x14ac:dyDescent="0.25">
      <c r="A126" s="22" t="b">
        <v>0</v>
      </c>
      <c r="B126" s="22" t="s">
        <v>2056</v>
      </c>
      <c r="C126" s="34">
        <v>45855</v>
      </c>
      <c r="D126" s="22" t="s">
        <v>3078</v>
      </c>
      <c r="E126" s="22">
        <v>-147.19999999999999</v>
      </c>
      <c r="F126" s="28"/>
      <c r="G126" s="22" t="s">
        <v>489</v>
      </c>
      <c r="H126" s="22" t="s">
        <v>483</v>
      </c>
      <c r="I126" s="22"/>
    </row>
    <row r="127" spans="1:9" x14ac:dyDescent="0.25">
      <c r="A127" s="22" t="b">
        <v>0</v>
      </c>
      <c r="B127" s="22" t="s">
        <v>2057</v>
      </c>
      <c r="C127" s="34">
        <v>45855</v>
      </c>
      <c r="D127" s="22" t="s">
        <v>3079</v>
      </c>
      <c r="E127" s="22">
        <v>-280.2</v>
      </c>
      <c r="F127" s="28"/>
      <c r="G127" s="22" t="s">
        <v>489</v>
      </c>
      <c r="H127" s="22" t="s">
        <v>483</v>
      </c>
      <c r="I127" s="22"/>
    </row>
    <row r="128" spans="1:9" x14ac:dyDescent="0.25">
      <c r="A128" s="22" t="b">
        <v>0</v>
      </c>
      <c r="B128" s="22" t="s">
        <v>2053</v>
      </c>
      <c r="C128" s="34">
        <v>45856</v>
      </c>
      <c r="D128" s="22" t="s">
        <v>3080</v>
      </c>
      <c r="E128" s="22">
        <v>-100.2</v>
      </c>
      <c r="F128" s="28"/>
      <c r="G128" s="22" t="s">
        <v>489</v>
      </c>
      <c r="H128" s="22" t="s">
        <v>483</v>
      </c>
      <c r="I128" s="22"/>
    </row>
    <row r="129" spans="1:9" x14ac:dyDescent="0.25">
      <c r="A129" s="22" t="b">
        <v>0</v>
      </c>
      <c r="B129" s="22" t="s">
        <v>2054</v>
      </c>
      <c r="C129" s="34">
        <v>45856</v>
      </c>
      <c r="D129" s="22" t="s">
        <v>3081</v>
      </c>
      <c r="E129" s="22">
        <v>-85</v>
      </c>
      <c r="F129" s="28"/>
      <c r="G129" s="22" t="s">
        <v>489</v>
      </c>
      <c r="H129" s="22" t="s">
        <v>483</v>
      </c>
      <c r="I129" s="22"/>
    </row>
    <row r="130" spans="1:9" x14ac:dyDescent="0.25">
      <c r="A130" s="22" t="b">
        <v>0</v>
      </c>
      <c r="B130" s="22" t="s">
        <v>2052</v>
      </c>
      <c r="C130" s="34">
        <v>45858</v>
      </c>
      <c r="D130" s="22" t="s">
        <v>3082</v>
      </c>
      <c r="E130" s="22">
        <v>-42.2</v>
      </c>
      <c r="F130" s="28"/>
      <c r="G130" s="22" t="s">
        <v>489</v>
      </c>
      <c r="H130" s="22" t="s">
        <v>483</v>
      </c>
      <c r="I130" s="22"/>
    </row>
    <row r="131" spans="1:9" x14ac:dyDescent="0.25">
      <c r="A131" s="22" t="b">
        <v>0</v>
      </c>
      <c r="B131" s="22" t="s">
        <v>2046</v>
      </c>
      <c r="C131" s="34">
        <v>45859</v>
      </c>
      <c r="D131" s="22" t="s">
        <v>3083</v>
      </c>
      <c r="E131" s="22">
        <v>-96.2</v>
      </c>
      <c r="F131" s="28"/>
      <c r="G131" s="22" t="s">
        <v>489</v>
      </c>
      <c r="H131" s="22" t="s">
        <v>483</v>
      </c>
      <c r="I131" s="22"/>
    </row>
    <row r="132" spans="1:9" x14ac:dyDescent="0.25">
      <c r="A132" s="22" t="b">
        <v>0</v>
      </c>
      <c r="B132" s="22" t="s">
        <v>2047</v>
      </c>
      <c r="C132" s="34">
        <v>45859</v>
      </c>
      <c r="D132" s="22" t="s">
        <v>3084</v>
      </c>
      <c r="E132" s="22">
        <v>-97.7</v>
      </c>
      <c r="F132" s="28"/>
      <c r="G132" s="22" t="s">
        <v>489</v>
      </c>
      <c r="H132" s="22" t="s">
        <v>483</v>
      </c>
      <c r="I132" s="22"/>
    </row>
    <row r="133" spans="1:9" x14ac:dyDescent="0.25">
      <c r="A133" s="22" t="b">
        <v>0</v>
      </c>
      <c r="B133" s="22" t="s">
        <v>2048</v>
      </c>
      <c r="C133" s="34">
        <v>45859</v>
      </c>
      <c r="D133" s="22" t="s">
        <v>3085</v>
      </c>
      <c r="E133" s="22">
        <v>-90.2</v>
      </c>
      <c r="F133" s="28"/>
      <c r="G133" s="22" t="s">
        <v>489</v>
      </c>
      <c r="H133" s="22" t="s">
        <v>483</v>
      </c>
      <c r="I133" s="22"/>
    </row>
    <row r="134" spans="1:9" x14ac:dyDescent="0.25">
      <c r="A134" s="22" t="b">
        <v>0</v>
      </c>
      <c r="B134" s="22" t="s">
        <v>2044</v>
      </c>
      <c r="C134" s="34">
        <v>45860</v>
      </c>
      <c r="D134" s="22" t="s">
        <v>3086</v>
      </c>
      <c r="E134" s="22">
        <v>-76.7</v>
      </c>
      <c r="F134" s="28"/>
      <c r="G134" s="22" t="s">
        <v>489</v>
      </c>
      <c r="H134" s="22" t="s">
        <v>483</v>
      </c>
      <c r="I134" s="22"/>
    </row>
    <row r="135" spans="1:9" x14ac:dyDescent="0.25">
      <c r="A135" s="22" t="b">
        <v>0</v>
      </c>
      <c r="B135" s="22" t="s">
        <v>2045</v>
      </c>
      <c r="C135" s="34">
        <v>45860</v>
      </c>
      <c r="D135" s="22" t="s">
        <v>3087</v>
      </c>
      <c r="E135" s="22">
        <v>-105.2</v>
      </c>
      <c r="F135" s="28"/>
      <c r="G135" s="22" t="s">
        <v>489</v>
      </c>
      <c r="H135" s="22" t="s">
        <v>483</v>
      </c>
      <c r="I135" s="22"/>
    </row>
    <row r="136" spans="1:9" x14ac:dyDescent="0.25">
      <c r="A136" s="22" t="b">
        <v>0</v>
      </c>
      <c r="B136" s="22" t="s">
        <v>2037</v>
      </c>
      <c r="C136" s="34">
        <v>45862</v>
      </c>
      <c r="D136" s="22" t="s">
        <v>3088</v>
      </c>
      <c r="E136" s="22">
        <v>-72.7</v>
      </c>
      <c r="F136" s="28"/>
      <c r="G136" s="22" t="s">
        <v>489</v>
      </c>
      <c r="H136" s="22" t="s">
        <v>483</v>
      </c>
      <c r="I136" s="22"/>
    </row>
    <row r="137" spans="1:9" x14ac:dyDescent="0.25">
      <c r="A137" s="22" t="b">
        <v>0</v>
      </c>
      <c r="B137" s="22" t="s">
        <v>2038</v>
      </c>
      <c r="C137" s="34">
        <v>45862</v>
      </c>
      <c r="D137" s="22" t="s">
        <v>3089</v>
      </c>
      <c r="E137" s="22">
        <v>-72.7</v>
      </c>
      <c r="F137" s="28"/>
      <c r="G137" s="22" t="s">
        <v>489</v>
      </c>
      <c r="H137" s="22" t="s">
        <v>483</v>
      </c>
      <c r="I137" s="22"/>
    </row>
    <row r="138" spans="1:9" x14ac:dyDescent="0.25">
      <c r="A138" s="22" t="b">
        <v>0</v>
      </c>
      <c r="B138" s="22" t="s">
        <v>2039</v>
      </c>
      <c r="C138" s="34">
        <v>45862</v>
      </c>
      <c r="D138" s="22" t="s">
        <v>3090</v>
      </c>
      <c r="E138" s="22">
        <v>-50.2</v>
      </c>
      <c r="F138" s="28"/>
      <c r="G138" s="22" t="s">
        <v>489</v>
      </c>
      <c r="H138" s="22" t="s">
        <v>483</v>
      </c>
      <c r="I138" s="22"/>
    </row>
    <row r="139" spans="1:9" x14ac:dyDescent="0.25">
      <c r="A139" s="22" t="b">
        <v>0</v>
      </c>
      <c r="B139" s="22" t="s">
        <v>2040</v>
      </c>
      <c r="C139" s="34">
        <v>45862</v>
      </c>
      <c r="D139" s="22" t="s">
        <v>3091</v>
      </c>
      <c r="E139" s="22">
        <v>-188.7</v>
      </c>
      <c r="F139" s="28"/>
      <c r="G139" s="22" t="s">
        <v>489</v>
      </c>
      <c r="H139" s="22" t="s">
        <v>483</v>
      </c>
      <c r="I139" s="22"/>
    </row>
    <row r="140" spans="1:9" x14ac:dyDescent="0.25">
      <c r="A140" s="22" t="b">
        <v>0</v>
      </c>
      <c r="B140" s="22" t="s">
        <v>2041</v>
      </c>
      <c r="C140" s="34">
        <v>45862</v>
      </c>
      <c r="D140" s="22" t="s">
        <v>3092</v>
      </c>
      <c r="E140" s="22">
        <v>-480.2</v>
      </c>
      <c r="F140" s="28"/>
      <c r="G140" s="22" t="s">
        <v>489</v>
      </c>
      <c r="H140" s="22" t="s">
        <v>483</v>
      </c>
      <c r="I140" s="22"/>
    </row>
    <row r="141" spans="1:9" x14ac:dyDescent="0.25">
      <c r="A141" s="22" t="b">
        <v>0</v>
      </c>
      <c r="B141" s="22" t="s">
        <v>2042</v>
      </c>
      <c r="C141" s="34">
        <v>45862</v>
      </c>
      <c r="D141" s="22" t="s">
        <v>3093</v>
      </c>
      <c r="E141" s="22">
        <v>-660.2</v>
      </c>
      <c r="F141" s="28"/>
      <c r="G141" s="22" t="s">
        <v>489</v>
      </c>
      <c r="H141" s="22" t="s">
        <v>483</v>
      </c>
      <c r="I141" s="22"/>
    </row>
    <row r="142" spans="1:9" x14ac:dyDescent="0.25">
      <c r="A142" s="22" t="b">
        <v>0</v>
      </c>
      <c r="B142" s="22" t="s">
        <v>2043</v>
      </c>
      <c r="C142" s="34">
        <v>45862</v>
      </c>
      <c r="D142" s="22" t="s">
        <v>3094</v>
      </c>
      <c r="E142" s="22">
        <v>-92.7</v>
      </c>
      <c r="F142" s="28"/>
      <c r="G142" s="22" t="s">
        <v>489</v>
      </c>
      <c r="H142" s="22" t="s">
        <v>483</v>
      </c>
      <c r="I142" s="22"/>
    </row>
    <row r="143" spans="1:9" x14ac:dyDescent="0.25">
      <c r="A143" s="22" t="b">
        <v>0</v>
      </c>
      <c r="B143" s="22" t="s">
        <v>2036</v>
      </c>
      <c r="C143" s="34">
        <v>45863</v>
      </c>
      <c r="D143" s="22" t="s">
        <v>3095</v>
      </c>
      <c r="E143" s="22">
        <v>-89.5</v>
      </c>
      <c r="F143" s="28"/>
      <c r="G143" s="22" t="s">
        <v>489</v>
      </c>
      <c r="H143" s="22" t="s">
        <v>483</v>
      </c>
      <c r="I143" s="22"/>
    </row>
    <row r="144" spans="1:9" x14ac:dyDescent="0.25">
      <c r="A144" s="22" t="b">
        <v>0</v>
      </c>
      <c r="B144" s="22" t="s">
        <v>2033</v>
      </c>
      <c r="C144" s="34">
        <v>45864</v>
      </c>
      <c r="D144" s="22" t="s">
        <v>3096</v>
      </c>
      <c r="E144" s="22">
        <v>-260.2</v>
      </c>
      <c r="F144" s="28"/>
      <c r="G144" s="22" t="s">
        <v>489</v>
      </c>
      <c r="H144" s="22" t="s">
        <v>483</v>
      </c>
      <c r="I144" s="22"/>
    </row>
    <row r="145" spans="1:9" x14ac:dyDescent="0.25">
      <c r="A145" s="22" t="b">
        <v>0</v>
      </c>
      <c r="B145" s="22" t="s">
        <v>2034</v>
      </c>
      <c r="C145" s="34">
        <v>45864</v>
      </c>
      <c r="D145" s="22" t="s">
        <v>3097</v>
      </c>
      <c r="E145" s="22">
        <v>-87.7</v>
      </c>
      <c r="F145" s="28"/>
      <c r="G145" s="22" t="s">
        <v>489</v>
      </c>
      <c r="H145" s="22" t="s">
        <v>483</v>
      </c>
      <c r="I145" s="22"/>
    </row>
    <row r="146" spans="1:9" x14ac:dyDescent="0.25">
      <c r="A146" s="22" t="b">
        <v>0</v>
      </c>
      <c r="B146" s="22" t="s">
        <v>2035</v>
      </c>
      <c r="C146" s="34">
        <v>45864</v>
      </c>
      <c r="D146" s="22" t="s">
        <v>3098</v>
      </c>
      <c r="E146" s="22">
        <v>-420.2</v>
      </c>
      <c r="F146" s="28"/>
      <c r="G146" s="22" t="s">
        <v>489</v>
      </c>
      <c r="H146" s="22" t="s">
        <v>483</v>
      </c>
      <c r="I146" s="22"/>
    </row>
    <row r="147" spans="1:9" x14ac:dyDescent="0.25">
      <c r="A147" s="22" t="b">
        <v>0</v>
      </c>
      <c r="B147" s="22" t="s">
        <v>2028</v>
      </c>
      <c r="C147" s="34">
        <v>45865</v>
      </c>
      <c r="D147" s="22" t="s">
        <v>3053</v>
      </c>
      <c r="E147" s="22">
        <v>-7.7</v>
      </c>
      <c r="F147" s="28"/>
      <c r="G147" s="22" t="s">
        <v>489</v>
      </c>
      <c r="H147" s="22" t="s">
        <v>483</v>
      </c>
      <c r="I147" s="22"/>
    </row>
    <row r="148" spans="1:9" x14ac:dyDescent="0.25">
      <c r="A148" s="22" t="b">
        <v>0</v>
      </c>
      <c r="B148" s="22" t="s">
        <v>2029</v>
      </c>
      <c r="C148" s="34">
        <v>45865</v>
      </c>
      <c r="D148" s="22" t="s">
        <v>3099</v>
      </c>
      <c r="E148" s="22">
        <v>-211.7</v>
      </c>
      <c r="F148" s="28"/>
      <c r="G148" s="22" t="s">
        <v>489</v>
      </c>
      <c r="H148" s="22" t="s">
        <v>483</v>
      </c>
      <c r="I148" s="22"/>
    </row>
    <row r="149" spans="1:9" x14ac:dyDescent="0.25">
      <c r="A149" s="22" t="b">
        <v>0</v>
      </c>
      <c r="B149" s="22" t="s">
        <v>2030</v>
      </c>
      <c r="C149" s="34">
        <v>45865</v>
      </c>
      <c r="D149" s="22" t="s">
        <v>3100</v>
      </c>
      <c r="E149" s="22">
        <v>-170.2</v>
      </c>
      <c r="F149" s="28"/>
      <c r="G149" s="22" t="s">
        <v>489</v>
      </c>
      <c r="H149" s="22" t="s">
        <v>483</v>
      </c>
      <c r="I149" s="22"/>
    </row>
    <row r="150" spans="1:9" x14ac:dyDescent="0.25">
      <c r="A150" s="22" t="b">
        <v>0</v>
      </c>
      <c r="B150" s="22" t="s">
        <v>2031</v>
      </c>
      <c r="C150" s="34">
        <v>45865</v>
      </c>
      <c r="D150" s="22" t="s">
        <v>3101</v>
      </c>
      <c r="E150" s="22">
        <v>-260.2</v>
      </c>
      <c r="F150" s="28"/>
      <c r="G150" s="22" t="s">
        <v>489</v>
      </c>
      <c r="H150" s="22" t="s">
        <v>483</v>
      </c>
      <c r="I150" s="22"/>
    </row>
    <row r="151" spans="1:9" x14ac:dyDescent="0.25">
      <c r="A151" s="22" t="b">
        <v>0</v>
      </c>
      <c r="B151" s="22" t="s">
        <v>2032</v>
      </c>
      <c r="C151" s="34">
        <v>45865</v>
      </c>
      <c r="D151" s="22" t="s">
        <v>3102</v>
      </c>
      <c r="E151" s="22">
        <v>-420.2</v>
      </c>
      <c r="F151" s="28"/>
      <c r="G151" s="22" t="s">
        <v>489</v>
      </c>
      <c r="H151" s="22" t="s">
        <v>483</v>
      </c>
      <c r="I151" s="22"/>
    </row>
    <row r="152" spans="1:9" x14ac:dyDescent="0.25">
      <c r="A152" s="22" t="b">
        <v>0</v>
      </c>
      <c r="B152" s="22" t="s">
        <v>2025</v>
      </c>
      <c r="C152" s="34">
        <v>45866</v>
      </c>
      <c r="D152" s="22" t="s">
        <v>3103</v>
      </c>
      <c r="E152" s="22">
        <v>-110.2</v>
      </c>
      <c r="F152" s="28"/>
      <c r="G152" s="22" t="s">
        <v>489</v>
      </c>
      <c r="H152" s="22" t="s">
        <v>483</v>
      </c>
      <c r="I152" s="22"/>
    </row>
    <row r="153" spans="1:9" x14ac:dyDescent="0.25">
      <c r="A153" s="22" t="b">
        <v>0</v>
      </c>
      <c r="B153" s="22" t="s">
        <v>2026</v>
      </c>
      <c r="C153" s="34">
        <v>45866</v>
      </c>
      <c r="D153" s="22" t="s">
        <v>3104</v>
      </c>
      <c r="E153" s="22">
        <v>-520.20000000000005</v>
      </c>
      <c r="F153" s="28"/>
      <c r="G153" s="22" t="s">
        <v>489</v>
      </c>
      <c r="H153" s="22" t="s">
        <v>483</v>
      </c>
      <c r="I153" s="22"/>
    </row>
    <row r="154" spans="1:9" x14ac:dyDescent="0.25">
      <c r="A154" s="22" t="b">
        <v>0</v>
      </c>
      <c r="B154" s="22" t="s">
        <v>2027</v>
      </c>
      <c r="C154" s="34">
        <v>45866</v>
      </c>
      <c r="D154" s="22" t="s">
        <v>3105</v>
      </c>
      <c r="E154" s="22">
        <v>-950.2</v>
      </c>
      <c r="F154" s="28"/>
      <c r="G154" s="22" t="s">
        <v>489</v>
      </c>
      <c r="H154" s="22" t="s">
        <v>483</v>
      </c>
      <c r="I154" s="22"/>
    </row>
    <row r="155" spans="1:9" x14ac:dyDescent="0.25">
      <c r="A155" s="22" t="b">
        <v>0</v>
      </c>
      <c r="B155" s="22" t="s">
        <v>2022</v>
      </c>
      <c r="C155" s="34">
        <v>45867</v>
      </c>
      <c r="D155" s="22" t="s">
        <v>3106</v>
      </c>
      <c r="E155" s="22">
        <v>-165.2</v>
      </c>
      <c r="F155" s="28"/>
      <c r="G155" s="22" t="s">
        <v>489</v>
      </c>
      <c r="H155" s="22" t="s">
        <v>483</v>
      </c>
      <c r="I155" s="22"/>
    </row>
    <row r="156" spans="1:9" x14ac:dyDescent="0.25">
      <c r="A156" s="22" t="b">
        <v>0</v>
      </c>
      <c r="B156" s="22" t="s">
        <v>2023</v>
      </c>
      <c r="C156" s="34">
        <v>45867</v>
      </c>
      <c r="D156" s="22" t="s">
        <v>3107</v>
      </c>
      <c r="E156" s="22">
        <v>-113.7</v>
      </c>
      <c r="F156" s="28"/>
      <c r="G156" s="22" t="s">
        <v>489</v>
      </c>
      <c r="H156" s="22" t="s">
        <v>483</v>
      </c>
      <c r="I156" s="22"/>
    </row>
    <row r="157" spans="1:9" x14ac:dyDescent="0.25">
      <c r="A157" s="22" t="b">
        <v>0</v>
      </c>
      <c r="B157" s="22" t="s">
        <v>2024</v>
      </c>
      <c r="C157" s="34">
        <v>45867</v>
      </c>
      <c r="D157" s="22" t="s">
        <v>3108</v>
      </c>
      <c r="E157" s="22">
        <v>-145.19999999999999</v>
      </c>
      <c r="F157" s="28"/>
      <c r="G157" s="22" t="s">
        <v>489</v>
      </c>
      <c r="H157" s="22" t="s">
        <v>483</v>
      </c>
      <c r="I157" s="22"/>
    </row>
    <row r="158" spans="1:9" x14ac:dyDescent="0.25">
      <c r="A158" s="22" t="b">
        <v>0</v>
      </c>
      <c r="B158" s="22" t="s">
        <v>2050</v>
      </c>
      <c r="C158" s="34">
        <v>45867</v>
      </c>
      <c r="D158" s="22" t="s">
        <v>3109</v>
      </c>
      <c r="E158" s="22">
        <v>-70.2</v>
      </c>
      <c r="F158" s="28"/>
      <c r="G158" s="22" t="s">
        <v>489</v>
      </c>
      <c r="H158" s="22" t="s">
        <v>483</v>
      </c>
      <c r="I158" s="22"/>
    </row>
    <row r="159" spans="1:9" x14ac:dyDescent="0.25">
      <c r="A159" s="22" t="b">
        <v>0</v>
      </c>
      <c r="B159" s="22" t="s">
        <v>2051</v>
      </c>
      <c r="C159" s="34">
        <v>45867</v>
      </c>
      <c r="D159" s="22" t="s">
        <v>3110</v>
      </c>
      <c r="E159" s="22">
        <v>-96.2</v>
      </c>
      <c r="F159" s="28"/>
      <c r="G159" s="22" t="s">
        <v>489</v>
      </c>
      <c r="H159" s="22" t="s">
        <v>483</v>
      </c>
      <c r="I159" s="22"/>
    </row>
    <row r="160" spans="1:9" x14ac:dyDescent="0.25">
      <c r="A160" s="22" t="b">
        <v>0</v>
      </c>
      <c r="B160" s="22" t="s">
        <v>2021</v>
      </c>
      <c r="C160" s="34">
        <v>45868</v>
      </c>
      <c r="D160" s="22" t="s">
        <v>3111</v>
      </c>
      <c r="E160" s="22">
        <v>-340</v>
      </c>
      <c r="F160" s="28"/>
      <c r="G160" s="22" t="s">
        <v>489</v>
      </c>
      <c r="H160" s="22" t="s">
        <v>483</v>
      </c>
      <c r="I160" s="22"/>
    </row>
    <row r="161" spans="1:9" x14ac:dyDescent="0.25">
      <c r="A161" s="22" t="b">
        <v>0</v>
      </c>
      <c r="B161" s="22" t="s">
        <v>2020</v>
      </c>
      <c r="C161" s="34">
        <v>45869</v>
      </c>
      <c r="D161" s="22" t="s">
        <v>3112</v>
      </c>
      <c r="E161" s="22">
        <v>-240.2</v>
      </c>
      <c r="F161" s="28"/>
      <c r="G161" s="22" t="s">
        <v>489</v>
      </c>
      <c r="H161" s="22" t="s">
        <v>483</v>
      </c>
      <c r="I161" s="22"/>
    </row>
    <row r="162" spans="1:9" x14ac:dyDescent="0.25">
      <c r="A162" s="22" t="b">
        <v>0</v>
      </c>
      <c r="B162" s="22" t="s">
        <v>2019</v>
      </c>
      <c r="C162" s="34">
        <v>45870</v>
      </c>
      <c r="D162" s="22" t="s">
        <v>3113</v>
      </c>
      <c r="E162" s="22">
        <v>-104.7</v>
      </c>
      <c r="F162" s="28"/>
      <c r="G162" s="22" t="s">
        <v>489</v>
      </c>
      <c r="H162" s="22" t="s">
        <v>483</v>
      </c>
      <c r="I162" s="22"/>
    </row>
    <row r="163" spans="1:9" x14ac:dyDescent="0.25">
      <c r="A163" s="22" t="b">
        <v>0</v>
      </c>
      <c r="B163" s="22" t="s">
        <v>2012</v>
      </c>
      <c r="C163" s="34">
        <v>45872</v>
      </c>
      <c r="D163" s="22" t="s">
        <v>3114</v>
      </c>
      <c r="E163" s="22">
        <v>-1100.2</v>
      </c>
      <c r="F163" s="28"/>
      <c r="G163" s="22" t="s">
        <v>489</v>
      </c>
      <c r="H163" s="22" t="s">
        <v>483</v>
      </c>
      <c r="I163" s="22"/>
    </row>
    <row r="164" spans="1:9" x14ac:dyDescent="0.25">
      <c r="A164" s="22" t="b">
        <v>0</v>
      </c>
      <c r="B164" s="22" t="s">
        <v>2013</v>
      </c>
      <c r="C164" s="34">
        <v>45872</v>
      </c>
      <c r="D164" s="22" t="s">
        <v>3115</v>
      </c>
      <c r="E164" s="22">
        <v>-160.19999999999999</v>
      </c>
      <c r="F164" s="28"/>
      <c r="G164" s="22" t="s">
        <v>489</v>
      </c>
      <c r="H164" s="22" t="s">
        <v>483</v>
      </c>
      <c r="I164" s="22"/>
    </row>
    <row r="165" spans="1:9" x14ac:dyDescent="0.25">
      <c r="A165" s="22" t="b">
        <v>0</v>
      </c>
      <c r="B165" s="22" t="s">
        <v>2014</v>
      </c>
      <c r="C165" s="34">
        <v>45872</v>
      </c>
      <c r="D165" s="22" t="s">
        <v>3116</v>
      </c>
      <c r="E165" s="22">
        <v>-770.2</v>
      </c>
      <c r="F165" s="28"/>
      <c r="G165" s="22" t="s">
        <v>489</v>
      </c>
      <c r="H165" s="22" t="s">
        <v>483</v>
      </c>
      <c r="I165" s="22"/>
    </row>
    <row r="166" spans="1:9" x14ac:dyDescent="0.25">
      <c r="A166" s="22" t="b">
        <v>0</v>
      </c>
      <c r="B166" s="22" t="s">
        <v>2015</v>
      </c>
      <c r="C166" s="34">
        <v>45872</v>
      </c>
      <c r="D166" s="22" t="s">
        <v>3117</v>
      </c>
      <c r="E166" s="22">
        <v>-739.7</v>
      </c>
      <c r="F166" s="28"/>
      <c r="G166" s="22" t="s">
        <v>489</v>
      </c>
      <c r="H166" s="22" t="s">
        <v>483</v>
      </c>
      <c r="I166" s="22"/>
    </row>
    <row r="167" spans="1:9" x14ac:dyDescent="0.25">
      <c r="A167" s="22" t="b">
        <v>0</v>
      </c>
      <c r="B167" s="22" t="s">
        <v>2016</v>
      </c>
      <c r="C167" s="34">
        <v>45872</v>
      </c>
      <c r="D167" s="22" t="s">
        <v>3118</v>
      </c>
      <c r="E167" s="22">
        <v>-70.2</v>
      </c>
      <c r="F167" s="28"/>
      <c r="G167" s="22" t="s">
        <v>489</v>
      </c>
      <c r="H167" s="22" t="s">
        <v>483</v>
      </c>
      <c r="I167" s="22"/>
    </row>
    <row r="168" spans="1:9" x14ac:dyDescent="0.25">
      <c r="A168" s="22" t="b">
        <v>0</v>
      </c>
      <c r="B168" s="22" t="s">
        <v>2017</v>
      </c>
      <c r="C168" s="34">
        <v>45872</v>
      </c>
      <c r="D168" s="22" t="s">
        <v>3119</v>
      </c>
      <c r="E168" s="22">
        <v>-325.2</v>
      </c>
      <c r="F168" s="28"/>
      <c r="G168" s="22" t="s">
        <v>489</v>
      </c>
      <c r="H168" s="22" t="s">
        <v>483</v>
      </c>
      <c r="I168" s="22"/>
    </row>
    <row r="169" spans="1:9" x14ac:dyDescent="0.25">
      <c r="A169" s="22" t="b">
        <v>0</v>
      </c>
      <c r="B169" s="22" t="s">
        <v>2018</v>
      </c>
      <c r="C169" s="34">
        <v>45872</v>
      </c>
      <c r="D169" s="22" t="s">
        <v>3120</v>
      </c>
      <c r="E169" s="22">
        <v>-160.19999999999999</v>
      </c>
      <c r="F169" s="28"/>
      <c r="G169" s="22" t="s">
        <v>489</v>
      </c>
      <c r="H169" s="22" t="s">
        <v>483</v>
      </c>
      <c r="I169" s="22"/>
    </row>
    <row r="170" spans="1:9" x14ac:dyDescent="0.25">
      <c r="A170" s="22" t="b">
        <v>0</v>
      </c>
      <c r="B170" s="22" t="s">
        <v>2009</v>
      </c>
      <c r="C170" s="34">
        <v>45873</v>
      </c>
      <c r="D170" s="22" t="s">
        <v>3121</v>
      </c>
      <c r="E170" s="22">
        <v>-2768.2</v>
      </c>
      <c r="F170" s="28"/>
      <c r="G170" s="22" t="s">
        <v>489</v>
      </c>
      <c r="H170" s="22" t="s">
        <v>483</v>
      </c>
      <c r="I170" s="22"/>
    </row>
    <row r="171" spans="1:9" x14ac:dyDescent="0.25">
      <c r="A171" s="22" t="b">
        <v>0</v>
      </c>
      <c r="B171" s="22" t="s">
        <v>2011</v>
      </c>
      <c r="C171" s="34">
        <v>45873</v>
      </c>
      <c r="D171" s="22" t="s">
        <v>3122</v>
      </c>
      <c r="E171" s="22">
        <v>-6435.2</v>
      </c>
      <c r="F171" s="28"/>
      <c r="G171" s="22" t="s">
        <v>489</v>
      </c>
      <c r="H171" s="22" t="s">
        <v>483</v>
      </c>
      <c r="I171" s="22"/>
    </row>
    <row r="172" spans="1:9" x14ac:dyDescent="0.25">
      <c r="A172" s="22" t="b">
        <v>0</v>
      </c>
      <c r="B172" s="22" t="s">
        <v>2008</v>
      </c>
      <c r="C172" s="34">
        <v>45875</v>
      </c>
      <c r="D172" s="22" t="s">
        <v>3108</v>
      </c>
      <c r="E172" s="22">
        <v>-267.2</v>
      </c>
      <c r="F172" s="28"/>
      <c r="G172" s="22" t="s">
        <v>489</v>
      </c>
      <c r="H172" s="22" t="s">
        <v>483</v>
      </c>
      <c r="I172" s="22"/>
    </row>
    <row r="173" spans="1:9" x14ac:dyDescent="0.25">
      <c r="A173" s="22" t="b">
        <v>0</v>
      </c>
      <c r="B173" s="22" t="s">
        <v>2010</v>
      </c>
      <c r="C173" s="34">
        <v>45875</v>
      </c>
      <c r="D173" s="22" t="s">
        <v>3123</v>
      </c>
      <c r="E173" s="22">
        <v>-122.7</v>
      </c>
      <c r="F173" s="28"/>
      <c r="G173" s="22" t="s">
        <v>489</v>
      </c>
      <c r="H173" s="22" t="s">
        <v>483</v>
      </c>
      <c r="I173" s="22"/>
    </row>
    <row r="174" spans="1:9" x14ac:dyDescent="0.25">
      <c r="A174" s="22" t="b">
        <v>0</v>
      </c>
      <c r="B174" s="22" t="s">
        <v>1966</v>
      </c>
      <c r="C174" s="34">
        <v>45876</v>
      </c>
      <c r="D174" s="22" t="s">
        <v>3124</v>
      </c>
      <c r="E174" s="22">
        <v>-5800.2</v>
      </c>
      <c r="F174" s="28"/>
      <c r="G174" s="22" t="s">
        <v>489</v>
      </c>
      <c r="H174" s="22" t="s">
        <v>483</v>
      </c>
      <c r="I174" s="22"/>
    </row>
    <row r="175" spans="1:9" x14ac:dyDescent="0.25">
      <c r="A175" s="22" t="b">
        <v>0</v>
      </c>
      <c r="B175" s="22" t="s">
        <v>2002</v>
      </c>
      <c r="C175" s="34">
        <v>45876</v>
      </c>
      <c r="D175" s="22" t="s">
        <v>3125</v>
      </c>
      <c r="E175" s="22">
        <v>-2000.2</v>
      </c>
      <c r="F175" s="28"/>
      <c r="G175" s="22" t="s">
        <v>489</v>
      </c>
      <c r="H175" s="22" t="s">
        <v>483</v>
      </c>
      <c r="I175" s="22"/>
    </row>
    <row r="176" spans="1:9" x14ac:dyDescent="0.25">
      <c r="A176" s="22" t="b">
        <v>0</v>
      </c>
      <c r="B176" s="22" t="s">
        <v>2003</v>
      </c>
      <c r="C176" s="34">
        <v>45876</v>
      </c>
      <c r="D176" s="22" t="s">
        <v>3126</v>
      </c>
      <c r="E176" s="22">
        <v>-105.2</v>
      </c>
      <c r="F176" s="28"/>
      <c r="G176" s="22" t="s">
        <v>489</v>
      </c>
      <c r="H176" s="22" t="s">
        <v>483</v>
      </c>
      <c r="I176" s="22"/>
    </row>
    <row r="177" spans="1:9" x14ac:dyDescent="0.25">
      <c r="A177" s="22" t="b">
        <v>0</v>
      </c>
      <c r="B177" s="22" t="s">
        <v>2004</v>
      </c>
      <c r="C177" s="34">
        <v>45876</v>
      </c>
      <c r="D177" s="22" t="s">
        <v>3001</v>
      </c>
      <c r="E177" s="22">
        <v>-91.7</v>
      </c>
      <c r="F177" s="28"/>
      <c r="G177" s="22" t="s">
        <v>489</v>
      </c>
      <c r="H177" s="22" t="s">
        <v>483</v>
      </c>
      <c r="I177" s="22"/>
    </row>
    <row r="178" spans="1:9" x14ac:dyDescent="0.25">
      <c r="A178" s="22" t="b">
        <v>0</v>
      </c>
      <c r="B178" s="22" t="s">
        <v>2005</v>
      </c>
      <c r="C178" s="34">
        <v>45876</v>
      </c>
      <c r="D178" s="22" t="s">
        <v>3127</v>
      </c>
      <c r="E178" s="22">
        <v>-6823.2</v>
      </c>
      <c r="F178" s="28"/>
      <c r="G178" s="22" t="s">
        <v>489</v>
      </c>
      <c r="H178" s="22" t="s">
        <v>483</v>
      </c>
      <c r="I178" s="22"/>
    </row>
    <row r="179" spans="1:9" x14ac:dyDescent="0.25">
      <c r="A179" s="22" t="b">
        <v>0</v>
      </c>
      <c r="B179" s="22" t="s">
        <v>2006</v>
      </c>
      <c r="C179" s="34">
        <v>45876</v>
      </c>
      <c r="D179" s="22" t="s">
        <v>3128</v>
      </c>
      <c r="E179" s="22">
        <v>-6214.7</v>
      </c>
      <c r="F179" s="28"/>
      <c r="G179" s="22" t="s">
        <v>489</v>
      </c>
      <c r="H179" s="22" t="s">
        <v>483</v>
      </c>
      <c r="I179" s="22"/>
    </row>
    <row r="180" spans="1:9" x14ac:dyDescent="0.25">
      <c r="A180" s="22" t="b">
        <v>0</v>
      </c>
      <c r="B180" s="22" t="s">
        <v>2007</v>
      </c>
      <c r="C180" s="34">
        <v>45876</v>
      </c>
      <c r="D180" s="22" t="s">
        <v>3129</v>
      </c>
      <c r="E180" s="22">
        <v>-5760.2</v>
      </c>
      <c r="F180" s="28"/>
      <c r="G180" s="22" t="s">
        <v>489</v>
      </c>
      <c r="H180" s="22" t="s">
        <v>483</v>
      </c>
      <c r="I180" s="22"/>
    </row>
    <row r="181" spans="1:9" x14ac:dyDescent="0.25">
      <c r="A181" s="22" t="b">
        <v>0</v>
      </c>
      <c r="B181" s="22" t="s">
        <v>2001</v>
      </c>
      <c r="C181" s="34">
        <v>45878</v>
      </c>
      <c r="D181" s="22" t="s">
        <v>3130</v>
      </c>
      <c r="E181" s="22">
        <v>-4275.5</v>
      </c>
      <c r="F181" s="28"/>
      <c r="G181" s="22" t="s">
        <v>489</v>
      </c>
      <c r="H181" s="22" t="s">
        <v>483</v>
      </c>
      <c r="I181" s="22"/>
    </row>
    <row r="182" spans="1:9" x14ac:dyDescent="0.25">
      <c r="A182" s="22" t="b">
        <v>0</v>
      </c>
      <c r="B182" s="22" t="s">
        <v>1962</v>
      </c>
      <c r="C182" s="34">
        <v>45879</v>
      </c>
      <c r="D182" s="22" t="s">
        <v>3131</v>
      </c>
      <c r="E182" s="22">
        <v>-4721.49</v>
      </c>
      <c r="F182" s="28"/>
      <c r="G182" s="22" t="s">
        <v>489</v>
      </c>
      <c r="H182" s="22" t="s">
        <v>483</v>
      </c>
      <c r="I182" s="22"/>
    </row>
    <row r="183" spans="1:9" x14ac:dyDescent="0.25">
      <c r="A183" s="22" t="b">
        <v>0</v>
      </c>
      <c r="B183" s="22" t="s">
        <v>1963</v>
      </c>
      <c r="C183" s="34">
        <v>45879</v>
      </c>
      <c r="D183" s="22" t="s">
        <v>3132</v>
      </c>
      <c r="E183" s="22">
        <v>-110</v>
      </c>
      <c r="F183" s="28"/>
      <c r="G183" s="22" t="s">
        <v>489</v>
      </c>
      <c r="H183" s="22" t="s">
        <v>483</v>
      </c>
      <c r="I183" s="22"/>
    </row>
    <row r="184" spans="1:9" x14ac:dyDescent="0.25">
      <c r="A184" s="22" t="b">
        <v>0</v>
      </c>
      <c r="B184" s="22" t="s">
        <v>1964</v>
      </c>
      <c r="C184" s="34">
        <v>45879</v>
      </c>
      <c r="D184" s="22" t="s">
        <v>3133</v>
      </c>
      <c r="E184" s="22">
        <v>-212</v>
      </c>
      <c r="F184" s="28"/>
      <c r="G184" s="22" t="s">
        <v>489</v>
      </c>
      <c r="H184" s="22" t="s">
        <v>483</v>
      </c>
      <c r="I184" s="22"/>
    </row>
    <row r="185" spans="1:9" x14ac:dyDescent="0.25">
      <c r="A185" s="22" t="b">
        <v>0</v>
      </c>
      <c r="B185" s="22" t="s">
        <v>1956</v>
      </c>
      <c r="C185" s="34">
        <v>45880</v>
      </c>
      <c r="D185" s="22" t="s">
        <v>3134</v>
      </c>
      <c r="E185" s="22">
        <v>-253.7</v>
      </c>
      <c r="F185" s="28"/>
      <c r="G185" s="22" t="s">
        <v>489</v>
      </c>
      <c r="H185" s="22" t="s">
        <v>483</v>
      </c>
      <c r="I185" s="22"/>
    </row>
    <row r="186" spans="1:9" x14ac:dyDescent="0.25">
      <c r="A186" s="22" t="b">
        <v>0</v>
      </c>
      <c r="B186" s="22" t="s">
        <v>1957</v>
      </c>
      <c r="C186" s="34">
        <v>45880</v>
      </c>
      <c r="D186" s="22" t="s">
        <v>3135</v>
      </c>
      <c r="E186" s="22">
        <v>-177.2</v>
      </c>
      <c r="F186" s="28"/>
      <c r="G186" s="22" t="s">
        <v>489</v>
      </c>
      <c r="H186" s="22" t="s">
        <v>483</v>
      </c>
      <c r="I186" s="22"/>
    </row>
    <row r="187" spans="1:9" x14ac:dyDescent="0.25">
      <c r="A187" s="22" t="b">
        <v>0</v>
      </c>
      <c r="B187" s="22" t="s">
        <v>1958</v>
      </c>
      <c r="C187" s="34">
        <v>45880</v>
      </c>
      <c r="D187" s="22" t="s">
        <v>3136</v>
      </c>
      <c r="E187" s="22">
        <v>-157.69999999999999</v>
      </c>
      <c r="F187" s="28"/>
      <c r="G187" s="22" t="s">
        <v>489</v>
      </c>
      <c r="H187" s="22" t="s">
        <v>483</v>
      </c>
      <c r="I187" s="22"/>
    </row>
    <row r="188" spans="1:9" x14ac:dyDescent="0.25">
      <c r="A188" s="22" t="b">
        <v>0</v>
      </c>
      <c r="B188" s="22" t="s">
        <v>1959</v>
      </c>
      <c r="C188" s="34">
        <v>45880</v>
      </c>
      <c r="D188" s="22" t="s">
        <v>3119</v>
      </c>
      <c r="E188" s="22">
        <v>-465.2</v>
      </c>
      <c r="F188" s="28"/>
      <c r="G188" s="22" t="s">
        <v>489</v>
      </c>
      <c r="H188" s="22" t="s">
        <v>483</v>
      </c>
      <c r="I188" s="22"/>
    </row>
    <row r="189" spans="1:9" x14ac:dyDescent="0.25">
      <c r="A189" s="22" t="b">
        <v>0</v>
      </c>
      <c r="B189" s="22" t="s">
        <v>1960</v>
      </c>
      <c r="C189" s="34">
        <v>45880</v>
      </c>
      <c r="D189" s="22" t="s">
        <v>3137</v>
      </c>
      <c r="E189" s="22">
        <v>-90</v>
      </c>
      <c r="F189" s="28"/>
      <c r="G189" s="22" t="s">
        <v>489</v>
      </c>
      <c r="H189" s="22" t="s">
        <v>483</v>
      </c>
      <c r="I189" s="22"/>
    </row>
    <row r="190" spans="1:9" x14ac:dyDescent="0.25">
      <c r="A190" s="22" t="b">
        <v>0</v>
      </c>
      <c r="B190" s="22" t="s">
        <v>1961</v>
      </c>
      <c r="C190" s="34">
        <v>45880</v>
      </c>
      <c r="D190" s="22" t="s">
        <v>3138</v>
      </c>
      <c r="E190" s="22">
        <v>-97.5</v>
      </c>
      <c r="F190" s="28"/>
      <c r="G190" s="22" t="s">
        <v>489</v>
      </c>
      <c r="H190" s="22" t="s">
        <v>483</v>
      </c>
      <c r="I190" s="22"/>
    </row>
    <row r="191" spans="1:9" x14ac:dyDescent="0.25">
      <c r="A191" s="22" t="b">
        <v>0</v>
      </c>
      <c r="B191" s="22" t="s">
        <v>1952</v>
      </c>
      <c r="C191" s="34">
        <v>45881</v>
      </c>
      <c r="D191" s="22" t="s">
        <v>3139</v>
      </c>
      <c r="E191" s="22">
        <v>-85.2</v>
      </c>
      <c r="F191" s="28"/>
      <c r="G191" s="22" t="s">
        <v>489</v>
      </c>
      <c r="H191" s="22" t="s">
        <v>483</v>
      </c>
      <c r="I191" s="22"/>
    </row>
    <row r="192" spans="1:9" x14ac:dyDescent="0.25">
      <c r="A192" s="22" t="b">
        <v>0</v>
      </c>
      <c r="B192" s="22" t="s">
        <v>1953</v>
      </c>
      <c r="C192" s="34">
        <v>45881</v>
      </c>
      <c r="D192" s="22" t="s">
        <v>3140</v>
      </c>
      <c r="E192" s="22">
        <v>-400.2</v>
      </c>
      <c r="F192" s="28"/>
      <c r="G192" s="22" t="s">
        <v>489</v>
      </c>
      <c r="H192" s="22" t="s">
        <v>483</v>
      </c>
      <c r="I192" s="22"/>
    </row>
    <row r="193" spans="1:9" x14ac:dyDescent="0.25">
      <c r="A193" s="22" t="b">
        <v>0</v>
      </c>
      <c r="B193" s="22" t="s">
        <v>1954</v>
      </c>
      <c r="C193" s="34">
        <v>45881</v>
      </c>
      <c r="D193" s="22" t="s">
        <v>3141</v>
      </c>
      <c r="E193" s="22">
        <v>-150.19999999999999</v>
      </c>
      <c r="F193" s="28"/>
      <c r="G193" s="22" t="s">
        <v>489</v>
      </c>
      <c r="H193" s="22" t="s">
        <v>483</v>
      </c>
      <c r="I193" s="22"/>
    </row>
    <row r="194" spans="1:9" x14ac:dyDescent="0.25">
      <c r="A194" s="22" t="b">
        <v>0</v>
      </c>
      <c r="B194" s="22" t="s">
        <v>1955</v>
      </c>
      <c r="C194" s="34">
        <v>45881</v>
      </c>
      <c r="D194" s="22" t="s">
        <v>3142</v>
      </c>
      <c r="E194" s="22">
        <v>-700.2</v>
      </c>
      <c r="F194" s="28"/>
      <c r="G194" s="22" t="s">
        <v>489</v>
      </c>
      <c r="H194" s="22" t="s">
        <v>483</v>
      </c>
      <c r="I194" s="22"/>
    </row>
    <row r="195" spans="1:9" x14ac:dyDescent="0.25">
      <c r="A195" s="22" t="b">
        <v>0</v>
      </c>
      <c r="B195" s="22" t="s">
        <v>1951</v>
      </c>
      <c r="C195" s="34">
        <v>45883</v>
      </c>
      <c r="D195" s="22" t="s">
        <v>3143</v>
      </c>
      <c r="E195" s="22">
        <v>-640.20000000000005</v>
      </c>
      <c r="F195" s="28"/>
      <c r="G195" s="22" t="s">
        <v>489</v>
      </c>
      <c r="H195" s="22" t="s">
        <v>483</v>
      </c>
      <c r="I195" s="22"/>
    </row>
    <row r="196" spans="1:9" x14ac:dyDescent="0.25">
      <c r="A196" s="22" t="b">
        <v>0</v>
      </c>
      <c r="B196" s="22" t="s">
        <v>2000</v>
      </c>
      <c r="C196" s="34">
        <v>45883</v>
      </c>
      <c r="D196" s="22" t="s">
        <v>3144</v>
      </c>
      <c r="E196" s="22">
        <v>-300.2</v>
      </c>
      <c r="F196" s="28"/>
      <c r="G196" s="22" t="s">
        <v>489</v>
      </c>
      <c r="H196" s="22" t="s">
        <v>483</v>
      </c>
      <c r="I196" s="22"/>
    </row>
    <row r="197" spans="1:9" x14ac:dyDescent="0.25">
      <c r="A197" s="22" t="b">
        <v>0</v>
      </c>
      <c r="B197" s="22" t="s">
        <v>1947</v>
      </c>
      <c r="C197" s="34">
        <v>45884</v>
      </c>
      <c r="D197" s="22" t="s">
        <v>3145</v>
      </c>
      <c r="E197" s="22">
        <v>-1050.2</v>
      </c>
      <c r="F197" s="28"/>
      <c r="G197" s="22" t="s">
        <v>489</v>
      </c>
      <c r="H197" s="22" t="s">
        <v>483</v>
      </c>
      <c r="I197" s="22"/>
    </row>
    <row r="198" spans="1:9" x14ac:dyDescent="0.25">
      <c r="A198" s="22" t="b">
        <v>0</v>
      </c>
      <c r="B198" s="22" t="s">
        <v>1948</v>
      </c>
      <c r="C198" s="34">
        <v>45884</v>
      </c>
      <c r="D198" s="22" t="s">
        <v>3146</v>
      </c>
      <c r="E198" s="22">
        <v>-100.2</v>
      </c>
      <c r="F198" s="28"/>
      <c r="G198" s="22" t="s">
        <v>489</v>
      </c>
      <c r="H198" s="22" t="s">
        <v>483</v>
      </c>
      <c r="I198" s="22"/>
    </row>
    <row r="199" spans="1:9" x14ac:dyDescent="0.25">
      <c r="A199" s="22" t="b">
        <v>0</v>
      </c>
      <c r="B199" s="22" t="s">
        <v>1949</v>
      </c>
      <c r="C199" s="34">
        <v>45884</v>
      </c>
      <c r="D199" s="22" t="s">
        <v>3147</v>
      </c>
      <c r="E199" s="22">
        <v>-218.7</v>
      </c>
      <c r="F199" s="28"/>
      <c r="G199" s="22" t="s">
        <v>489</v>
      </c>
      <c r="H199" s="22" t="s">
        <v>483</v>
      </c>
      <c r="I199" s="22"/>
    </row>
    <row r="200" spans="1:9" x14ac:dyDescent="0.25">
      <c r="A200" s="22" t="b">
        <v>0</v>
      </c>
      <c r="B200" s="22" t="s">
        <v>1950</v>
      </c>
      <c r="C200" s="34">
        <v>45884</v>
      </c>
      <c r="D200" s="22" t="s">
        <v>3148</v>
      </c>
      <c r="E200" s="22">
        <v>-800.2</v>
      </c>
      <c r="F200" s="28"/>
      <c r="G200" s="22" t="s">
        <v>489</v>
      </c>
      <c r="H200" s="22" t="s">
        <v>483</v>
      </c>
      <c r="I200" s="22"/>
    </row>
    <row r="201" spans="1:9" x14ac:dyDescent="0.25">
      <c r="A201" s="22" t="b">
        <v>0</v>
      </c>
      <c r="B201" s="22" t="s">
        <v>2409</v>
      </c>
      <c r="C201" s="34">
        <v>45886</v>
      </c>
      <c r="D201" s="22" t="s">
        <v>3149</v>
      </c>
      <c r="E201" s="22">
        <v>-104.7</v>
      </c>
      <c r="F201" s="28"/>
      <c r="G201" s="22" t="s">
        <v>489</v>
      </c>
      <c r="H201" s="22" t="s">
        <v>483</v>
      </c>
      <c r="I201" s="22"/>
    </row>
    <row r="202" spans="1:9" x14ac:dyDescent="0.25">
      <c r="A202" s="22" t="b">
        <v>0</v>
      </c>
      <c r="B202" s="22" t="s">
        <v>2407</v>
      </c>
      <c r="C202" s="34">
        <v>45887</v>
      </c>
      <c r="D202" s="22" t="s">
        <v>3150</v>
      </c>
      <c r="E202" s="22">
        <v>-170.2</v>
      </c>
      <c r="F202" s="28"/>
      <c r="G202" s="22" t="s">
        <v>489</v>
      </c>
      <c r="H202" s="22" t="s">
        <v>483</v>
      </c>
      <c r="I202" s="22"/>
    </row>
    <row r="203" spans="1:9" x14ac:dyDescent="0.25">
      <c r="A203" s="22" t="b">
        <v>0</v>
      </c>
      <c r="B203" s="22" t="s">
        <v>2408</v>
      </c>
      <c r="C203" s="34">
        <v>45887</v>
      </c>
      <c r="D203" s="22" t="s">
        <v>3151</v>
      </c>
      <c r="E203" s="22">
        <v>-104.7</v>
      </c>
      <c r="F203" s="28"/>
      <c r="G203" s="22" t="s">
        <v>489</v>
      </c>
      <c r="H203" s="22" t="s">
        <v>483</v>
      </c>
      <c r="I203" s="22"/>
    </row>
    <row r="204" spans="1:9" x14ac:dyDescent="0.25">
      <c r="A204" s="22" t="b">
        <v>0</v>
      </c>
      <c r="B204" s="22" t="s">
        <v>2406</v>
      </c>
      <c r="C204" s="34">
        <v>45888</v>
      </c>
      <c r="D204" s="22" t="s">
        <v>3152</v>
      </c>
      <c r="E204" s="22">
        <v>-300.2</v>
      </c>
      <c r="F204" s="28"/>
      <c r="G204" s="22" t="s">
        <v>489</v>
      </c>
      <c r="H204" s="22" t="s">
        <v>483</v>
      </c>
      <c r="I204" s="22"/>
    </row>
    <row r="205" spans="1:9" x14ac:dyDescent="0.25">
      <c r="A205" s="22" t="b">
        <v>0</v>
      </c>
      <c r="B205" s="22" t="s">
        <v>2404</v>
      </c>
      <c r="C205" s="34">
        <v>45889</v>
      </c>
      <c r="D205" s="22" t="s">
        <v>3145</v>
      </c>
      <c r="E205" s="22">
        <v>-845.2</v>
      </c>
      <c r="F205" s="28"/>
      <c r="G205" s="22" t="s">
        <v>489</v>
      </c>
      <c r="H205" s="22" t="s">
        <v>483</v>
      </c>
      <c r="I205" s="22"/>
    </row>
    <row r="206" spans="1:9" x14ac:dyDescent="0.25">
      <c r="A206" s="22" t="b">
        <v>0</v>
      </c>
      <c r="B206" s="22" t="s">
        <v>2405</v>
      </c>
      <c r="C206" s="34">
        <v>45889</v>
      </c>
      <c r="D206" s="22" t="s">
        <v>3153</v>
      </c>
      <c r="E206" s="22">
        <v>-60.2</v>
      </c>
      <c r="F206" s="28"/>
      <c r="G206" s="22" t="s">
        <v>489</v>
      </c>
      <c r="H206" s="22" t="s">
        <v>483</v>
      </c>
      <c r="I206" s="22"/>
    </row>
    <row r="207" spans="1:9" x14ac:dyDescent="0.25">
      <c r="A207" s="22" t="b">
        <v>0</v>
      </c>
      <c r="B207" s="22" t="s">
        <v>2400</v>
      </c>
      <c r="C207" s="34">
        <v>45890</v>
      </c>
      <c r="D207" s="22" t="s">
        <v>3154</v>
      </c>
      <c r="E207" s="22">
        <v>-117.7</v>
      </c>
      <c r="F207" s="28"/>
      <c r="G207" s="22" t="s">
        <v>489</v>
      </c>
      <c r="H207" s="22" t="s">
        <v>483</v>
      </c>
      <c r="I207" s="22"/>
    </row>
    <row r="208" spans="1:9" x14ac:dyDescent="0.25">
      <c r="A208" s="22" t="b">
        <v>0</v>
      </c>
      <c r="B208" s="22" t="s">
        <v>2401</v>
      </c>
      <c r="C208" s="34">
        <v>45890</v>
      </c>
      <c r="D208" s="22" t="s">
        <v>3155</v>
      </c>
      <c r="E208" s="22">
        <v>-88.7</v>
      </c>
      <c r="F208" s="28"/>
      <c r="G208" s="22" t="s">
        <v>489</v>
      </c>
      <c r="H208" s="22" t="s">
        <v>483</v>
      </c>
      <c r="I208" s="22"/>
    </row>
    <row r="209" spans="1:9" x14ac:dyDescent="0.25">
      <c r="A209" s="22" t="b">
        <v>0</v>
      </c>
      <c r="B209" s="22" t="s">
        <v>2402</v>
      </c>
      <c r="C209" s="34">
        <v>45890</v>
      </c>
      <c r="D209" s="22" t="s">
        <v>3156</v>
      </c>
      <c r="E209" s="22">
        <v>-115.2</v>
      </c>
      <c r="F209" s="28"/>
      <c r="G209" s="22" t="s">
        <v>489</v>
      </c>
      <c r="H209" s="22" t="s">
        <v>483</v>
      </c>
      <c r="I209" s="22"/>
    </row>
    <row r="210" spans="1:9" x14ac:dyDescent="0.25">
      <c r="A210" s="22" t="b">
        <v>0</v>
      </c>
      <c r="B210" s="22" t="s">
        <v>2399</v>
      </c>
      <c r="C210" s="34">
        <v>45891</v>
      </c>
      <c r="D210" s="22" t="s">
        <v>3157</v>
      </c>
      <c r="E210" s="22">
        <v>-301.7</v>
      </c>
      <c r="F210" s="28"/>
      <c r="G210" s="22" t="s">
        <v>489</v>
      </c>
      <c r="H210" s="22" t="s">
        <v>483</v>
      </c>
      <c r="I210" s="22"/>
    </row>
    <row r="211" spans="1:9" x14ac:dyDescent="0.25">
      <c r="A211" s="22" t="b">
        <v>0</v>
      </c>
      <c r="B211" s="22" t="s">
        <v>1998</v>
      </c>
      <c r="C211" s="34">
        <v>45892</v>
      </c>
      <c r="D211" s="22" t="s">
        <v>3158</v>
      </c>
      <c r="E211" s="22">
        <v>-90.2</v>
      </c>
      <c r="F211" s="28"/>
      <c r="G211" s="22" t="s">
        <v>489</v>
      </c>
      <c r="H211" s="22" t="s">
        <v>483</v>
      </c>
      <c r="I211" s="22"/>
    </row>
    <row r="212" spans="1:9" x14ac:dyDescent="0.25">
      <c r="A212" s="22" t="b">
        <v>0</v>
      </c>
      <c r="B212" s="22" t="s">
        <v>2398</v>
      </c>
      <c r="C212" s="34">
        <v>45892</v>
      </c>
      <c r="D212" s="22" t="s">
        <v>3159</v>
      </c>
      <c r="E212" s="22">
        <v>-625.20000000000005</v>
      </c>
      <c r="F212" s="28"/>
      <c r="G212" s="22" t="s">
        <v>489</v>
      </c>
      <c r="H212" s="22" t="s">
        <v>483</v>
      </c>
      <c r="I212" s="22"/>
    </row>
    <row r="213" spans="1:9" x14ac:dyDescent="0.25">
      <c r="A213" s="22" t="b">
        <v>0</v>
      </c>
      <c r="B213" s="22" t="s">
        <v>2396</v>
      </c>
      <c r="C213" s="34">
        <v>45896</v>
      </c>
      <c r="D213" s="22" t="s">
        <v>3154</v>
      </c>
      <c r="E213" s="22">
        <v>-1353.7</v>
      </c>
      <c r="F213" s="28"/>
      <c r="G213" s="22" t="s">
        <v>489</v>
      </c>
      <c r="H213" s="22" t="s">
        <v>483</v>
      </c>
      <c r="I213" s="22"/>
    </row>
    <row r="214" spans="1:9" x14ac:dyDescent="0.25">
      <c r="A214" s="22" t="b">
        <v>0</v>
      </c>
      <c r="B214" s="22" t="s">
        <v>2393</v>
      </c>
      <c r="C214" s="34">
        <v>45897</v>
      </c>
      <c r="D214" s="22" t="s">
        <v>3160</v>
      </c>
      <c r="E214" s="22">
        <v>-220.2</v>
      </c>
      <c r="F214" s="28"/>
      <c r="G214" s="22" t="s">
        <v>489</v>
      </c>
      <c r="H214" s="22" t="s">
        <v>483</v>
      </c>
      <c r="I214" s="22"/>
    </row>
    <row r="215" spans="1:9" x14ac:dyDescent="0.25">
      <c r="A215" s="22" t="b">
        <v>0</v>
      </c>
      <c r="B215" s="22" t="s">
        <v>2394</v>
      </c>
      <c r="C215" s="34">
        <v>45897</v>
      </c>
      <c r="D215" s="22" t="s">
        <v>3161</v>
      </c>
      <c r="E215" s="22">
        <v>-90.2</v>
      </c>
      <c r="F215" s="28"/>
      <c r="G215" s="22" t="s">
        <v>489</v>
      </c>
      <c r="H215" s="22" t="s">
        <v>483</v>
      </c>
      <c r="I215" s="22"/>
    </row>
    <row r="216" spans="1:9" x14ac:dyDescent="0.25">
      <c r="A216" s="22" t="b">
        <v>0</v>
      </c>
      <c r="B216" s="22" t="s">
        <v>2395</v>
      </c>
      <c r="C216" s="34">
        <v>45897</v>
      </c>
      <c r="D216" s="22" t="s">
        <v>3162</v>
      </c>
      <c r="E216" s="22">
        <v>-50.2</v>
      </c>
      <c r="F216" s="28"/>
      <c r="G216" s="22" t="s">
        <v>489</v>
      </c>
      <c r="H216" s="22" t="s">
        <v>483</v>
      </c>
      <c r="I216" s="22"/>
    </row>
    <row r="217" spans="1:9" x14ac:dyDescent="0.25">
      <c r="A217" s="22" t="b">
        <v>0</v>
      </c>
      <c r="B217" s="22" t="s">
        <v>2392</v>
      </c>
      <c r="C217" s="34">
        <v>45901</v>
      </c>
      <c r="D217" s="22" t="s">
        <v>3163</v>
      </c>
      <c r="E217" s="22">
        <v>-1590.2</v>
      </c>
      <c r="F217" s="28"/>
      <c r="G217" s="22" t="s">
        <v>489</v>
      </c>
      <c r="H217" s="22" t="s">
        <v>483</v>
      </c>
      <c r="I217" s="22"/>
    </row>
    <row r="218" spans="1:9" x14ac:dyDescent="0.25">
      <c r="A218" s="22" t="b">
        <v>0</v>
      </c>
      <c r="B218" s="22" t="s">
        <v>2391</v>
      </c>
      <c r="C218" s="34">
        <v>45902</v>
      </c>
      <c r="D218" s="22" t="s">
        <v>3114</v>
      </c>
      <c r="E218" s="22">
        <v>-2320.6999999999998</v>
      </c>
      <c r="F218" s="28"/>
      <c r="G218" s="22" t="s">
        <v>489</v>
      </c>
      <c r="H218" s="22" t="s">
        <v>483</v>
      </c>
      <c r="I218" s="22"/>
    </row>
    <row r="219" spans="1:9" x14ac:dyDescent="0.25">
      <c r="A219" s="22" t="b">
        <v>0</v>
      </c>
      <c r="B219" s="22" t="s">
        <v>2383</v>
      </c>
      <c r="C219" s="34">
        <v>45903</v>
      </c>
      <c r="D219" s="22" t="s">
        <v>3164</v>
      </c>
      <c r="E219" s="22">
        <v>-63.7</v>
      </c>
      <c r="F219" s="28"/>
      <c r="G219" s="22" t="s">
        <v>489</v>
      </c>
      <c r="H219" s="22" t="s">
        <v>483</v>
      </c>
      <c r="I219" s="22"/>
    </row>
    <row r="220" spans="1:9" x14ac:dyDescent="0.25">
      <c r="A220" s="22" t="b">
        <v>0</v>
      </c>
      <c r="B220" s="22" t="s">
        <v>2384</v>
      </c>
      <c r="C220" s="34">
        <v>45903</v>
      </c>
      <c r="D220" s="22" t="s">
        <v>3165</v>
      </c>
      <c r="E220" s="22">
        <v>-106.2</v>
      </c>
      <c r="F220" s="28"/>
      <c r="G220" s="22" t="s">
        <v>489</v>
      </c>
      <c r="H220" s="22" t="s">
        <v>483</v>
      </c>
      <c r="I220" s="22"/>
    </row>
    <row r="221" spans="1:9" x14ac:dyDescent="0.25">
      <c r="A221" s="22" t="b">
        <v>0</v>
      </c>
      <c r="B221" s="22" t="s">
        <v>2385</v>
      </c>
      <c r="C221" s="34">
        <v>45903</v>
      </c>
      <c r="D221" s="22" t="s">
        <v>3166</v>
      </c>
      <c r="E221" s="22">
        <v>-96.2</v>
      </c>
      <c r="F221" s="28"/>
      <c r="G221" s="22" t="s">
        <v>489</v>
      </c>
      <c r="H221" s="22" t="s">
        <v>483</v>
      </c>
      <c r="I221" s="22"/>
    </row>
    <row r="222" spans="1:9" x14ac:dyDescent="0.25">
      <c r="A222" s="22" t="b">
        <v>0</v>
      </c>
      <c r="B222" s="22" t="s">
        <v>2386</v>
      </c>
      <c r="C222" s="34">
        <v>45903</v>
      </c>
      <c r="D222" s="22" t="s">
        <v>3167</v>
      </c>
      <c r="E222" s="22">
        <v>-200.2</v>
      </c>
      <c r="F222" s="28"/>
      <c r="G222" s="22" t="s">
        <v>489</v>
      </c>
      <c r="H222" s="22" t="s">
        <v>483</v>
      </c>
      <c r="I222" s="22"/>
    </row>
    <row r="223" spans="1:9" x14ac:dyDescent="0.25">
      <c r="A223" s="22" t="b">
        <v>0</v>
      </c>
      <c r="B223" s="22" t="s">
        <v>2387</v>
      </c>
      <c r="C223" s="34">
        <v>45903</v>
      </c>
      <c r="D223" s="22" t="s">
        <v>3168</v>
      </c>
      <c r="E223" s="22">
        <v>-157.69999999999999</v>
      </c>
      <c r="F223" s="28"/>
      <c r="G223" s="22" t="s">
        <v>489</v>
      </c>
      <c r="H223" s="22" t="s">
        <v>483</v>
      </c>
      <c r="I223" s="22"/>
    </row>
    <row r="224" spans="1:9" x14ac:dyDescent="0.25">
      <c r="A224" s="22" t="b">
        <v>0</v>
      </c>
      <c r="B224" s="22" t="s">
        <v>2388</v>
      </c>
      <c r="C224" s="34">
        <v>45903</v>
      </c>
      <c r="D224" s="22" t="s">
        <v>3169</v>
      </c>
      <c r="E224" s="22">
        <v>-112.2</v>
      </c>
      <c r="F224" s="28"/>
      <c r="G224" s="22" t="s">
        <v>489</v>
      </c>
      <c r="H224" s="22" t="s">
        <v>483</v>
      </c>
      <c r="I224" s="22"/>
    </row>
    <row r="225" spans="1:9" x14ac:dyDescent="0.25">
      <c r="A225" s="22" t="b">
        <v>0</v>
      </c>
      <c r="B225" s="22" t="s">
        <v>2381</v>
      </c>
      <c r="C225" s="34">
        <v>45904</v>
      </c>
      <c r="D225" s="22" t="s">
        <v>3170</v>
      </c>
      <c r="E225" s="22">
        <v>-72.7</v>
      </c>
      <c r="F225" s="28"/>
      <c r="G225" s="22" t="s">
        <v>489</v>
      </c>
      <c r="H225" s="22" t="s">
        <v>483</v>
      </c>
      <c r="I225" s="22"/>
    </row>
    <row r="226" spans="1:9" x14ac:dyDescent="0.25">
      <c r="A226" s="22" t="b">
        <v>0</v>
      </c>
      <c r="B226" s="22" t="s">
        <v>2382</v>
      </c>
      <c r="C226" s="34">
        <v>45904</v>
      </c>
      <c r="D226" s="22" t="s">
        <v>3171</v>
      </c>
      <c r="E226" s="22">
        <v>-81.7</v>
      </c>
      <c r="F226" s="28"/>
      <c r="G226" s="22" t="s">
        <v>489</v>
      </c>
      <c r="H226" s="22" t="s">
        <v>483</v>
      </c>
      <c r="I226" s="22"/>
    </row>
    <row r="227" spans="1:9" x14ac:dyDescent="0.25">
      <c r="A227" s="22" t="b">
        <v>0</v>
      </c>
      <c r="B227" s="22" t="s">
        <v>2378</v>
      </c>
      <c r="C227" s="34">
        <v>45906</v>
      </c>
      <c r="D227" s="22" t="s">
        <v>3172</v>
      </c>
      <c r="E227" s="22">
        <v>-185</v>
      </c>
      <c r="F227" s="28"/>
      <c r="G227" s="22" t="s">
        <v>489</v>
      </c>
      <c r="H227" s="22" t="s">
        <v>483</v>
      </c>
      <c r="I227" s="22"/>
    </row>
    <row r="228" spans="1:9" x14ac:dyDescent="0.25">
      <c r="A228" s="22" t="b">
        <v>0</v>
      </c>
      <c r="B228" s="22" t="s">
        <v>2374</v>
      </c>
      <c r="C228" s="34">
        <v>45907</v>
      </c>
      <c r="D228" s="22" t="s">
        <v>3173</v>
      </c>
      <c r="E228" s="22">
        <v>-101.7</v>
      </c>
      <c r="F228" s="28"/>
      <c r="G228" s="22" t="s">
        <v>489</v>
      </c>
      <c r="H228" s="22" t="s">
        <v>483</v>
      </c>
      <c r="I228" s="22"/>
    </row>
    <row r="229" spans="1:9" x14ac:dyDescent="0.25">
      <c r="A229" s="22" t="b">
        <v>0</v>
      </c>
      <c r="B229" s="22" t="s">
        <v>2375</v>
      </c>
      <c r="C229" s="34">
        <v>45907</v>
      </c>
      <c r="D229" s="22" t="s">
        <v>3174</v>
      </c>
      <c r="E229" s="22">
        <v>-180.2</v>
      </c>
      <c r="F229" s="28"/>
      <c r="G229" s="22" t="s">
        <v>489</v>
      </c>
      <c r="H229" s="22" t="s">
        <v>483</v>
      </c>
      <c r="I229" s="22"/>
    </row>
    <row r="230" spans="1:9" x14ac:dyDescent="0.25">
      <c r="A230" s="22" t="b">
        <v>0</v>
      </c>
      <c r="B230" s="22" t="s">
        <v>2376</v>
      </c>
      <c r="C230" s="34">
        <v>45907</v>
      </c>
      <c r="D230" s="22" t="s">
        <v>3175</v>
      </c>
      <c r="E230" s="22">
        <v>-228</v>
      </c>
      <c r="F230" s="28"/>
      <c r="G230" s="22" t="s">
        <v>489</v>
      </c>
      <c r="H230" s="22" t="s">
        <v>483</v>
      </c>
      <c r="I230" s="22"/>
    </row>
    <row r="231" spans="1:9" x14ac:dyDescent="0.25">
      <c r="A231" s="22" t="b">
        <v>0</v>
      </c>
      <c r="B231" s="22" t="s">
        <v>2377</v>
      </c>
      <c r="C231" s="34">
        <v>45907</v>
      </c>
      <c r="D231" s="22" t="s">
        <v>3176</v>
      </c>
      <c r="E231" s="22">
        <v>-237.7</v>
      </c>
      <c r="F231" s="28"/>
      <c r="G231" s="22" t="s">
        <v>489</v>
      </c>
      <c r="H231" s="22" t="s">
        <v>483</v>
      </c>
      <c r="I231" s="22"/>
    </row>
    <row r="232" spans="1:9" x14ac:dyDescent="0.25">
      <c r="A232" s="22" t="b">
        <v>0</v>
      </c>
      <c r="B232" s="22" t="s">
        <v>2366</v>
      </c>
      <c r="C232" s="34">
        <v>45909</v>
      </c>
      <c r="D232" s="22" t="s">
        <v>3177</v>
      </c>
      <c r="E232" s="22">
        <v>-162.19999999999999</v>
      </c>
      <c r="F232" s="28"/>
      <c r="G232" s="22" t="s">
        <v>489</v>
      </c>
      <c r="H232" s="22" t="s">
        <v>483</v>
      </c>
      <c r="I232" s="22"/>
    </row>
    <row r="233" spans="1:9" x14ac:dyDescent="0.25">
      <c r="A233" s="22" t="b">
        <v>0</v>
      </c>
      <c r="B233" s="22" t="s">
        <v>2367</v>
      </c>
      <c r="C233" s="34">
        <v>45909</v>
      </c>
      <c r="D233" s="22" t="s">
        <v>3178</v>
      </c>
      <c r="E233" s="22">
        <v>-72.5</v>
      </c>
      <c r="F233" s="28"/>
      <c r="G233" s="22" t="s">
        <v>489</v>
      </c>
      <c r="H233" s="22" t="s">
        <v>483</v>
      </c>
      <c r="I233" s="22"/>
    </row>
    <row r="234" spans="1:9" x14ac:dyDescent="0.25">
      <c r="A234" s="22" t="b">
        <v>0</v>
      </c>
      <c r="B234" s="22" t="s">
        <v>2368</v>
      </c>
      <c r="C234" s="34">
        <v>45909</v>
      </c>
      <c r="D234" s="22" t="s">
        <v>3179</v>
      </c>
      <c r="E234" s="22">
        <v>-20</v>
      </c>
      <c r="F234" s="28"/>
      <c r="G234" s="22" t="s">
        <v>489</v>
      </c>
      <c r="H234" s="22" t="s">
        <v>483</v>
      </c>
      <c r="I234" s="22"/>
    </row>
    <row r="235" spans="1:9" x14ac:dyDescent="0.25">
      <c r="A235" s="22" t="b">
        <v>0</v>
      </c>
      <c r="B235" s="22" t="s">
        <v>2371</v>
      </c>
      <c r="C235" s="34">
        <v>45909</v>
      </c>
      <c r="D235" s="22" t="s">
        <v>3180</v>
      </c>
      <c r="E235" s="22">
        <v>-600</v>
      </c>
      <c r="F235" s="28"/>
      <c r="G235" s="22" t="s">
        <v>489</v>
      </c>
      <c r="H235" s="22" t="s">
        <v>483</v>
      </c>
      <c r="I235" s="22"/>
    </row>
    <row r="236" spans="1:9" x14ac:dyDescent="0.25">
      <c r="A236" s="22" t="b">
        <v>0</v>
      </c>
      <c r="B236" s="22" t="s">
        <v>2372</v>
      </c>
      <c r="C236" s="34">
        <v>45909</v>
      </c>
      <c r="D236" s="22" t="s">
        <v>3181</v>
      </c>
      <c r="E236" s="22">
        <v>-180</v>
      </c>
      <c r="F236" s="28"/>
      <c r="G236" s="22" t="s">
        <v>489</v>
      </c>
      <c r="H236" s="22" t="s">
        <v>483</v>
      </c>
      <c r="I236" s="22"/>
    </row>
    <row r="237" spans="1:9" x14ac:dyDescent="0.25">
      <c r="A237" s="22" t="b">
        <v>0</v>
      </c>
      <c r="B237" s="22" t="s">
        <v>2373</v>
      </c>
      <c r="C237" s="34">
        <v>45909</v>
      </c>
      <c r="D237" s="22" t="s">
        <v>3182</v>
      </c>
      <c r="E237" s="22">
        <v>-2515.2199999999998</v>
      </c>
      <c r="F237" s="28"/>
      <c r="G237" s="22" t="s">
        <v>489</v>
      </c>
      <c r="H237" s="22" t="s">
        <v>483</v>
      </c>
      <c r="I237" s="22"/>
    </row>
    <row r="238" spans="1:9" x14ac:dyDescent="0.25">
      <c r="A238" s="22" t="b">
        <v>0</v>
      </c>
      <c r="B238" s="22" t="s">
        <v>2274</v>
      </c>
      <c r="C238" s="34">
        <v>45912</v>
      </c>
      <c r="D238" s="22" t="s">
        <v>3183</v>
      </c>
      <c r="E238" s="22">
        <v>-177</v>
      </c>
      <c r="F238" s="28"/>
      <c r="G238" s="22" t="s">
        <v>489</v>
      </c>
      <c r="H238" s="22" t="s">
        <v>483</v>
      </c>
      <c r="I238" s="22"/>
    </row>
    <row r="239" spans="1:9" x14ac:dyDescent="0.25">
      <c r="A239" s="22" t="b">
        <v>0</v>
      </c>
      <c r="B239" s="22" t="s">
        <v>2275</v>
      </c>
      <c r="C239" s="34">
        <v>45912</v>
      </c>
      <c r="D239" s="22" t="s">
        <v>3184</v>
      </c>
      <c r="E239" s="22">
        <v>-82.7</v>
      </c>
      <c r="F239" s="28"/>
      <c r="G239" s="22" t="s">
        <v>489</v>
      </c>
      <c r="H239" s="22" t="s">
        <v>483</v>
      </c>
      <c r="I239" s="22"/>
    </row>
    <row r="240" spans="1:9" x14ac:dyDescent="0.25">
      <c r="A240" s="22" t="b">
        <v>0</v>
      </c>
      <c r="B240" s="22" t="s">
        <v>2276</v>
      </c>
      <c r="C240" s="34">
        <v>45912</v>
      </c>
      <c r="D240" s="22" t="s">
        <v>3185</v>
      </c>
      <c r="E240" s="22">
        <v>-93.7</v>
      </c>
      <c r="F240" s="28"/>
      <c r="G240" s="22" t="s">
        <v>489</v>
      </c>
      <c r="H240" s="22" t="s">
        <v>483</v>
      </c>
      <c r="I240" s="22"/>
    </row>
    <row r="241" spans="1:9" x14ac:dyDescent="0.25">
      <c r="A241" s="22" t="b">
        <v>0</v>
      </c>
      <c r="B241" s="22" t="s">
        <v>2277</v>
      </c>
      <c r="C241" s="34">
        <v>45912</v>
      </c>
      <c r="D241" s="22" t="s">
        <v>3186</v>
      </c>
      <c r="E241" s="22">
        <v>-76</v>
      </c>
      <c r="F241" s="28"/>
      <c r="G241" s="22" t="s">
        <v>489</v>
      </c>
      <c r="H241" s="22" t="s">
        <v>483</v>
      </c>
      <c r="I241" s="22"/>
    </row>
    <row r="242" spans="1:9" x14ac:dyDescent="0.25">
      <c r="A242" s="22" t="b">
        <v>0</v>
      </c>
      <c r="B242" s="22" t="s">
        <v>2278</v>
      </c>
      <c r="C242" s="34">
        <v>45912</v>
      </c>
      <c r="D242" s="22" t="s">
        <v>3187</v>
      </c>
      <c r="E242" s="22">
        <v>-201.45</v>
      </c>
      <c r="F242" s="28"/>
      <c r="G242" s="22" t="s">
        <v>489</v>
      </c>
      <c r="H242" s="22" t="s">
        <v>483</v>
      </c>
      <c r="I242" s="22"/>
    </row>
    <row r="243" spans="1:9" x14ac:dyDescent="0.25">
      <c r="A243" s="22" t="b">
        <v>0</v>
      </c>
      <c r="B243" s="22" t="s">
        <v>2279</v>
      </c>
      <c r="C243" s="34">
        <v>45912</v>
      </c>
      <c r="D243" s="22" t="s">
        <v>3188</v>
      </c>
      <c r="E243" s="22">
        <v>-30.2</v>
      </c>
      <c r="F243" s="28"/>
      <c r="G243" s="22" t="s">
        <v>489</v>
      </c>
      <c r="H243" s="22" t="s">
        <v>483</v>
      </c>
      <c r="I243" s="22"/>
    </row>
    <row r="244" spans="1:9" x14ac:dyDescent="0.25">
      <c r="A244" s="22" t="b">
        <v>0</v>
      </c>
      <c r="B244" s="22" t="s">
        <v>2280</v>
      </c>
      <c r="C244" s="34">
        <v>45912</v>
      </c>
      <c r="D244" s="22" t="s">
        <v>3189</v>
      </c>
      <c r="E244" s="22">
        <v>-315.2</v>
      </c>
      <c r="F244" s="28"/>
      <c r="G244" s="22" t="s">
        <v>489</v>
      </c>
      <c r="H244" s="22" t="s">
        <v>483</v>
      </c>
      <c r="I244" s="22"/>
    </row>
    <row r="245" spans="1:9" x14ac:dyDescent="0.25">
      <c r="A245" s="22" t="b">
        <v>0</v>
      </c>
      <c r="B245" s="22" t="s">
        <v>2281</v>
      </c>
      <c r="C245" s="34">
        <v>45912</v>
      </c>
      <c r="D245" s="22" t="s">
        <v>3190</v>
      </c>
      <c r="E245" s="22">
        <v>-260.2</v>
      </c>
      <c r="F245" s="28"/>
      <c r="G245" s="22" t="s">
        <v>489</v>
      </c>
      <c r="H245" s="22" t="s">
        <v>483</v>
      </c>
      <c r="I245" s="22"/>
    </row>
    <row r="246" spans="1:9" x14ac:dyDescent="0.25">
      <c r="A246" s="22" t="b">
        <v>0</v>
      </c>
      <c r="B246" s="22" t="s">
        <v>2273</v>
      </c>
      <c r="C246" s="34">
        <v>45915</v>
      </c>
      <c r="D246" s="22" t="s">
        <v>3191</v>
      </c>
      <c r="E246" s="22">
        <v>-794.2</v>
      </c>
      <c r="F246" s="28"/>
      <c r="G246" s="22" t="s">
        <v>489</v>
      </c>
      <c r="H246" s="22" t="s">
        <v>483</v>
      </c>
      <c r="I246" s="22"/>
    </row>
    <row r="247" spans="1:9" x14ac:dyDescent="0.25">
      <c r="A247" s="22" t="b">
        <v>0</v>
      </c>
      <c r="B247" s="22" t="s">
        <v>2269</v>
      </c>
      <c r="C247" s="34">
        <v>45917</v>
      </c>
      <c r="D247" s="22" t="s">
        <v>3192</v>
      </c>
      <c r="E247" s="22">
        <v>-213.95</v>
      </c>
      <c r="F247" s="28"/>
      <c r="G247" s="22" t="s">
        <v>489</v>
      </c>
      <c r="H247" s="22" t="s">
        <v>483</v>
      </c>
      <c r="I247" s="22"/>
    </row>
    <row r="248" spans="1:9" x14ac:dyDescent="0.25">
      <c r="A248" s="22" t="b">
        <v>0</v>
      </c>
      <c r="B248" s="22" t="s">
        <v>2270</v>
      </c>
      <c r="C248" s="34">
        <v>45917</v>
      </c>
      <c r="D248" s="22" t="s">
        <v>3193</v>
      </c>
      <c r="E248" s="22">
        <v>-82.2</v>
      </c>
      <c r="F248" s="28"/>
      <c r="G248" s="22" t="s">
        <v>489</v>
      </c>
      <c r="H248" s="22" t="s">
        <v>483</v>
      </c>
      <c r="I248" s="22"/>
    </row>
    <row r="249" spans="1:9" x14ac:dyDescent="0.25">
      <c r="A249" s="22" t="b">
        <v>0</v>
      </c>
      <c r="B249" s="22" t="s">
        <v>2271</v>
      </c>
      <c r="C249" s="34">
        <v>45917</v>
      </c>
      <c r="D249" s="22" t="s">
        <v>3194</v>
      </c>
      <c r="E249" s="22">
        <v>-66.2</v>
      </c>
      <c r="F249" s="28"/>
      <c r="G249" s="22" t="s">
        <v>489</v>
      </c>
      <c r="H249" s="22" t="s">
        <v>483</v>
      </c>
      <c r="I249" s="22"/>
    </row>
    <row r="250" spans="1:9" x14ac:dyDescent="0.25">
      <c r="A250" s="22" t="b">
        <v>0</v>
      </c>
      <c r="B250" s="22" t="s">
        <v>2272</v>
      </c>
      <c r="C250" s="34">
        <v>45917</v>
      </c>
      <c r="D250" s="22" t="s">
        <v>3195</v>
      </c>
      <c r="E250" s="22">
        <v>-225.2</v>
      </c>
      <c r="F250" s="28"/>
      <c r="G250" s="22" t="s">
        <v>489</v>
      </c>
      <c r="H250" s="22" t="s">
        <v>483</v>
      </c>
      <c r="I250" s="22"/>
    </row>
    <row r="251" spans="1:9" x14ac:dyDescent="0.25">
      <c r="A251" s="22" t="b">
        <v>0</v>
      </c>
      <c r="B251" s="22" t="s">
        <v>2268</v>
      </c>
      <c r="C251" s="34">
        <v>45919</v>
      </c>
      <c r="D251" s="22" t="s">
        <v>3196</v>
      </c>
      <c r="E251" s="22">
        <v>-4140.4799999999996</v>
      </c>
      <c r="F251" s="28"/>
      <c r="G251" s="22" t="s">
        <v>489</v>
      </c>
      <c r="H251" s="22" t="s">
        <v>483</v>
      </c>
      <c r="I251" s="22"/>
    </row>
    <row r="252" spans="1:9" x14ac:dyDescent="0.25">
      <c r="A252" s="22" t="b">
        <v>0</v>
      </c>
      <c r="B252" s="22" t="s">
        <v>2266</v>
      </c>
      <c r="C252" s="34">
        <v>45920</v>
      </c>
      <c r="D252" s="22" t="s">
        <v>3197</v>
      </c>
      <c r="E252" s="22">
        <v>-100</v>
      </c>
      <c r="F252" s="28"/>
      <c r="G252" s="22" t="s">
        <v>489</v>
      </c>
      <c r="H252" s="22" t="s">
        <v>483</v>
      </c>
      <c r="I252" s="22"/>
    </row>
    <row r="253" spans="1:9" x14ac:dyDescent="0.25">
      <c r="A253" s="22" t="b">
        <v>0</v>
      </c>
      <c r="B253" s="22" t="s">
        <v>2267</v>
      </c>
      <c r="C253" s="34">
        <v>45920</v>
      </c>
      <c r="D253" s="22" t="s">
        <v>3198</v>
      </c>
      <c r="E253" s="22">
        <v>-841.2</v>
      </c>
      <c r="F253" s="28"/>
      <c r="G253" s="22" t="s">
        <v>489</v>
      </c>
      <c r="H253" s="22" t="s">
        <v>483</v>
      </c>
      <c r="I253" s="22"/>
    </row>
    <row r="254" spans="1:9" x14ac:dyDescent="0.25">
      <c r="A254" s="22" t="b">
        <v>0</v>
      </c>
      <c r="B254" s="22" t="s">
        <v>2265</v>
      </c>
      <c r="C254" s="34">
        <v>45922</v>
      </c>
      <c r="D254" s="22" t="s">
        <v>3199</v>
      </c>
      <c r="E254" s="22">
        <v>-106</v>
      </c>
      <c r="F254" s="28"/>
      <c r="G254" s="22" t="s">
        <v>489</v>
      </c>
      <c r="H254" s="22" t="s">
        <v>483</v>
      </c>
      <c r="I254" s="22"/>
    </row>
    <row r="255" spans="1:9" x14ac:dyDescent="0.25">
      <c r="A255" s="22" t="b">
        <v>0</v>
      </c>
      <c r="B255" s="22" t="s">
        <v>2264</v>
      </c>
      <c r="C255" s="34">
        <v>45924</v>
      </c>
      <c r="D255" s="22" t="s">
        <v>3200</v>
      </c>
      <c r="E255" s="22">
        <v>-790.2</v>
      </c>
      <c r="F255" s="28"/>
      <c r="G255" s="22" t="s">
        <v>489</v>
      </c>
      <c r="H255" s="22" t="s">
        <v>483</v>
      </c>
      <c r="I255" s="22"/>
    </row>
    <row r="256" spans="1:9" x14ac:dyDescent="0.25">
      <c r="A256" s="22" t="b">
        <v>0</v>
      </c>
      <c r="B256" s="22" t="s">
        <v>2262</v>
      </c>
      <c r="C256" s="34">
        <v>45925</v>
      </c>
      <c r="D256" s="22" t="s">
        <v>3201</v>
      </c>
      <c r="E256" s="22">
        <v>-200.2</v>
      </c>
      <c r="F256" s="28"/>
      <c r="G256" s="22" t="s">
        <v>489</v>
      </c>
      <c r="H256" s="22" t="s">
        <v>483</v>
      </c>
      <c r="I256" s="22"/>
    </row>
    <row r="257" spans="1:9" x14ac:dyDescent="0.25">
      <c r="A257" s="22" t="b">
        <v>0</v>
      </c>
      <c r="B257" s="22" t="s">
        <v>2263</v>
      </c>
      <c r="C257" s="34">
        <v>45925</v>
      </c>
      <c r="D257" s="22" t="s">
        <v>3202</v>
      </c>
      <c r="E257" s="22">
        <v>-300.2</v>
      </c>
      <c r="F257" s="28"/>
      <c r="G257" s="22" t="s">
        <v>489</v>
      </c>
      <c r="H257" s="22" t="s">
        <v>483</v>
      </c>
      <c r="I257" s="22"/>
    </row>
    <row r="258" spans="1:9" x14ac:dyDescent="0.25">
      <c r="A258" s="22" t="b">
        <v>0</v>
      </c>
      <c r="B258" s="22" t="s">
        <v>2261</v>
      </c>
      <c r="C258" s="34">
        <v>45926</v>
      </c>
      <c r="D258" s="22" t="s">
        <v>3203</v>
      </c>
      <c r="E258" s="22">
        <v>-610.20000000000005</v>
      </c>
      <c r="F258" s="28"/>
      <c r="G258" s="22" t="s">
        <v>489</v>
      </c>
      <c r="H258" s="22" t="s">
        <v>483</v>
      </c>
      <c r="I258" s="22"/>
    </row>
    <row r="259" spans="1:9" x14ac:dyDescent="0.25">
      <c r="A259" s="22" t="b">
        <v>0</v>
      </c>
      <c r="B259" s="22" t="s">
        <v>2258</v>
      </c>
      <c r="C259" s="34">
        <v>45928</v>
      </c>
      <c r="D259" s="22" t="s">
        <v>3204</v>
      </c>
      <c r="E259" s="22">
        <v>-60.2</v>
      </c>
      <c r="F259" s="28"/>
      <c r="G259" s="22" t="s">
        <v>489</v>
      </c>
      <c r="H259" s="22" t="s">
        <v>483</v>
      </c>
      <c r="I259" s="22"/>
    </row>
    <row r="260" spans="1:9" x14ac:dyDescent="0.25">
      <c r="A260" s="22" t="b">
        <v>0</v>
      </c>
      <c r="B260" s="22" t="s">
        <v>2259</v>
      </c>
      <c r="C260" s="34">
        <v>45928</v>
      </c>
      <c r="D260" s="22" t="s">
        <v>3205</v>
      </c>
      <c r="E260" s="22">
        <v>-110</v>
      </c>
      <c r="F260" s="28"/>
      <c r="G260" s="22" t="s">
        <v>489</v>
      </c>
      <c r="H260" s="22" t="s">
        <v>483</v>
      </c>
      <c r="I260" s="22"/>
    </row>
    <row r="261" spans="1:9" x14ac:dyDescent="0.25">
      <c r="A261" s="22" t="b">
        <v>0</v>
      </c>
      <c r="B261" s="22" t="s">
        <v>2260</v>
      </c>
      <c r="C261" s="34">
        <v>45928</v>
      </c>
      <c r="D261" s="22" t="s">
        <v>3206</v>
      </c>
      <c r="E261" s="22">
        <v>-925.2</v>
      </c>
      <c r="F261" s="28"/>
      <c r="G261" s="22" t="s">
        <v>489</v>
      </c>
      <c r="H261" s="22" t="s">
        <v>483</v>
      </c>
      <c r="I261" s="22"/>
    </row>
    <row r="262" spans="1:9" x14ac:dyDescent="0.25">
      <c r="A262" s="22" t="b">
        <v>0</v>
      </c>
      <c r="B262" s="22" t="s">
        <v>2257</v>
      </c>
      <c r="C262" s="34">
        <v>45929</v>
      </c>
      <c r="D262" s="22" t="s">
        <v>3207</v>
      </c>
      <c r="E262" s="22">
        <v>-100</v>
      </c>
      <c r="F262" s="28"/>
      <c r="G262" s="22" t="s">
        <v>489</v>
      </c>
      <c r="H262" s="22" t="s">
        <v>483</v>
      </c>
      <c r="I262" s="22"/>
    </row>
    <row r="263" spans="1:9" x14ac:dyDescent="0.25">
      <c r="A263" s="22" t="b">
        <v>0</v>
      </c>
      <c r="B263" s="22" t="s">
        <v>2255</v>
      </c>
      <c r="C263" s="34">
        <v>45931</v>
      </c>
      <c r="D263" s="22" t="s">
        <v>3208</v>
      </c>
      <c r="E263" s="22">
        <v>-683.2</v>
      </c>
      <c r="F263" s="28"/>
      <c r="G263" s="22" t="s">
        <v>489</v>
      </c>
      <c r="H263" s="22" t="s">
        <v>483</v>
      </c>
      <c r="I263" s="22"/>
    </row>
    <row r="264" spans="1:9" x14ac:dyDescent="0.25">
      <c r="A264" s="22" t="b">
        <v>0</v>
      </c>
      <c r="B264" s="22" t="s">
        <v>2254</v>
      </c>
      <c r="C264" s="34">
        <v>45936</v>
      </c>
      <c r="D264" s="22" t="s">
        <v>3209</v>
      </c>
      <c r="E264" s="22">
        <v>-192.7</v>
      </c>
      <c r="F264" s="28"/>
      <c r="G264" s="22" t="s">
        <v>489</v>
      </c>
      <c r="H264" s="22" t="s">
        <v>483</v>
      </c>
      <c r="I264" s="22"/>
    </row>
    <row r="265" spans="1:9" x14ac:dyDescent="0.25">
      <c r="A265" s="22" t="b">
        <v>0</v>
      </c>
      <c r="B265" s="22" t="s">
        <v>2253</v>
      </c>
      <c r="C265" s="34">
        <v>45940</v>
      </c>
      <c r="D265" s="22" t="s">
        <v>3210</v>
      </c>
      <c r="E265" s="22">
        <v>-76.5</v>
      </c>
      <c r="F265" s="28"/>
      <c r="G265" s="22" t="s">
        <v>489</v>
      </c>
      <c r="H265" s="22" t="s">
        <v>483</v>
      </c>
      <c r="I265" s="22"/>
    </row>
    <row r="266" spans="1:9" x14ac:dyDescent="0.25">
      <c r="A266" s="22" t="b">
        <v>0</v>
      </c>
      <c r="B266" s="22" t="s">
        <v>2252</v>
      </c>
      <c r="C266" s="34">
        <v>45942</v>
      </c>
      <c r="D266" s="22" t="s">
        <v>3211</v>
      </c>
      <c r="E266" s="22">
        <v>-180</v>
      </c>
      <c r="F266" s="28"/>
      <c r="G266" s="22" t="s">
        <v>489</v>
      </c>
      <c r="H266" s="22" t="s">
        <v>483</v>
      </c>
      <c r="I266" s="22"/>
    </row>
    <row r="267" spans="1:9" x14ac:dyDescent="0.25">
      <c r="A267" s="22" t="b">
        <v>0</v>
      </c>
      <c r="B267" s="22" t="s">
        <v>2251</v>
      </c>
      <c r="C267" s="34">
        <v>45943</v>
      </c>
      <c r="D267" s="22" t="s">
        <v>3130</v>
      </c>
      <c r="E267" s="22">
        <v>-60</v>
      </c>
      <c r="F267" s="28"/>
      <c r="G267" s="22" t="s">
        <v>489</v>
      </c>
      <c r="H267" s="22" t="s">
        <v>483</v>
      </c>
      <c r="I267" s="22"/>
    </row>
    <row r="268" spans="1:9" x14ac:dyDescent="0.25">
      <c r="A268" s="22" t="b">
        <v>0</v>
      </c>
      <c r="B268" s="22" t="s">
        <v>2250</v>
      </c>
      <c r="C268" s="34">
        <v>45944</v>
      </c>
      <c r="D268" s="22" t="s">
        <v>3212</v>
      </c>
      <c r="E268" s="22">
        <v>-2880</v>
      </c>
      <c r="F268" s="28"/>
      <c r="G268" s="22" t="s">
        <v>489</v>
      </c>
      <c r="H268" s="22" t="s">
        <v>483</v>
      </c>
      <c r="I268" s="22"/>
    </row>
    <row r="269" spans="1:9" x14ac:dyDescent="0.25">
      <c r="A269" s="22" t="b">
        <v>0</v>
      </c>
      <c r="B269" s="22" t="s">
        <v>2248</v>
      </c>
      <c r="C269" s="34">
        <v>45952</v>
      </c>
      <c r="D269" s="22" t="s">
        <v>3198</v>
      </c>
      <c r="E269" s="22">
        <v>-192.2</v>
      </c>
      <c r="F269" s="28"/>
      <c r="G269" s="22" t="s">
        <v>489</v>
      </c>
      <c r="H269" s="22" t="s">
        <v>483</v>
      </c>
      <c r="I269" s="22"/>
    </row>
    <row r="270" spans="1:9" x14ac:dyDescent="0.25">
      <c r="A270" s="22" t="b">
        <v>0</v>
      </c>
      <c r="B270" s="22" t="s">
        <v>2249</v>
      </c>
      <c r="C270" s="34">
        <v>45952</v>
      </c>
      <c r="D270" s="22" t="s">
        <v>3213</v>
      </c>
      <c r="E270" s="22">
        <v>-95.2</v>
      </c>
      <c r="F270" s="28"/>
      <c r="G270" s="22" t="s">
        <v>489</v>
      </c>
      <c r="H270" s="22" t="s">
        <v>483</v>
      </c>
      <c r="I270" s="22"/>
    </row>
    <row r="271" spans="1:9" x14ac:dyDescent="0.25">
      <c r="A271" s="22" t="b">
        <v>0</v>
      </c>
      <c r="B271" s="22" t="s">
        <v>2247</v>
      </c>
      <c r="C271" s="34">
        <v>45959</v>
      </c>
      <c r="D271" s="22" t="s">
        <v>3214</v>
      </c>
      <c r="E271" s="22">
        <v>-360.2</v>
      </c>
      <c r="F271" s="28"/>
      <c r="G271" s="22" t="s">
        <v>489</v>
      </c>
      <c r="H271" s="22" t="s">
        <v>483</v>
      </c>
      <c r="I271" s="22"/>
    </row>
    <row r="272" spans="1:9" x14ac:dyDescent="0.25">
      <c r="A272" s="22" t="b">
        <v>0</v>
      </c>
      <c r="B272" s="22" t="s">
        <v>2246</v>
      </c>
      <c r="C272" s="34">
        <v>45964</v>
      </c>
      <c r="D272" s="22" t="s">
        <v>3215</v>
      </c>
      <c r="E272" s="22">
        <v>-678.36</v>
      </c>
      <c r="F272" s="28"/>
      <c r="G272" s="22" t="s">
        <v>489</v>
      </c>
      <c r="H272" s="22" t="s">
        <v>483</v>
      </c>
      <c r="I272" s="22"/>
    </row>
    <row r="273" spans="1:9" x14ac:dyDescent="0.25">
      <c r="A273" s="22" t="b">
        <v>0</v>
      </c>
      <c r="B273" s="22" t="s">
        <v>2245</v>
      </c>
      <c r="C273" s="34">
        <v>45966</v>
      </c>
      <c r="D273" s="22" t="s">
        <v>3216</v>
      </c>
      <c r="E273" s="22">
        <v>-3500.2</v>
      </c>
      <c r="F273" s="28"/>
      <c r="G273" s="22" t="s">
        <v>489</v>
      </c>
      <c r="H273" s="22" t="s">
        <v>483</v>
      </c>
      <c r="I273" s="22"/>
    </row>
    <row r="274" spans="1:9" x14ac:dyDescent="0.25">
      <c r="A274" s="22" t="b">
        <v>0</v>
      </c>
      <c r="B274" s="22" t="s">
        <v>2244</v>
      </c>
      <c r="C274" s="34">
        <v>45968</v>
      </c>
      <c r="D274" s="22" t="s">
        <v>3217</v>
      </c>
      <c r="E274" s="22">
        <v>-5000.2</v>
      </c>
      <c r="F274" s="28"/>
      <c r="G274" s="22" t="s">
        <v>489</v>
      </c>
      <c r="H274" s="22" t="s">
        <v>483</v>
      </c>
      <c r="I274" s="22"/>
    </row>
    <row r="275" spans="1:9" x14ac:dyDescent="0.25">
      <c r="A275" s="22" t="b">
        <v>0</v>
      </c>
      <c r="B275" s="22" t="s">
        <v>2243</v>
      </c>
      <c r="C275" s="34">
        <v>45976</v>
      </c>
      <c r="D275" s="22" t="s">
        <v>3218</v>
      </c>
      <c r="E275" s="22">
        <v>-122.5</v>
      </c>
      <c r="F275" s="28"/>
      <c r="G275" s="22" t="s">
        <v>489</v>
      </c>
      <c r="H275" s="22" t="s">
        <v>483</v>
      </c>
      <c r="I275" s="22"/>
    </row>
    <row r="276" spans="1:9" x14ac:dyDescent="0.25">
      <c r="A276" s="22" t="b">
        <v>0</v>
      </c>
      <c r="B276" s="22" t="s">
        <v>2240</v>
      </c>
      <c r="C276" s="34">
        <v>45979</v>
      </c>
      <c r="D276" s="22" t="s">
        <v>3219</v>
      </c>
      <c r="E276" s="22">
        <v>-150</v>
      </c>
      <c r="F276" s="28"/>
      <c r="G276" s="22" t="s">
        <v>489</v>
      </c>
      <c r="H276" s="22" t="s">
        <v>483</v>
      </c>
      <c r="I276" s="22"/>
    </row>
    <row r="277" spans="1:9" x14ac:dyDescent="0.25">
      <c r="A277" s="22" t="b">
        <v>0</v>
      </c>
      <c r="B277" s="22" t="s">
        <v>2241</v>
      </c>
      <c r="C277" s="34">
        <v>45979</v>
      </c>
      <c r="D277" s="22" t="s">
        <v>3220</v>
      </c>
      <c r="E277" s="22">
        <v>-70</v>
      </c>
      <c r="F277" s="28"/>
      <c r="G277" s="22" t="s">
        <v>489</v>
      </c>
      <c r="H277" s="22" t="s">
        <v>483</v>
      </c>
      <c r="I277" s="22"/>
    </row>
    <row r="278" spans="1:9" x14ac:dyDescent="0.25">
      <c r="A278" s="22" t="b">
        <v>0</v>
      </c>
      <c r="B278" s="22" t="s">
        <v>2242</v>
      </c>
      <c r="C278" s="34">
        <v>45979</v>
      </c>
      <c r="D278" s="22" t="s">
        <v>3221</v>
      </c>
      <c r="E278" s="22">
        <v>-6780</v>
      </c>
      <c r="F278" s="28"/>
      <c r="G278" s="22" t="s">
        <v>489</v>
      </c>
      <c r="H278" s="22" t="s">
        <v>483</v>
      </c>
      <c r="I278" s="22"/>
    </row>
    <row r="279" spans="1:9" x14ac:dyDescent="0.25">
      <c r="A279" s="22" t="b">
        <v>0</v>
      </c>
      <c r="B279" s="22" t="s">
        <v>2239</v>
      </c>
      <c r="C279" s="34">
        <v>45983</v>
      </c>
      <c r="D279" s="22" t="s">
        <v>3222</v>
      </c>
      <c r="E279" s="22">
        <v>-115</v>
      </c>
      <c r="F279" s="28"/>
      <c r="G279" s="22" t="s">
        <v>489</v>
      </c>
      <c r="H279" s="22" t="s">
        <v>483</v>
      </c>
      <c r="I279" s="22"/>
    </row>
    <row r="280" spans="1:9" x14ac:dyDescent="0.25">
      <c r="A280" s="22" t="b">
        <v>0</v>
      </c>
      <c r="B280" s="22" t="s">
        <v>2238</v>
      </c>
      <c r="C280" s="34">
        <v>45987</v>
      </c>
      <c r="D280" s="22" t="s">
        <v>3223</v>
      </c>
      <c r="E280" s="22">
        <v>-96.2</v>
      </c>
      <c r="F280" s="28"/>
      <c r="G280" s="22" t="s">
        <v>489</v>
      </c>
      <c r="H280" s="22" t="s">
        <v>483</v>
      </c>
      <c r="I280" s="22"/>
    </row>
    <row r="281" spans="1:9" x14ac:dyDescent="0.25">
      <c r="A281" s="22" t="b">
        <v>0</v>
      </c>
      <c r="B281" s="22" t="s">
        <v>2235</v>
      </c>
      <c r="C281" s="34">
        <v>45988</v>
      </c>
      <c r="D281" s="22" t="s">
        <v>3224</v>
      </c>
      <c r="E281" s="22">
        <v>-220.2</v>
      </c>
      <c r="F281" s="28"/>
      <c r="G281" s="22" t="s">
        <v>489</v>
      </c>
      <c r="H281" s="22" t="s">
        <v>483</v>
      </c>
      <c r="I281" s="22"/>
    </row>
    <row r="282" spans="1:9" x14ac:dyDescent="0.25">
      <c r="A282" s="22" t="b">
        <v>0</v>
      </c>
      <c r="B282" s="22" t="s">
        <v>2237</v>
      </c>
      <c r="C282" s="34">
        <v>45988</v>
      </c>
      <c r="D282" s="22" t="s">
        <v>3225</v>
      </c>
      <c r="E282" s="22">
        <v>-83.5</v>
      </c>
      <c r="F282" s="28"/>
      <c r="G282" s="22" t="s">
        <v>489</v>
      </c>
      <c r="H282" s="22" t="s">
        <v>483</v>
      </c>
      <c r="I282" s="22"/>
    </row>
    <row r="283" spans="1:9" x14ac:dyDescent="0.25">
      <c r="A283" s="22" t="b">
        <v>0</v>
      </c>
      <c r="B283" s="22" t="s">
        <v>2233</v>
      </c>
      <c r="C283" s="34">
        <v>45990</v>
      </c>
      <c r="D283" s="22" t="s">
        <v>3226</v>
      </c>
      <c r="E283" s="22">
        <v>-255.2</v>
      </c>
      <c r="F283" s="28"/>
      <c r="G283" s="22" t="s">
        <v>489</v>
      </c>
      <c r="H283" s="22" t="s">
        <v>483</v>
      </c>
      <c r="I283" s="22"/>
    </row>
    <row r="284" spans="1:9" x14ac:dyDescent="0.25">
      <c r="A284" s="22" t="b">
        <v>0</v>
      </c>
      <c r="B284" s="22" t="s">
        <v>2231</v>
      </c>
      <c r="C284" s="34">
        <v>45992</v>
      </c>
      <c r="D284" s="22" t="s">
        <v>3227</v>
      </c>
      <c r="E284" s="22">
        <v>-67.5</v>
      </c>
      <c r="F284" s="28"/>
      <c r="G284" s="22" t="s">
        <v>489</v>
      </c>
      <c r="H284" s="22" t="s">
        <v>483</v>
      </c>
      <c r="I284" s="22"/>
    </row>
    <row r="285" spans="1:9" x14ac:dyDescent="0.25">
      <c r="A285" s="22" t="b">
        <v>0</v>
      </c>
      <c r="B285" s="22" t="s">
        <v>2232</v>
      </c>
      <c r="C285" s="34">
        <v>45992</v>
      </c>
      <c r="D285" s="22" t="s">
        <v>3228</v>
      </c>
      <c r="E285" s="22">
        <v>-80.2</v>
      </c>
      <c r="F285" s="28"/>
      <c r="G285" s="22" t="s">
        <v>489</v>
      </c>
      <c r="H285" s="22" t="s">
        <v>483</v>
      </c>
      <c r="I285" s="22"/>
    </row>
    <row r="286" spans="1:9" x14ac:dyDescent="0.25">
      <c r="A286" s="22" t="b">
        <v>0</v>
      </c>
      <c r="B286" s="22" t="s">
        <v>2230</v>
      </c>
      <c r="C286" s="34">
        <v>45996</v>
      </c>
      <c r="D286" s="22" t="s">
        <v>3229</v>
      </c>
      <c r="E286" s="22">
        <v>-85</v>
      </c>
      <c r="F286" s="28"/>
      <c r="G286" s="22" t="s">
        <v>489</v>
      </c>
      <c r="H286" s="22" t="s">
        <v>483</v>
      </c>
      <c r="I286" s="22"/>
    </row>
    <row r="287" spans="1:9" x14ac:dyDescent="0.25">
      <c r="A287" s="22" t="b">
        <v>0</v>
      </c>
      <c r="B287" s="22" t="s">
        <v>2226</v>
      </c>
      <c r="C287" s="34">
        <v>46002</v>
      </c>
      <c r="D287" s="22" t="s">
        <v>3230</v>
      </c>
      <c r="E287" s="22">
        <v>-87.5</v>
      </c>
      <c r="F287" s="28"/>
      <c r="G287" s="22" t="s">
        <v>489</v>
      </c>
      <c r="H287" s="22" t="s">
        <v>483</v>
      </c>
      <c r="I287" s="22"/>
    </row>
    <row r="288" spans="1:9" x14ac:dyDescent="0.25">
      <c r="A288" s="22" t="b">
        <v>0</v>
      </c>
      <c r="B288" s="22" t="s">
        <v>2227</v>
      </c>
      <c r="C288" s="34">
        <v>46002</v>
      </c>
      <c r="D288" s="22" t="s">
        <v>3231</v>
      </c>
      <c r="E288" s="22">
        <v>-430</v>
      </c>
      <c r="F288" s="28"/>
      <c r="G288" s="22" t="s">
        <v>489</v>
      </c>
      <c r="H288" s="22" t="s">
        <v>483</v>
      </c>
      <c r="I288" s="22"/>
    </row>
    <row r="289" spans="1:10" x14ac:dyDescent="0.25">
      <c r="A289" s="22" t="b">
        <v>0</v>
      </c>
      <c r="B289" s="22" t="s">
        <v>2225</v>
      </c>
      <c r="C289" s="34">
        <v>46005</v>
      </c>
      <c r="D289" s="22" t="s">
        <v>3232</v>
      </c>
      <c r="E289" s="22">
        <v>-151.5</v>
      </c>
      <c r="F289" s="28"/>
      <c r="G289" s="22" t="s">
        <v>489</v>
      </c>
      <c r="H289" s="22" t="s">
        <v>483</v>
      </c>
      <c r="I289" s="22"/>
    </row>
    <row r="290" spans="1:10" x14ac:dyDescent="0.25">
      <c r="A290" s="22" t="b">
        <v>0</v>
      </c>
      <c r="B290" s="22" t="s">
        <v>2222</v>
      </c>
      <c r="C290" s="34">
        <v>46006</v>
      </c>
      <c r="D290" s="22" t="s">
        <v>3233</v>
      </c>
      <c r="E290" s="22">
        <v>-82</v>
      </c>
      <c r="F290" s="28"/>
      <c r="G290" s="22" t="s">
        <v>489</v>
      </c>
      <c r="H290" s="22" t="s">
        <v>483</v>
      </c>
      <c r="I290" s="22"/>
    </row>
    <row r="291" spans="1:10" x14ac:dyDescent="0.25">
      <c r="A291" s="22" t="b">
        <v>0</v>
      </c>
      <c r="B291" s="22" t="s">
        <v>2223</v>
      </c>
      <c r="C291" s="34">
        <v>46006</v>
      </c>
      <c r="D291" s="22" t="s">
        <v>3234</v>
      </c>
      <c r="E291" s="22">
        <v>-110</v>
      </c>
      <c r="F291" s="28"/>
      <c r="G291" s="22" t="s">
        <v>489</v>
      </c>
      <c r="H291" s="22" t="s">
        <v>483</v>
      </c>
      <c r="I291" s="22"/>
    </row>
    <row r="292" spans="1:10" x14ac:dyDescent="0.25">
      <c r="A292" s="22" t="b">
        <v>0</v>
      </c>
      <c r="B292" s="22" t="s">
        <v>2224</v>
      </c>
      <c r="C292" s="34">
        <v>46006</v>
      </c>
      <c r="D292" s="22" t="s">
        <v>3235</v>
      </c>
      <c r="E292" s="22">
        <v>-150</v>
      </c>
      <c r="F292" s="28"/>
      <c r="G292" s="22" t="s">
        <v>489</v>
      </c>
      <c r="H292" s="22" t="s">
        <v>483</v>
      </c>
      <c r="I292" s="22"/>
    </row>
    <row r="293" spans="1:10" x14ac:dyDescent="0.25">
      <c r="A293" s="22" t="b">
        <v>0</v>
      </c>
      <c r="B293" s="22" t="s">
        <v>2220</v>
      </c>
      <c r="C293" s="34">
        <v>46007</v>
      </c>
      <c r="D293" s="22" t="s">
        <v>3236</v>
      </c>
      <c r="E293" s="22">
        <v>-50</v>
      </c>
      <c r="F293" s="28"/>
      <c r="G293" s="22" t="s">
        <v>489</v>
      </c>
      <c r="H293" s="22" t="s">
        <v>483</v>
      </c>
      <c r="I293" s="22"/>
    </row>
    <row r="294" spans="1:10" x14ac:dyDescent="0.25">
      <c r="A294" s="22" t="b">
        <v>0</v>
      </c>
      <c r="B294" s="22" t="s">
        <v>2221</v>
      </c>
      <c r="C294" s="34">
        <v>46007</v>
      </c>
      <c r="D294" s="22" t="s">
        <v>3237</v>
      </c>
      <c r="E294" s="22">
        <v>-200</v>
      </c>
      <c r="F294" s="28"/>
      <c r="G294" s="22" t="s">
        <v>489</v>
      </c>
      <c r="H294" s="22" t="s">
        <v>483</v>
      </c>
      <c r="I294" s="22"/>
    </row>
    <row r="295" spans="1:10" x14ac:dyDescent="0.25">
      <c r="A295" s="22" t="b">
        <v>0</v>
      </c>
      <c r="B295" s="22" t="s">
        <v>2710</v>
      </c>
      <c r="C295" s="34">
        <v>45743</v>
      </c>
      <c r="D295" s="22" t="s">
        <v>3238</v>
      </c>
      <c r="E295" s="22">
        <v>-100.2</v>
      </c>
      <c r="F295" s="28"/>
      <c r="G295" s="22" t="s">
        <v>489</v>
      </c>
      <c r="H295" s="22" t="s">
        <v>483</v>
      </c>
      <c r="I295" s="22"/>
    </row>
    <row r="296" spans="1:10" x14ac:dyDescent="0.25">
      <c r="A296" s="22" t="b">
        <v>0</v>
      </c>
      <c r="B296" s="22" t="s">
        <v>2711</v>
      </c>
      <c r="C296" s="34">
        <v>45740</v>
      </c>
      <c r="D296" s="22" t="s">
        <v>3239</v>
      </c>
      <c r="E296" s="22">
        <v>-130.19999999999999</v>
      </c>
      <c r="F296" s="28"/>
      <c r="G296" s="22" t="s">
        <v>489</v>
      </c>
      <c r="H296" s="22" t="s">
        <v>483</v>
      </c>
      <c r="I296" s="22"/>
      <c r="J296" s="22">
        <v>31</v>
      </c>
    </row>
    <row r="297" spans="1:10" x14ac:dyDescent="0.25">
      <c r="A297" s="22" t="b">
        <v>0</v>
      </c>
      <c r="B297" s="22" t="s">
        <v>2712</v>
      </c>
      <c r="C297" s="34">
        <v>45738</v>
      </c>
      <c r="D297" s="22" t="s">
        <v>3240</v>
      </c>
      <c r="E297" s="22">
        <v>-120.2</v>
      </c>
      <c r="F297" s="28"/>
      <c r="G297" s="22" t="s">
        <v>489</v>
      </c>
      <c r="H297" s="22" t="s">
        <v>483</v>
      </c>
      <c r="I297" s="22"/>
      <c r="J297" s="22">
        <v>44</v>
      </c>
    </row>
    <row r="298" spans="1:10" x14ac:dyDescent="0.25">
      <c r="A298" s="22" t="b">
        <v>0</v>
      </c>
      <c r="B298" s="22" t="s">
        <v>2713</v>
      </c>
      <c r="C298" s="34">
        <v>45736</v>
      </c>
      <c r="D298" s="22" t="s">
        <v>3241</v>
      </c>
      <c r="E298" s="22">
        <v>-350.2</v>
      </c>
      <c r="F298" s="28"/>
      <c r="G298" s="22" t="s">
        <v>489</v>
      </c>
      <c r="H298" s="22" t="s">
        <v>483</v>
      </c>
      <c r="I298" s="22"/>
      <c r="J298" s="22">
        <v>59</v>
      </c>
    </row>
    <row r="299" spans="1:10" x14ac:dyDescent="0.25">
      <c r="A299" s="22" t="b">
        <v>0</v>
      </c>
      <c r="B299" s="22" t="s">
        <v>2714</v>
      </c>
      <c r="C299" s="34">
        <v>45736</v>
      </c>
      <c r="D299" s="22" t="s">
        <v>3242</v>
      </c>
      <c r="E299" s="22">
        <v>-170.2</v>
      </c>
      <c r="F299" s="28"/>
      <c r="G299" s="22" t="s">
        <v>489</v>
      </c>
      <c r="H299" s="22" t="s">
        <v>483</v>
      </c>
      <c r="I299" s="22"/>
      <c r="J299" s="22">
        <v>65</v>
      </c>
    </row>
    <row r="300" spans="1:10" x14ac:dyDescent="0.25">
      <c r="A300" s="22" t="b">
        <v>0</v>
      </c>
      <c r="B300" s="22" t="s">
        <v>2715</v>
      </c>
      <c r="C300" s="34">
        <v>45736</v>
      </c>
      <c r="D300" s="22" t="s">
        <v>3243</v>
      </c>
      <c r="E300" s="22">
        <v>-200.2</v>
      </c>
      <c r="F300" s="28"/>
      <c r="G300" s="22" t="s">
        <v>489</v>
      </c>
      <c r="H300" s="22" t="s">
        <v>483</v>
      </c>
      <c r="I300" s="22"/>
      <c r="J300" s="22">
        <v>66</v>
      </c>
    </row>
    <row r="301" spans="1:10" x14ac:dyDescent="0.25">
      <c r="A301" s="22" t="b">
        <v>0</v>
      </c>
      <c r="B301" s="22" t="s">
        <v>2716</v>
      </c>
      <c r="C301" s="34">
        <v>45728</v>
      </c>
      <c r="D301" s="22" t="s">
        <v>3244</v>
      </c>
      <c r="E301" s="22">
        <v>-15.99</v>
      </c>
      <c r="F301" s="28"/>
      <c r="G301" s="22" t="s">
        <v>489</v>
      </c>
      <c r="H301" s="22" t="s">
        <v>483</v>
      </c>
      <c r="I301" s="22"/>
      <c r="J301" s="22">
        <v>111</v>
      </c>
    </row>
    <row r="302" spans="1:10" x14ac:dyDescent="0.25">
      <c r="A302" s="22" t="b">
        <v>0</v>
      </c>
      <c r="B302" s="22" t="s">
        <v>2717</v>
      </c>
      <c r="C302" s="34">
        <v>45728</v>
      </c>
      <c r="D302" s="22" t="s">
        <v>3245</v>
      </c>
      <c r="E302" s="22">
        <v>-105.2</v>
      </c>
      <c r="F302" s="28"/>
      <c r="G302" s="22" t="s">
        <v>489</v>
      </c>
      <c r="H302" s="22" t="s">
        <v>483</v>
      </c>
      <c r="I302" s="22"/>
      <c r="J302" s="22">
        <v>112</v>
      </c>
    </row>
    <row r="303" spans="1:10" x14ac:dyDescent="0.25">
      <c r="A303" s="22" t="b">
        <v>0</v>
      </c>
      <c r="B303" s="22" t="s">
        <v>2718</v>
      </c>
      <c r="C303" s="34">
        <v>45728</v>
      </c>
      <c r="D303" s="22" t="s">
        <v>3246</v>
      </c>
      <c r="E303" s="22">
        <v>-650.20000000000005</v>
      </c>
      <c r="F303" s="28"/>
      <c r="G303" s="22" t="s">
        <v>489</v>
      </c>
      <c r="H303" s="22" t="s">
        <v>483</v>
      </c>
      <c r="I303" s="22"/>
      <c r="J303" s="22">
        <v>115</v>
      </c>
    </row>
    <row r="304" spans="1:10" x14ac:dyDescent="0.25">
      <c r="A304" s="22" t="b">
        <v>0</v>
      </c>
      <c r="B304" s="22" t="s">
        <v>2719</v>
      </c>
      <c r="C304" s="34">
        <v>45717</v>
      </c>
      <c r="D304" s="22" t="s">
        <v>3247</v>
      </c>
      <c r="E304" s="22">
        <v>-138.19999999999999</v>
      </c>
      <c r="F304" s="28"/>
      <c r="G304" s="22" t="s">
        <v>489</v>
      </c>
      <c r="H304" s="22" t="s">
        <v>483</v>
      </c>
      <c r="I304" s="22"/>
      <c r="J304" s="22">
        <v>151</v>
      </c>
    </row>
    <row r="305" spans="1:10" x14ac:dyDescent="0.25">
      <c r="A305" s="22" t="b">
        <v>0</v>
      </c>
      <c r="B305" s="22" t="s">
        <v>2720</v>
      </c>
      <c r="C305" s="34">
        <v>45707</v>
      </c>
      <c r="D305" s="22" t="s">
        <v>3248</v>
      </c>
      <c r="E305" s="22">
        <v>-90.2</v>
      </c>
      <c r="F305" s="28"/>
      <c r="G305" s="22" t="s">
        <v>489</v>
      </c>
      <c r="H305" s="22" t="s">
        <v>483</v>
      </c>
      <c r="I305" s="22"/>
      <c r="J305" s="22">
        <v>217</v>
      </c>
    </row>
    <row r="306" spans="1:10" x14ac:dyDescent="0.25">
      <c r="A306" s="22" t="b">
        <v>0</v>
      </c>
      <c r="B306" s="22" t="s">
        <v>2721</v>
      </c>
      <c r="C306" s="34">
        <v>45707</v>
      </c>
      <c r="D306" s="22" t="s">
        <v>3249</v>
      </c>
      <c r="E306" s="22">
        <v>-90.2</v>
      </c>
      <c r="F306" s="28"/>
      <c r="G306" s="22" t="s">
        <v>489</v>
      </c>
      <c r="H306" s="22" t="s">
        <v>483</v>
      </c>
      <c r="I306" s="22"/>
      <c r="J306" s="22">
        <v>218</v>
      </c>
    </row>
    <row r="307" spans="1:10" x14ac:dyDescent="0.25">
      <c r="A307" s="22" t="b">
        <v>0</v>
      </c>
      <c r="B307" s="22" t="s">
        <v>2722</v>
      </c>
      <c r="C307" s="34">
        <v>45707</v>
      </c>
      <c r="D307" s="22" t="s">
        <v>3250</v>
      </c>
      <c r="E307" s="22">
        <v>-66.2</v>
      </c>
      <c r="F307" s="28"/>
      <c r="G307" s="22" t="s">
        <v>489</v>
      </c>
      <c r="H307" s="22" t="s">
        <v>483</v>
      </c>
      <c r="I307" s="22"/>
      <c r="J307" s="22">
        <v>225</v>
      </c>
    </row>
    <row r="308" spans="1:10" x14ac:dyDescent="0.25">
      <c r="A308" s="22" t="b">
        <v>0</v>
      </c>
      <c r="B308" s="22" t="s">
        <v>2723</v>
      </c>
      <c r="C308" s="34">
        <v>45702</v>
      </c>
      <c r="D308" s="22" t="s">
        <v>3251</v>
      </c>
      <c r="E308" s="22">
        <v>-500.2</v>
      </c>
      <c r="F308" s="28"/>
      <c r="G308" s="22" t="s">
        <v>489</v>
      </c>
      <c r="H308" s="22" t="s">
        <v>483</v>
      </c>
      <c r="I308" s="22"/>
      <c r="J308" s="22">
        <v>267</v>
      </c>
    </row>
    <row r="309" spans="1:10" x14ac:dyDescent="0.25">
      <c r="A309" s="22" t="b">
        <v>0</v>
      </c>
      <c r="B309" s="22" t="s">
        <v>2724</v>
      </c>
      <c r="C309" s="34">
        <v>45701</v>
      </c>
      <c r="D309" s="22" t="s">
        <v>3252</v>
      </c>
      <c r="E309" s="22">
        <v>-90</v>
      </c>
      <c r="F309" s="28"/>
      <c r="G309" s="22" t="s">
        <v>489</v>
      </c>
      <c r="H309" s="22" t="s">
        <v>483</v>
      </c>
      <c r="I309" s="22"/>
      <c r="J309" s="22">
        <v>272</v>
      </c>
    </row>
    <row r="310" spans="1:10" x14ac:dyDescent="0.25">
      <c r="A310" s="22" t="b">
        <v>0</v>
      </c>
      <c r="B310" s="22" t="s">
        <v>2725</v>
      </c>
      <c r="C310" s="34">
        <v>45701</v>
      </c>
      <c r="D310" s="22" t="s">
        <v>3253</v>
      </c>
      <c r="E310" s="22">
        <v>-396</v>
      </c>
      <c r="F310" s="28"/>
      <c r="G310" s="22" t="s">
        <v>489</v>
      </c>
      <c r="H310" s="22" t="s">
        <v>483</v>
      </c>
      <c r="I310" s="22"/>
      <c r="J310" s="22">
        <v>273</v>
      </c>
    </row>
    <row r="311" spans="1:10" x14ac:dyDescent="0.25">
      <c r="A311" s="22" t="b">
        <v>0</v>
      </c>
      <c r="B311" s="22" t="s">
        <v>2726</v>
      </c>
      <c r="C311" s="34">
        <v>45701</v>
      </c>
      <c r="D311" s="22" t="s">
        <v>3254</v>
      </c>
      <c r="E311" s="22">
        <v>-200</v>
      </c>
      <c r="F311" s="28"/>
      <c r="G311" s="22" t="s">
        <v>489</v>
      </c>
      <c r="H311" s="22" t="s">
        <v>483</v>
      </c>
      <c r="I311" s="22"/>
      <c r="J311" s="22">
        <v>274</v>
      </c>
    </row>
    <row r="312" spans="1:10" x14ac:dyDescent="0.25">
      <c r="A312" s="22" t="b">
        <v>0</v>
      </c>
      <c r="B312" s="22" t="s">
        <v>2727</v>
      </c>
      <c r="C312" s="34">
        <v>45698</v>
      </c>
      <c r="D312" s="22" t="s">
        <v>3252</v>
      </c>
      <c r="E312" s="22">
        <v>-100</v>
      </c>
      <c r="F312" s="28"/>
      <c r="G312" s="22" t="s">
        <v>489</v>
      </c>
      <c r="H312" s="22" t="s">
        <v>483</v>
      </c>
      <c r="I312" s="22"/>
      <c r="J312" s="22">
        <v>281</v>
      </c>
    </row>
    <row r="313" spans="1:10" x14ac:dyDescent="0.25">
      <c r="A313" s="22" t="b">
        <v>0</v>
      </c>
      <c r="B313" s="22" t="s">
        <v>42</v>
      </c>
      <c r="C313" s="34">
        <v>46071</v>
      </c>
      <c r="D313" s="22" t="s">
        <v>3255</v>
      </c>
      <c r="E313" s="22">
        <v>-120.2</v>
      </c>
      <c r="F313" s="22" t="s">
        <v>489</v>
      </c>
      <c r="G313" s="22" t="s">
        <v>483</v>
      </c>
      <c r="H313" s="22"/>
      <c r="I313" s="22">
        <v>4</v>
      </c>
    </row>
    <row r="314" spans="1:10" x14ac:dyDescent="0.25">
      <c r="A314" s="22" t="b">
        <v>0</v>
      </c>
      <c r="B314" s="22" t="s">
        <v>55</v>
      </c>
      <c r="C314" s="34">
        <v>46070</v>
      </c>
      <c r="D314" s="22" t="s">
        <v>3215</v>
      </c>
      <c r="E314" s="22">
        <v>-287.7</v>
      </c>
      <c r="F314" s="22" t="s">
        <v>489</v>
      </c>
      <c r="G314" s="22" t="s">
        <v>483</v>
      </c>
      <c r="H314" s="22"/>
      <c r="I314" s="22">
        <v>9</v>
      </c>
    </row>
    <row r="315" spans="1:10" x14ac:dyDescent="0.25">
      <c r="A315" s="22" t="b">
        <v>0</v>
      </c>
      <c r="B315" s="22" t="s">
        <v>64</v>
      </c>
      <c r="C315" s="34">
        <v>46069</v>
      </c>
      <c r="D315" s="22" t="s">
        <v>3215</v>
      </c>
      <c r="E315" s="22">
        <v>-200.2</v>
      </c>
      <c r="F315" s="22" t="s">
        <v>489</v>
      </c>
      <c r="G315" s="22" t="s">
        <v>483</v>
      </c>
      <c r="H315" s="22"/>
      <c r="I315" s="22">
        <v>13</v>
      </c>
    </row>
    <row r="316" spans="1:10" x14ac:dyDescent="0.25">
      <c r="A316" s="22" t="b">
        <v>0</v>
      </c>
      <c r="B316" s="22" t="s">
        <v>140</v>
      </c>
      <c r="C316" s="34">
        <v>46063</v>
      </c>
      <c r="D316" s="22" t="s">
        <v>3256</v>
      </c>
      <c r="E316" s="22">
        <v>-81.25</v>
      </c>
      <c r="F316" s="22" t="s">
        <v>489</v>
      </c>
      <c r="G316" s="22" t="s">
        <v>483</v>
      </c>
      <c r="H316" s="22"/>
      <c r="I316" s="22">
        <v>49</v>
      </c>
    </row>
    <row r="317" spans="1:10" x14ac:dyDescent="0.25">
      <c r="A317" s="22" t="b">
        <v>0</v>
      </c>
      <c r="B317" s="22" t="s">
        <v>143</v>
      </c>
      <c r="C317" s="34">
        <v>46063</v>
      </c>
      <c r="D317" s="22" t="s">
        <v>3257</v>
      </c>
      <c r="E317" s="22">
        <v>-70</v>
      </c>
      <c r="F317" s="22" t="s">
        <v>489</v>
      </c>
      <c r="G317" s="22" t="s">
        <v>483</v>
      </c>
      <c r="H317" s="22"/>
      <c r="I317" s="22">
        <v>50</v>
      </c>
    </row>
    <row r="318" spans="1:10" x14ac:dyDescent="0.25">
      <c r="A318" s="22" t="b">
        <v>0</v>
      </c>
      <c r="B318" s="22" t="s">
        <v>158</v>
      </c>
      <c r="C318" s="34">
        <v>46063</v>
      </c>
      <c r="D318" s="22" t="s">
        <v>3258</v>
      </c>
      <c r="E318" s="22">
        <v>-65</v>
      </c>
      <c r="F318" s="22" t="s">
        <v>489</v>
      </c>
      <c r="G318" s="22" t="s">
        <v>483</v>
      </c>
      <c r="H318" s="22"/>
      <c r="I318" s="22">
        <v>56</v>
      </c>
    </row>
    <row r="319" spans="1:10" x14ac:dyDescent="0.25">
      <c r="A319" s="22" t="b">
        <v>0</v>
      </c>
      <c r="B319" s="22" t="s">
        <v>185</v>
      </c>
      <c r="C319" s="34">
        <v>46059</v>
      </c>
      <c r="D319" s="22" t="s">
        <v>3259</v>
      </c>
      <c r="E319" s="22">
        <v>-125.64</v>
      </c>
      <c r="F319" s="22" t="s">
        <v>489</v>
      </c>
      <c r="G319" s="22" t="s">
        <v>483</v>
      </c>
      <c r="H319" s="22"/>
      <c r="I319" s="22">
        <v>70</v>
      </c>
    </row>
    <row r="320" spans="1:10" x14ac:dyDescent="0.25">
      <c r="A320" s="22" t="b">
        <v>0</v>
      </c>
      <c r="B320" s="22" t="s">
        <v>199</v>
      </c>
      <c r="C320" s="34">
        <v>46058</v>
      </c>
      <c r="D320" s="22" t="s">
        <v>3260</v>
      </c>
      <c r="E320" s="22">
        <v>-150.19999999999999</v>
      </c>
      <c r="F320" s="22" t="s">
        <v>489</v>
      </c>
      <c r="G320" s="22" t="s">
        <v>483</v>
      </c>
      <c r="H320" s="22"/>
      <c r="I320" s="22">
        <v>77</v>
      </c>
    </row>
    <row r="321" spans="1:9" x14ac:dyDescent="0.25">
      <c r="A321" s="22" t="b">
        <v>0</v>
      </c>
      <c r="B321" s="22" t="s">
        <v>209</v>
      </c>
      <c r="C321" s="34">
        <v>46057</v>
      </c>
      <c r="D321" s="22" t="s">
        <v>3261</v>
      </c>
      <c r="E321" s="22">
        <v>-450.2</v>
      </c>
      <c r="F321" s="22" t="s">
        <v>489</v>
      </c>
      <c r="G321" s="22" t="s">
        <v>483</v>
      </c>
      <c r="H321" s="22"/>
      <c r="I321" s="22">
        <v>82</v>
      </c>
    </row>
    <row r="322" spans="1:9" x14ac:dyDescent="0.25">
      <c r="A322" s="22" t="b">
        <v>0</v>
      </c>
      <c r="B322" s="22" t="s">
        <v>215</v>
      </c>
      <c r="C322" s="34">
        <v>46056</v>
      </c>
      <c r="D322" s="22" t="s">
        <v>3262</v>
      </c>
      <c r="E322" s="22">
        <v>-168.75</v>
      </c>
      <c r="F322" s="22" t="s">
        <v>489</v>
      </c>
      <c r="G322" s="22" t="s">
        <v>483</v>
      </c>
      <c r="H322" s="22"/>
      <c r="I322" s="22">
        <v>85</v>
      </c>
    </row>
    <row r="323" spans="1:9" x14ac:dyDescent="0.25">
      <c r="A323" s="22" t="b">
        <v>0</v>
      </c>
      <c r="B323" s="22" t="s">
        <v>218</v>
      </c>
      <c r="C323" s="34">
        <v>46056</v>
      </c>
      <c r="D323" s="22" t="s">
        <v>3263</v>
      </c>
      <c r="E323" s="22">
        <v>-117</v>
      </c>
      <c r="F323" s="22" t="s">
        <v>489</v>
      </c>
      <c r="G323" s="22" t="s">
        <v>483</v>
      </c>
      <c r="H323" s="22"/>
      <c r="I323" s="22">
        <v>86</v>
      </c>
    </row>
    <row r="324" spans="1:9" x14ac:dyDescent="0.25">
      <c r="A324" s="22" t="b">
        <v>0</v>
      </c>
      <c r="B324" s="22" t="s">
        <v>221</v>
      </c>
      <c r="C324" s="34">
        <v>46056</v>
      </c>
      <c r="D324" s="22" t="s">
        <v>3264</v>
      </c>
      <c r="E324" s="22">
        <v>-100.2</v>
      </c>
      <c r="F324" s="22" t="s">
        <v>489</v>
      </c>
      <c r="G324" s="22" t="s">
        <v>483</v>
      </c>
      <c r="H324" s="22"/>
      <c r="I324" s="22">
        <v>87</v>
      </c>
    </row>
    <row r="325" spans="1:9" x14ac:dyDescent="0.25">
      <c r="A325" s="22" t="b">
        <v>0</v>
      </c>
      <c r="B325" s="22" t="s">
        <v>336</v>
      </c>
      <c r="C325" s="34">
        <v>46042</v>
      </c>
      <c r="D325" s="22" t="s">
        <v>3265</v>
      </c>
      <c r="E325" s="22">
        <v>-157.69999999999999</v>
      </c>
      <c r="F325" s="22" t="s">
        <v>489</v>
      </c>
      <c r="G325" s="22" t="s">
        <v>483</v>
      </c>
      <c r="H325" s="22"/>
      <c r="I325" s="22">
        <v>145</v>
      </c>
    </row>
    <row r="326" spans="1:9" x14ac:dyDescent="0.25">
      <c r="A326" s="22" t="b">
        <v>0</v>
      </c>
      <c r="B326" s="22" t="s">
        <v>366</v>
      </c>
      <c r="C326" s="34">
        <v>46037</v>
      </c>
      <c r="D326" s="22" t="s">
        <v>3266</v>
      </c>
      <c r="E326" s="22">
        <v>-130</v>
      </c>
      <c r="F326" s="22" t="s">
        <v>489</v>
      </c>
      <c r="G326" s="22" t="s">
        <v>483</v>
      </c>
      <c r="H326" s="22"/>
      <c r="I326" s="22">
        <v>162</v>
      </c>
    </row>
    <row r="327" spans="1:9" x14ac:dyDescent="0.25">
      <c r="A327" s="22" t="b">
        <v>0</v>
      </c>
      <c r="B327" s="22" t="s">
        <v>413</v>
      </c>
      <c r="C327" s="34">
        <v>46027</v>
      </c>
      <c r="D327" s="22" t="s">
        <v>3259</v>
      </c>
      <c r="E327" s="22">
        <v>-130.94</v>
      </c>
      <c r="F327" s="22" t="s">
        <v>489</v>
      </c>
      <c r="G327" s="22" t="s">
        <v>483</v>
      </c>
      <c r="H327" s="22"/>
      <c r="I327" s="22">
        <v>194</v>
      </c>
    </row>
    <row r="328" spans="1:9" x14ac:dyDescent="0.25">
      <c r="A328" s="22" t="b">
        <v>0</v>
      </c>
      <c r="B328" s="22" t="s">
        <v>425</v>
      </c>
      <c r="C328" s="34">
        <v>46025</v>
      </c>
      <c r="D328" s="22" t="s">
        <v>3267</v>
      </c>
      <c r="E328" s="22">
        <v>-14.7</v>
      </c>
      <c r="F328" s="22" t="s">
        <v>489</v>
      </c>
      <c r="G328" s="22" t="s">
        <v>483</v>
      </c>
      <c r="H328" s="22"/>
      <c r="I328" s="22">
        <v>203</v>
      </c>
    </row>
  </sheetData>
  <autoFilter ref="D1:D958" xr:uid="{00000000-0009-0000-0000-000006000000}"/>
  <dataValidations count="1">
    <dataValidation type="list" allowBlank="1" showErrorMessage="1" sqref="I2:I312 H313:H328" xr:uid="{00000000-0002-0000-06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3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4" max="4" width="65.2187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0</v>
      </c>
      <c r="B2" s="22" t="s">
        <v>1321</v>
      </c>
      <c r="C2" s="34">
        <v>45749</v>
      </c>
      <c r="D2" s="22" t="s">
        <v>2793</v>
      </c>
      <c r="E2" s="22">
        <v>2500</v>
      </c>
      <c r="F2" s="28"/>
      <c r="G2" s="22" t="s">
        <v>482</v>
      </c>
      <c r="H2" s="22" t="s">
        <v>483</v>
      </c>
      <c r="I2" s="22"/>
    </row>
    <row r="3" spans="1:11" x14ac:dyDescent="0.25">
      <c r="A3" s="22" t="b">
        <v>0</v>
      </c>
      <c r="B3" s="22" t="s">
        <v>1310</v>
      </c>
      <c r="C3" s="34">
        <v>45753</v>
      </c>
      <c r="D3" s="22" t="s">
        <v>2788</v>
      </c>
      <c r="E3" s="22">
        <v>662</v>
      </c>
      <c r="F3" s="28"/>
      <c r="G3" s="22" t="s">
        <v>482</v>
      </c>
      <c r="H3" s="22" t="s">
        <v>483</v>
      </c>
      <c r="I3" s="22"/>
    </row>
    <row r="4" spans="1:11" x14ac:dyDescent="0.25">
      <c r="A4" s="22" t="b">
        <v>0</v>
      </c>
      <c r="B4" s="22" t="s">
        <v>1290</v>
      </c>
      <c r="C4" s="34">
        <v>45760</v>
      </c>
      <c r="D4" s="22" t="s">
        <v>2789</v>
      </c>
      <c r="E4" s="22">
        <v>331</v>
      </c>
      <c r="F4" s="28"/>
      <c r="G4" s="22" t="s">
        <v>482</v>
      </c>
      <c r="H4" s="22" t="s">
        <v>483</v>
      </c>
      <c r="I4" s="22"/>
    </row>
    <row r="5" spans="1:11" x14ac:dyDescent="0.25">
      <c r="A5" s="22" t="b">
        <v>0</v>
      </c>
      <c r="B5" s="22" t="s">
        <v>1906</v>
      </c>
      <c r="C5" s="34">
        <v>45760</v>
      </c>
      <c r="D5" s="22" t="s">
        <v>3268</v>
      </c>
      <c r="E5" s="22">
        <v>1</v>
      </c>
      <c r="F5" s="28"/>
      <c r="G5" s="22" t="s">
        <v>482</v>
      </c>
      <c r="H5" s="22" t="s">
        <v>483</v>
      </c>
      <c r="I5" s="22"/>
    </row>
    <row r="6" spans="1:11" x14ac:dyDescent="0.25">
      <c r="A6" s="22" t="b">
        <v>0</v>
      </c>
      <c r="B6" s="22" t="s">
        <v>1905</v>
      </c>
      <c r="C6" s="34">
        <v>45761</v>
      </c>
      <c r="D6" s="22" t="s">
        <v>3268</v>
      </c>
      <c r="E6" s="22">
        <v>340</v>
      </c>
      <c r="F6" s="28"/>
      <c r="G6" s="22" t="s">
        <v>482</v>
      </c>
      <c r="H6" s="22" t="s">
        <v>483</v>
      </c>
      <c r="I6" s="22"/>
    </row>
    <row r="7" spans="1:11" x14ac:dyDescent="0.25">
      <c r="A7" s="22" t="b">
        <v>0</v>
      </c>
      <c r="B7" s="22" t="s">
        <v>1904</v>
      </c>
      <c r="C7" s="34">
        <v>45764</v>
      </c>
      <c r="D7" s="22" t="s">
        <v>3268</v>
      </c>
      <c r="E7" s="22">
        <v>360</v>
      </c>
      <c r="F7" s="28"/>
      <c r="G7" s="22" t="s">
        <v>482</v>
      </c>
      <c r="H7" s="22" t="s">
        <v>483</v>
      </c>
      <c r="I7" s="22"/>
    </row>
    <row r="8" spans="1:11" x14ac:dyDescent="0.25">
      <c r="A8" s="22" t="b">
        <v>0</v>
      </c>
      <c r="B8" s="22" t="s">
        <v>1269</v>
      </c>
      <c r="C8" s="34">
        <v>45772</v>
      </c>
      <c r="D8" s="22" t="s">
        <v>3269</v>
      </c>
      <c r="E8" s="22">
        <v>290</v>
      </c>
      <c r="F8" s="28"/>
      <c r="G8" s="22" t="s">
        <v>482</v>
      </c>
      <c r="H8" s="22" t="s">
        <v>483</v>
      </c>
      <c r="I8" s="22"/>
    </row>
    <row r="9" spans="1:11" x14ac:dyDescent="0.25">
      <c r="A9" s="22" t="b">
        <v>0</v>
      </c>
      <c r="B9" s="22" t="s">
        <v>1903</v>
      </c>
      <c r="C9" s="34">
        <v>45782</v>
      </c>
      <c r="D9" s="22" t="s">
        <v>3268</v>
      </c>
      <c r="E9" s="22">
        <v>3000</v>
      </c>
      <c r="F9" s="28"/>
      <c r="G9" s="22" t="s">
        <v>482</v>
      </c>
      <c r="H9" s="22" t="s">
        <v>483</v>
      </c>
      <c r="I9" s="22"/>
    </row>
    <row r="10" spans="1:11" x14ac:dyDescent="0.25">
      <c r="A10" s="22" t="b">
        <v>0</v>
      </c>
      <c r="B10" s="22" t="s">
        <v>1204</v>
      </c>
      <c r="C10" s="34">
        <v>45789</v>
      </c>
      <c r="D10" s="22" t="s">
        <v>2789</v>
      </c>
      <c r="E10" s="22">
        <v>331</v>
      </c>
      <c r="F10" s="28"/>
      <c r="G10" s="22" t="s">
        <v>482</v>
      </c>
      <c r="H10" s="22" t="s">
        <v>483</v>
      </c>
      <c r="I10" s="22"/>
    </row>
    <row r="11" spans="1:11" x14ac:dyDescent="0.25">
      <c r="A11" s="22" t="b">
        <v>0</v>
      </c>
      <c r="B11" s="22" t="s">
        <v>1206</v>
      </c>
      <c r="C11" s="34">
        <v>45789</v>
      </c>
      <c r="D11" s="22" t="s">
        <v>2788</v>
      </c>
      <c r="E11" s="22">
        <v>331</v>
      </c>
      <c r="F11" s="28"/>
      <c r="G11" s="22" t="s">
        <v>482</v>
      </c>
      <c r="H11" s="22" t="s">
        <v>483</v>
      </c>
      <c r="I11" s="22"/>
    </row>
    <row r="12" spans="1:11" x14ac:dyDescent="0.25">
      <c r="A12" s="22" t="b">
        <v>0</v>
      </c>
      <c r="B12" s="22" t="s">
        <v>1929</v>
      </c>
      <c r="C12" s="34">
        <v>45793</v>
      </c>
      <c r="D12" s="22" t="s">
        <v>3270</v>
      </c>
      <c r="E12" s="22">
        <v>300</v>
      </c>
      <c r="F12" s="28"/>
      <c r="G12" s="22" t="s">
        <v>482</v>
      </c>
      <c r="H12" s="22" t="s">
        <v>483</v>
      </c>
      <c r="I12" s="22"/>
    </row>
    <row r="13" spans="1:11" x14ac:dyDescent="0.25">
      <c r="A13" s="22" t="b">
        <v>0</v>
      </c>
      <c r="B13" s="22" t="s">
        <v>1902</v>
      </c>
      <c r="C13" s="34">
        <v>45809</v>
      </c>
      <c r="D13" s="22" t="s">
        <v>3268</v>
      </c>
      <c r="E13" s="22">
        <v>90</v>
      </c>
      <c r="F13" s="28"/>
      <c r="G13" s="22" t="s">
        <v>482</v>
      </c>
      <c r="H13" s="22" t="s">
        <v>483</v>
      </c>
      <c r="I13" s="22"/>
    </row>
    <row r="14" spans="1:11" x14ac:dyDescent="0.25">
      <c r="A14" s="22" t="b">
        <v>0</v>
      </c>
      <c r="B14" s="22" t="s">
        <v>1928</v>
      </c>
      <c r="C14" s="34">
        <v>45815</v>
      </c>
      <c r="D14" s="22" t="s">
        <v>3271</v>
      </c>
      <c r="E14" s="22">
        <v>300</v>
      </c>
      <c r="F14" s="28"/>
      <c r="G14" s="22" t="s">
        <v>482</v>
      </c>
      <c r="H14" s="22" t="s">
        <v>483</v>
      </c>
      <c r="I14" s="22"/>
    </row>
    <row r="15" spans="1:11" x14ac:dyDescent="0.25">
      <c r="A15" s="22" t="b">
        <v>0</v>
      </c>
      <c r="B15" s="22" t="s">
        <v>975</v>
      </c>
      <c r="C15" s="34">
        <v>45820</v>
      </c>
      <c r="D15" s="22" t="s">
        <v>2788</v>
      </c>
      <c r="E15" s="22">
        <v>331</v>
      </c>
      <c r="F15" s="28"/>
      <c r="G15" s="22" t="s">
        <v>482</v>
      </c>
      <c r="H15" s="22" t="s">
        <v>483</v>
      </c>
      <c r="I15" s="22"/>
    </row>
    <row r="16" spans="1:11" x14ac:dyDescent="0.25">
      <c r="A16" s="22" t="b">
        <v>0</v>
      </c>
      <c r="B16" s="22" t="s">
        <v>953</v>
      </c>
      <c r="C16" s="34">
        <v>45822</v>
      </c>
      <c r="D16" s="22" t="s">
        <v>2789</v>
      </c>
      <c r="E16" s="22">
        <v>331</v>
      </c>
      <c r="F16" s="28"/>
      <c r="G16" s="22" t="s">
        <v>482</v>
      </c>
      <c r="H16" s="22" t="s">
        <v>483</v>
      </c>
      <c r="I16" s="22"/>
    </row>
    <row r="17" spans="1:9" x14ac:dyDescent="0.25">
      <c r="A17" s="22" t="b">
        <v>0</v>
      </c>
      <c r="B17" s="22" t="s">
        <v>1901</v>
      </c>
      <c r="C17" s="34">
        <v>45836</v>
      </c>
      <c r="D17" s="22" t="s">
        <v>3268</v>
      </c>
      <c r="E17" s="22">
        <v>240</v>
      </c>
      <c r="F17" s="28"/>
      <c r="G17" s="22" t="s">
        <v>482</v>
      </c>
      <c r="H17" s="22" t="s">
        <v>483</v>
      </c>
      <c r="I17" s="22"/>
    </row>
    <row r="18" spans="1:9" x14ac:dyDescent="0.25">
      <c r="A18" s="22" t="b">
        <v>0</v>
      </c>
      <c r="B18" s="22" t="s">
        <v>680</v>
      </c>
      <c r="C18" s="34">
        <v>45852</v>
      </c>
      <c r="D18" s="22" t="s">
        <v>3269</v>
      </c>
      <c r="E18" s="22">
        <v>331</v>
      </c>
      <c r="F18" s="28"/>
      <c r="G18" s="22" t="s">
        <v>482</v>
      </c>
      <c r="H18" s="22" t="s">
        <v>483</v>
      </c>
      <c r="I18" s="22"/>
    </row>
    <row r="19" spans="1:9" x14ac:dyDescent="0.25">
      <c r="A19" s="22" t="b">
        <v>0</v>
      </c>
      <c r="B19" s="22" t="s">
        <v>1927</v>
      </c>
      <c r="C19" s="34">
        <v>45874</v>
      </c>
      <c r="D19" s="22" t="s">
        <v>3272</v>
      </c>
      <c r="E19" s="22">
        <v>500</v>
      </c>
      <c r="F19" s="28"/>
      <c r="G19" s="22" t="s">
        <v>482</v>
      </c>
      <c r="H19" s="22" t="s">
        <v>483</v>
      </c>
      <c r="I19" s="22"/>
    </row>
    <row r="20" spans="1:9" x14ac:dyDescent="0.25">
      <c r="A20" s="22" t="b">
        <v>0</v>
      </c>
      <c r="B20" s="22" t="s">
        <v>498</v>
      </c>
      <c r="C20" s="34">
        <v>45882</v>
      </c>
      <c r="D20" s="22" t="s">
        <v>2789</v>
      </c>
      <c r="E20" s="22">
        <v>331</v>
      </c>
      <c r="F20" s="28"/>
      <c r="G20" s="22" t="s">
        <v>482</v>
      </c>
      <c r="H20" s="22" t="s">
        <v>483</v>
      </c>
      <c r="I20" s="22"/>
    </row>
    <row r="21" spans="1:9" x14ac:dyDescent="0.25">
      <c r="A21" s="22" t="b">
        <v>0</v>
      </c>
      <c r="B21" s="22" t="s">
        <v>1871</v>
      </c>
      <c r="C21" s="34">
        <v>45888</v>
      </c>
      <c r="D21" s="22" t="s">
        <v>3269</v>
      </c>
      <c r="E21" s="22">
        <v>331</v>
      </c>
      <c r="F21" s="28"/>
      <c r="G21" s="22" t="s">
        <v>482</v>
      </c>
      <c r="H21" s="22" t="s">
        <v>483</v>
      </c>
      <c r="I21" s="22"/>
    </row>
    <row r="22" spans="1:9" x14ac:dyDescent="0.25">
      <c r="A22" s="22" t="b">
        <v>0</v>
      </c>
      <c r="B22" s="22" t="s">
        <v>1735</v>
      </c>
      <c r="C22" s="34">
        <v>45913</v>
      </c>
      <c r="D22" s="22" t="s">
        <v>2789</v>
      </c>
      <c r="E22" s="22">
        <v>331</v>
      </c>
      <c r="F22" s="28"/>
      <c r="G22" s="22" t="s">
        <v>482</v>
      </c>
      <c r="H22" s="22" t="s">
        <v>483</v>
      </c>
      <c r="I22" s="22"/>
    </row>
    <row r="23" spans="1:9" x14ac:dyDescent="0.25">
      <c r="A23" s="22" t="b">
        <v>0</v>
      </c>
      <c r="B23" s="22" t="s">
        <v>1559</v>
      </c>
      <c r="C23" s="34">
        <v>45948</v>
      </c>
      <c r="D23" s="22" t="s">
        <v>2789</v>
      </c>
      <c r="E23" s="22">
        <v>331</v>
      </c>
      <c r="F23" s="28"/>
      <c r="G23" s="22" t="s">
        <v>482</v>
      </c>
      <c r="H23" s="22" t="s">
        <v>483</v>
      </c>
      <c r="I23" s="22"/>
    </row>
    <row r="24" spans="1:9" x14ac:dyDescent="0.25">
      <c r="A24" s="22" t="b">
        <v>0</v>
      </c>
      <c r="B24" s="22" t="s">
        <v>1479</v>
      </c>
      <c r="C24" s="34">
        <v>45975</v>
      </c>
      <c r="D24" s="22" t="s">
        <v>2789</v>
      </c>
      <c r="E24" s="22">
        <v>311</v>
      </c>
      <c r="F24" s="28"/>
      <c r="G24" s="22" t="s">
        <v>482</v>
      </c>
      <c r="H24" s="22" t="s">
        <v>483</v>
      </c>
      <c r="I24" s="22"/>
    </row>
    <row r="25" spans="1:9" x14ac:dyDescent="0.25">
      <c r="A25" s="22" t="b">
        <v>0</v>
      </c>
      <c r="B25" s="22" t="s">
        <v>1472</v>
      </c>
      <c r="C25" s="34">
        <v>45977</v>
      </c>
      <c r="D25" s="22" t="s">
        <v>3273</v>
      </c>
      <c r="E25" s="22">
        <v>350</v>
      </c>
      <c r="F25" s="28"/>
      <c r="G25" s="22" t="s">
        <v>482</v>
      </c>
      <c r="H25" s="22" t="s">
        <v>483</v>
      </c>
      <c r="I25" s="22"/>
    </row>
    <row r="26" spans="1:9" x14ac:dyDescent="0.25">
      <c r="A26" s="22" t="b">
        <v>0</v>
      </c>
      <c r="B26" s="22" t="s">
        <v>1427</v>
      </c>
      <c r="C26" s="34">
        <v>45987</v>
      </c>
      <c r="D26" s="22" t="s">
        <v>3273</v>
      </c>
      <c r="E26" s="22">
        <v>7500</v>
      </c>
      <c r="F26" s="28"/>
      <c r="G26" s="22" t="s">
        <v>482</v>
      </c>
      <c r="H26" s="22" t="s">
        <v>483</v>
      </c>
      <c r="I26" s="22"/>
    </row>
    <row r="27" spans="1:9" x14ac:dyDescent="0.25">
      <c r="A27" s="22" t="b">
        <v>0</v>
      </c>
      <c r="B27" s="22" t="s">
        <v>1425</v>
      </c>
      <c r="C27" s="34">
        <v>45988</v>
      </c>
      <c r="D27" s="22" t="s">
        <v>3273</v>
      </c>
      <c r="E27" s="22">
        <v>500</v>
      </c>
      <c r="F27" s="28"/>
      <c r="G27" s="22" t="s">
        <v>482</v>
      </c>
      <c r="H27" s="22" t="s">
        <v>483</v>
      </c>
      <c r="I27" s="22"/>
    </row>
    <row r="28" spans="1:9" x14ac:dyDescent="0.25">
      <c r="A28" s="22" t="b">
        <v>0</v>
      </c>
      <c r="B28" s="22" t="s">
        <v>1343</v>
      </c>
      <c r="C28" s="34">
        <v>46003</v>
      </c>
      <c r="D28" s="22" t="s">
        <v>2789</v>
      </c>
      <c r="E28" s="22">
        <v>311</v>
      </c>
      <c r="F28" s="28"/>
      <c r="G28" s="22" t="s">
        <v>482</v>
      </c>
      <c r="H28" s="22" t="s">
        <v>483</v>
      </c>
      <c r="I28" s="22"/>
    </row>
    <row r="29" spans="1:9" x14ac:dyDescent="0.25">
      <c r="A29" s="22" t="b">
        <v>0</v>
      </c>
      <c r="B29" s="22" t="s">
        <v>1325</v>
      </c>
      <c r="C29" s="34">
        <v>46008</v>
      </c>
      <c r="D29" s="22" t="s">
        <v>2950</v>
      </c>
      <c r="E29" s="22">
        <v>937.41</v>
      </c>
      <c r="F29" s="28"/>
      <c r="G29" s="22" t="s">
        <v>482</v>
      </c>
      <c r="H29" s="22" t="s">
        <v>483</v>
      </c>
      <c r="I29" s="22"/>
    </row>
    <row r="30" spans="1:9" x14ac:dyDescent="0.25">
      <c r="A30" s="22" t="b">
        <v>0</v>
      </c>
      <c r="B30" s="22" t="s">
        <v>51</v>
      </c>
      <c r="C30" s="34">
        <v>46070</v>
      </c>
      <c r="D30" s="22" t="s">
        <v>3274</v>
      </c>
      <c r="E30" s="22">
        <v>2688</v>
      </c>
      <c r="F30" s="22" t="s">
        <v>482</v>
      </c>
      <c r="G30" s="22" t="s">
        <v>483</v>
      </c>
      <c r="H30" s="22"/>
    </row>
    <row r="31" spans="1:9" x14ac:dyDescent="0.25">
      <c r="A31" s="22" t="b">
        <v>0</v>
      </c>
      <c r="B31" s="22" t="s">
        <v>58</v>
      </c>
      <c r="C31" s="34">
        <v>46070</v>
      </c>
      <c r="D31" s="22" t="s">
        <v>3275</v>
      </c>
      <c r="E31" s="22">
        <v>488</v>
      </c>
      <c r="F31" s="22" t="s">
        <v>482</v>
      </c>
      <c r="G31" s="22" t="s">
        <v>483</v>
      </c>
      <c r="H31" s="22"/>
    </row>
    <row r="32" spans="1:9" x14ac:dyDescent="0.25">
      <c r="A32" s="22" t="b">
        <v>0</v>
      </c>
      <c r="B32" s="22" t="s">
        <v>279</v>
      </c>
      <c r="C32" s="34">
        <v>46050</v>
      </c>
      <c r="D32" s="22" t="s">
        <v>3276</v>
      </c>
      <c r="E32" s="22">
        <v>526</v>
      </c>
      <c r="F32" s="22" t="s">
        <v>482</v>
      </c>
      <c r="G32" s="22" t="s">
        <v>483</v>
      </c>
      <c r="H32" s="22"/>
    </row>
    <row r="33" spans="1:8" x14ac:dyDescent="0.25">
      <c r="A33" s="22" t="b">
        <v>0</v>
      </c>
      <c r="B33" s="22" t="s">
        <v>324</v>
      </c>
      <c r="C33" s="34">
        <v>46043</v>
      </c>
      <c r="D33" s="22" t="s">
        <v>2946</v>
      </c>
      <c r="E33" s="22">
        <v>9000</v>
      </c>
      <c r="F33" s="22" t="s">
        <v>482</v>
      </c>
      <c r="G33" s="22" t="s">
        <v>483</v>
      </c>
      <c r="H33" s="22"/>
    </row>
    <row r="34" spans="1:8" x14ac:dyDescent="0.25">
      <c r="A34" s="22" t="b">
        <v>0</v>
      </c>
      <c r="B34" s="22" t="s">
        <v>339</v>
      </c>
      <c r="C34" s="34">
        <v>46041</v>
      </c>
      <c r="D34" s="22" t="s">
        <v>2789</v>
      </c>
      <c r="E34" s="22">
        <v>287</v>
      </c>
      <c r="F34" s="22" t="s">
        <v>482</v>
      </c>
      <c r="G34" s="22" t="s">
        <v>483</v>
      </c>
      <c r="H34" s="22"/>
    </row>
    <row r="35" spans="1:8" x14ac:dyDescent="0.25">
      <c r="A35" s="22" t="b">
        <v>0</v>
      </c>
      <c r="B35" s="22" t="s">
        <v>255</v>
      </c>
      <c r="C35" s="34">
        <v>46053</v>
      </c>
      <c r="D35" s="22" t="s">
        <v>2829</v>
      </c>
      <c r="E35" s="22">
        <v>1024</v>
      </c>
      <c r="F35" s="22" t="s">
        <v>482</v>
      </c>
      <c r="G35" s="22" t="s">
        <v>483</v>
      </c>
      <c r="H35" s="22"/>
    </row>
    <row r="36" spans="1:8" x14ac:dyDescent="0.25">
      <c r="A36" s="22" t="b">
        <v>0</v>
      </c>
      <c r="B36" s="22" t="s">
        <v>107</v>
      </c>
      <c r="C36" s="34">
        <v>46066</v>
      </c>
      <c r="D36" s="22" t="s">
        <v>3273</v>
      </c>
      <c r="E36" s="22">
        <v>950</v>
      </c>
      <c r="F36" s="22" t="s">
        <v>482</v>
      </c>
      <c r="G36" s="22" t="s">
        <v>483</v>
      </c>
      <c r="H36" s="22"/>
    </row>
  </sheetData>
  <dataValidations count="1">
    <dataValidation type="list" allowBlank="1" showErrorMessage="1" sqref="I2:I29 H30:H36" xr:uid="{00000000-0002-0000-07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64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4" max="4" width="51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0</v>
      </c>
      <c r="B2" s="22" t="s">
        <v>2685</v>
      </c>
      <c r="C2" s="34">
        <v>45699</v>
      </c>
      <c r="D2" s="22" t="s">
        <v>251</v>
      </c>
      <c r="E2" s="22">
        <v>-20</v>
      </c>
      <c r="F2" s="28"/>
      <c r="G2" s="22" t="s">
        <v>489</v>
      </c>
      <c r="H2" s="22" t="s">
        <v>483</v>
      </c>
      <c r="I2" s="22"/>
      <c r="J2" s="22">
        <v>280</v>
      </c>
    </row>
    <row r="3" spans="1:11" x14ac:dyDescent="0.25">
      <c r="A3" s="22" t="b">
        <v>0</v>
      </c>
      <c r="B3" s="22" t="s">
        <v>2681</v>
      </c>
      <c r="C3" s="34">
        <v>45701</v>
      </c>
      <c r="D3" s="22" t="s">
        <v>251</v>
      </c>
      <c r="E3" s="22">
        <v>-20</v>
      </c>
      <c r="F3" s="28"/>
      <c r="G3" s="22" t="s">
        <v>489</v>
      </c>
      <c r="H3" s="22" t="s">
        <v>483</v>
      </c>
      <c r="I3" s="22"/>
      <c r="J3" s="22">
        <v>275</v>
      </c>
    </row>
    <row r="4" spans="1:11" x14ac:dyDescent="0.25">
      <c r="A4" s="22" t="b">
        <v>0</v>
      </c>
      <c r="B4" s="22" t="s">
        <v>2675</v>
      </c>
      <c r="C4" s="34">
        <v>45702</v>
      </c>
      <c r="D4" s="22" t="s">
        <v>251</v>
      </c>
      <c r="E4" s="22">
        <v>-20</v>
      </c>
      <c r="F4" s="28"/>
      <c r="G4" s="22" t="s">
        <v>489</v>
      </c>
      <c r="H4" s="22" t="s">
        <v>483</v>
      </c>
      <c r="I4" s="22"/>
      <c r="J4" s="22">
        <v>262</v>
      </c>
    </row>
    <row r="5" spans="1:11" x14ac:dyDescent="0.25">
      <c r="A5" s="22" t="b">
        <v>0</v>
      </c>
      <c r="B5" s="22" t="s">
        <v>2676</v>
      </c>
      <c r="C5" s="34">
        <v>45702</v>
      </c>
      <c r="D5" s="22" t="s">
        <v>251</v>
      </c>
      <c r="E5" s="22">
        <v>-20</v>
      </c>
      <c r="F5" s="28"/>
      <c r="G5" s="22" t="s">
        <v>489</v>
      </c>
      <c r="H5" s="22" t="s">
        <v>483</v>
      </c>
      <c r="I5" s="22"/>
      <c r="J5" s="22">
        <v>263</v>
      </c>
    </row>
    <row r="6" spans="1:11" x14ac:dyDescent="0.25">
      <c r="A6" s="22" t="b">
        <v>0</v>
      </c>
      <c r="B6" s="22" t="s">
        <v>2679</v>
      </c>
      <c r="C6" s="34">
        <v>45702</v>
      </c>
      <c r="D6" s="22" t="s">
        <v>3277</v>
      </c>
      <c r="E6" s="22">
        <v>-18.98</v>
      </c>
      <c r="F6" s="28"/>
      <c r="G6" s="22" t="s">
        <v>489</v>
      </c>
      <c r="H6" s="22" t="s">
        <v>483</v>
      </c>
      <c r="I6" s="22"/>
      <c r="J6" s="22">
        <v>268</v>
      </c>
    </row>
    <row r="7" spans="1:11" x14ac:dyDescent="0.25">
      <c r="A7" s="22" t="b">
        <v>0</v>
      </c>
      <c r="B7" s="22" t="s">
        <v>2668</v>
      </c>
      <c r="C7" s="34">
        <v>45703</v>
      </c>
      <c r="D7" s="22" t="s">
        <v>251</v>
      </c>
      <c r="E7" s="22">
        <v>-20</v>
      </c>
      <c r="F7" s="28"/>
      <c r="G7" s="22" t="s">
        <v>489</v>
      </c>
      <c r="H7" s="22" t="s">
        <v>483</v>
      </c>
      <c r="I7" s="22"/>
      <c r="J7" s="22">
        <v>254</v>
      </c>
    </row>
    <row r="8" spans="1:11" x14ac:dyDescent="0.25">
      <c r="A8" s="22" t="b">
        <v>0</v>
      </c>
      <c r="B8" s="22" t="s">
        <v>2669</v>
      </c>
      <c r="C8" s="34">
        <v>45703</v>
      </c>
      <c r="D8" s="22" t="s">
        <v>251</v>
      </c>
      <c r="E8" s="22">
        <v>-20</v>
      </c>
      <c r="F8" s="28"/>
      <c r="G8" s="22" t="s">
        <v>489</v>
      </c>
      <c r="H8" s="22" t="s">
        <v>483</v>
      </c>
      <c r="I8" s="22"/>
      <c r="J8" s="22">
        <v>255</v>
      </c>
    </row>
    <row r="9" spans="1:11" x14ac:dyDescent="0.25">
      <c r="A9" s="22" t="b">
        <v>0</v>
      </c>
      <c r="B9" s="22" t="s">
        <v>2671</v>
      </c>
      <c r="C9" s="34">
        <v>45703</v>
      </c>
      <c r="D9" s="22" t="s">
        <v>3278</v>
      </c>
      <c r="E9" s="22">
        <v>-13.9</v>
      </c>
      <c r="F9" s="28"/>
      <c r="G9" s="22" t="s">
        <v>489</v>
      </c>
      <c r="H9" s="22" t="s">
        <v>483</v>
      </c>
      <c r="I9" s="22"/>
      <c r="J9" s="22">
        <v>257</v>
      </c>
    </row>
    <row r="10" spans="1:11" x14ac:dyDescent="0.25">
      <c r="A10" s="22" t="b">
        <v>0</v>
      </c>
      <c r="B10" s="22" t="s">
        <v>2672</v>
      </c>
      <c r="C10" s="34">
        <v>45703</v>
      </c>
      <c r="D10" s="22" t="s">
        <v>3278</v>
      </c>
      <c r="E10" s="22">
        <v>-8.5</v>
      </c>
      <c r="F10" s="28"/>
      <c r="G10" s="22" t="s">
        <v>489</v>
      </c>
      <c r="H10" s="22" t="s">
        <v>483</v>
      </c>
      <c r="I10" s="22"/>
      <c r="J10" s="22">
        <v>258</v>
      </c>
    </row>
    <row r="11" spans="1:11" x14ac:dyDescent="0.25">
      <c r="A11" s="22" t="b">
        <v>0</v>
      </c>
      <c r="B11" s="22" t="s">
        <v>2661</v>
      </c>
      <c r="C11" s="34">
        <v>45704</v>
      </c>
      <c r="D11" s="22" t="s">
        <v>3279</v>
      </c>
      <c r="E11" s="22">
        <v>-40</v>
      </c>
      <c r="F11" s="28"/>
      <c r="G11" s="22" t="s">
        <v>489</v>
      </c>
      <c r="H11" s="22" t="s">
        <v>483</v>
      </c>
      <c r="I11" s="22"/>
      <c r="J11" s="22">
        <v>247</v>
      </c>
    </row>
    <row r="12" spans="1:11" x14ac:dyDescent="0.25">
      <c r="A12" s="22" t="b">
        <v>0</v>
      </c>
      <c r="B12" s="22" t="s">
        <v>2662</v>
      </c>
      <c r="C12" s="34">
        <v>45704</v>
      </c>
      <c r="D12" s="22" t="s">
        <v>3280</v>
      </c>
      <c r="E12" s="22">
        <v>-9</v>
      </c>
      <c r="F12" s="28"/>
      <c r="G12" s="22" t="s">
        <v>489</v>
      </c>
      <c r="H12" s="22" t="s">
        <v>483</v>
      </c>
      <c r="I12" s="22"/>
      <c r="J12" s="22">
        <v>248</v>
      </c>
    </row>
    <row r="13" spans="1:11" x14ac:dyDescent="0.25">
      <c r="A13" s="22" t="b">
        <v>0</v>
      </c>
      <c r="B13" s="22" t="s">
        <v>2664</v>
      </c>
      <c r="C13" s="34">
        <v>45704</v>
      </c>
      <c r="D13" s="22" t="s">
        <v>251</v>
      </c>
      <c r="E13" s="22">
        <v>-20</v>
      </c>
      <c r="F13" s="28"/>
      <c r="G13" s="22" t="s">
        <v>489</v>
      </c>
      <c r="H13" s="22" t="s">
        <v>483</v>
      </c>
      <c r="I13" s="22"/>
      <c r="J13" s="22">
        <v>250</v>
      </c>
    </row>
    <row r="14" spans="1:11" x14ac:dyDescent="0.25">
      <c r="A14" s="22" t="b">
        <v>0</v>
      </c>
      <c r="B14" s="22" t="s">
        <v>2665</v>
      </c>
      <c r="C14" s="34">
        <v>45704</v>
      </c>
      <c r="D14" s="22" t="s">
        <v>251</v>
      </c>
      <c r="E14" s="22">
        <v>-20</v>
      </c>
      <c r="F14" s="28"/>
      <c r="G14" s="22" t="s">
        <v>489</v>
      </c>
      <c r="H14" s="22" t="s">
        <v>483</v>
      </c>
      <c r="I14" s="22"/>
      <c r="J14" s="22">
        <v>251</v>
      </c>
    </row>
    <row r="15" spans="1:11" x14ac:dyDescent="0.25">
      <c r="A15" s="22" t="b">
        <v>0</v>
      </c>
      <c r="B15" s="22" t="s">
        <v>2666</v>
      </c>
      <c r="C15" s="34">
        <v>45704</v>
      </c>
      <c r="D15" s="22" t="s">
        <v>251</v>
      </c>
      <c r="E15" s="22">
        <v>-20</v>
      </c>
      <c r="F15" s="28"/>
      <c r="G15" s="22" t="s">
        <v>489</v>
      </c>
      <c r="H15" s="22" t="s">
        <v>483</v>
      </c>
      <c r="I15" s="22"/>
      <c r="J15" s="22">
        <v>252</v>
      </c>
    </row>
    <row r="16" spans="1:11" x14ac:dyDescent="0.25">
      <c r="A16" s="22" t="b">
        <v>0</v>
      </c>
      <c r="B16" s="22" t="s">
        <v>2658</v>
      </c>
      <c r="C16" s="34">
        <v>45705</v>
      </c>
      <c r="D16" s="22" t="s">
        <v>3281</v>
      </c>
      <c r="E16" s="22">
        <v>-18</v>
      </c>
      <c r="F16" s="28"/>
      <c r="G16" s="22" t="s">
        <v>489</v>
      </c>
      <c r="H16" s="22" t="s">
        <v>483</v>
      </c>
      <c r="I16" s="22"/>
      <c r="J16" s="22">
        <v>244</v>
      </c>
    </row>
    <row r="17" spans="1:10" x14ac:dyDescent="0.25">
      <c r="A17" s="22" t="b">
        <v>0</v>
      </c>
      <c r="B17" s="22" t="s">
        <v>2647</v>
      </c>
      <c r="C17" s="34">
        <v>45706</v>
      </c>
      <c r="D17" s="22" t="s">
        <v>251</v>
      </c>
      <c r="E17" s="22">
        <v>-20</v>
      </c>
      <c r="F17" s="28"/>
      <c r="G17" s="22" t="s">
        <v>489</v>
      </c>
      <c r="H17" s="22" t="s">
        <v>483</v>
      </c>
      <c r="I17" s="22"/>
      <c r="J17" s="22">
        <v>232</v>
      </c>
    </row>
    <row r="18" spans="1:10" x14ac:dyDescent="0.25">
      <c r="A18" s="22" t="b">
        <v>0</v>
      </c>
      <c r="B18" s="22" t="s">
        <v>2648</v>
      </c>
      <c r="C18" s="34">
        <v>45706</v>
      </c>
      <c r="D18" s="22" t="s">
        <v>3282</v>
      </c>
      <c r="E18" s="22">
        <v>-2</v>
      </c>
      <c r="F18" s="28"/>
      <c r="G18" s="22" t="s">
        <v>489</v>
      </c>
      <c r="H18" s="22" t="s">
        <v>483</v>
      </c>
      <c r="I18" s="22"/>
      <c r="J18" s="22">
        <v>233</v>
      </c>
    </row>
    <row r="19" spans="1:10" x14ac:dyDescent="0.25">
      <c r="A19" s="22" t="b">
        <v>0</v>
      </c>
      <c r="B19" s="22" t="s">
        <v>2649</v>
      </c>
      <c r="C19" s="34">
        <v>45706</v>
      </c>
      <c r="D19" s="22" t="s">
        <v>3282</v>
      </c>
      <c r="E19" s="22">
        <v>-2</v>
      </c>
      <c r="F19" s="28"/>
      <c r="G19" s="22" t="s">
        <v>489</v>
      </c>
      <c r="H19" s="22" t="s">
        <v>483</v>
      </c>
      <c r="I19" s="22"/>
      <c r="J19" s="22">
        <v>234</v>
      </c>
    </row>
    <row r="20" spans="1:10" x14ac:dyDescent="0.25">
      <c r="A20" s="22" t="b">
        <v>0</v>
      </c>
      <c r="B20" s="22" t="s">
        <v>2656</v>
      </c>
      <c r="C20" s="34">
        <v>45706</v>
      </c>
      <c r="D20" s="36" t="s">
        <v>3283</v>
      </c>
      <c r="E20" s="22">
        <v>-54.6</v>
      </c>
      <c r="F20" s="28"/>
      <c r="G20" s="22" t="s">
        <v>489</v>
      </c>
      <c r="H20" s="22" t="s">
        <v>483</v>
      </c>
      <c r="I20" s="22"/>
      <c r="J20" s="22">
        <v>241</v>
      </c>
    </row>
    <row r="21" spans="1:10" x14ac:dyDescent="0.25">
      <c r="A21" s="22" t="b">
        <v>0</v>
      </c>
      <c r="B21" s="22" t="s">
        <v>2634</v>
      </c>
      <c r="C21" s="34">
        <v>45707</v>
      </c>
      <c r="D21" s="22" t="s">
        <v>251</v>
      </c>
      <c r="E21" s="22">
        <v>-20</v>
      </c>
      <c r="F21" s="28"/>
      <c r="G21" s="22" t="s">
        <v>489</v>
      </c>
      <c r="H21" s="22" t="s">
        <v>483</v>
      </c>
      <c r="I21" s="22"/>
      <c r="J21" s="22">
        <v>216</v>
      </c>
    </row>
    <row r="22" spans="1:10" x14ac:dyDescent="0.25">
      <c r="A22" s="22" t="b">
        <v>0</v>
      </c>
      <c r="B22" s="22" t="s">
        <v>2635</v>
      </c>
      <c r="C22" s="34">
        <v>45707</v>
      </c>
      <c r="D22" s="22" t="s">
        <v>3284</v>
      </c>
      <c r="E22" s="22">
        <v>-26.97</v>
      </c>
      <c r="F22" s="28"/>
      <c r="G22" s="22" t="s">
        <v>489</v>
      </c>
      <c r="H22" s="22" t="s">
        <v>483</v>
      </c>
      <c r="I22" s="22"/>
      <c r="J22" s="22">
        <v>219</v>
      </c>
    </row>
    <row r="23" spans="1:10" x14ac:dyDescent="0.25">
      <c r="A23" s="22" t="b">
        <v>0</v>
      </c>
      <c r="B23" s="22" t="s">
        <v>2638</v>
      </c>
      <c r="C23" s="34">
        <v>45707</v>
      </c>
      <c r="D23" s="22" t="s">
        <v>3285</v>
      </c>
      <c r="E23" s="22">
        <v>-2.99</v>
      </c>
      <c r="F23" s="28"/>
      <c r="G23" s="22" t="s">
        <v>489</v>
      </c>
      <c r="H23" s="22" t="s">
        <v>483</v>
      </c>
      <c r="I23" s="22"/>
      <c r="J23" s="22">
        <v>222</v>
      </c>
    </row>
    <row r="24" spans="1:10" x14ac:dyDescent="0.25">
      <c r="A24" s="22" t="b">
        <v>0</v>
      </c>
      <c r="B24" s="22" t="s">
        <v>2640</v>
      </c>
      <c r="C24" s="34">
        <v>45707</v>
      </c>
      <c r="D24" s="22" t="s">
        <v>3286</v>
      </c>
      <c r="E24" s="22">
        <v>-167.11</v>
      </c>
      <c r="F24" s="28"/>
      <c r="G24" s="22" t="s">
        <v>489</v>
      </c>
      <c r="H24" s="22" t="s">
        <v>483</v>
      </c>
      <c r="I24" s="22"/>
      <c r="J24" s="22">
        <v>224</v>
      </c>
    </row>
    <row r="25" spans="1:10" x14ac:dyDescent="0.25">
      <c r="A25" s="22" t="b">
        <v>0</v>
      </c>
      <c r="B25" s="22" t="s">
        <v>2624</v>
      </c>
      <c r="C25" s="34">
        <v>45708</v>
      </c>
      <c r="D25" s="22" t="s">
        <v>251</v>
      </c>
      <c r="E25" s="22">
        <v>-20</v>
      </c>
      <c r="F25" s="28"/>
      <c r="G25" s="22" t="s">
        <v>489</v>
      </c>
      <c r="H25" s="22" t="s">
        <v>483</v>
      </c>
      <c r="I25" s="22"/>
      <c r="J25" s="22">
        <v>205</v>
      </c>
    </row>
    <row r="26" spans="1:10" x14ac:dyDescent="0.25">
      <c r="A26" s="22" t="b">
        <v>0</v>
      </c>
      <c r="B26" s="22" t="s">
        <v>2625</v>
      </c>
      <c r="C26" s="34">
        <v>45708</v>
      </c>
      <c r="D26" s="22" t="s">
        <v>3287</v>
      </c>
      <c r="E26" s="22">
        <v>-109.99</v>
      </c>
      <c r="F26" s="28"/>
      <c r="G26" s="22" t="s">
        <v>489</v>
      </c>
      <c r="H26" s="22" t="s">
        <v>483</v>
      </c>
      <c r="I26" s="22"/>
      <c r="J26" s="22">
        <v>206</v>
      </c>
    </row>
    <row r="27" spans="1:10" x14ac:dyDescent="0.25">
      <c r="A27" s="22" t="b">
        <v>0</v>
      </c>
      <c r="B27" s="22" t="s">
        <v>2627</v>
      </c>
      <c r="C27" s="34">
        <v>45708</v>
      </c>
      <c r="D27" s="22" t="s">
        <v>3288</v>
      </c>
      <c r="E27" s="22">
        <v>-5.5</v>
      </c>
      <c r="F27" s="28"/>
      <c r="G27" s="22" t="s">
        <v>489</v>
      </c>
      <c r="H27" s="22" t="s">
        <v>483</v>
      </c>
      <c r="I27" s="22"/>
      <c r="J27" s="22">
        <v>208</v>
      </c>
    </row>
    <row r="28" spans="1:10" x14ac:dyDescent="0.25">
      <c r="A28" s="22" t="b">
        <v>0</v>
      </c>
      <c r="B28" s="22" t="s">
        <v>2629</v>
      </c>
      <c r="C28" s="34">
        <v>45708</v>
      </c>
      <c r="D28" s="22" t="s">
        <v>3289</v>
      </c>
      <c r="E28" s="22">
        <v>-3.69</v>
      </c>
      <c r="F28" s="28"/>
      <c r="G28" s="22" t="s">
        <v>489</v>
      </c>
      <c r="H28" s="22" t="s">
        <v>483</v>
      </c>
      <c r="I28" s="22"/>
      <c r="J28" s="22">
        <v>210</v>
      </c>
    </row>
    <row r="29" spans="1:10" x14ac:dyDescent="0.25">
      <c r="A29" s="22" t="b">
        <v>0</v>
      </c>
      <c r="B29" s="22" t="s">
        <v>2622</v>
      </c>
      <c r="C29" s="34">
        <v>45709</v>
      </c>
      <c r="D29" s="22" t="s">
        <v>3277</v>
      </c>
      <c r="E29" s="22">
        <v>-17.989999999999998</v>
      </c>
      <c r="F29" s="28"/>
      <c r="G29" s="22" t="s">
        <v>489</v>
      </c>
      <c r="H29" s="22" t="s">
        <v>483</v>
      </c>
      <c r="I29" s="22"/>
      <c r="J29" s="22">
        <v>203</v>
      </c>
    </row>
    <row r="30" spans="1:10" x14ac:dyDescent="0.25">
      <c r="A30" s="22" t="b">
        <v>0</v>
      </c>
      <c r="B30" s="22" t="s">
        <v>2615</v>
      </c>
      <c r="C30" s="34">
        <v>45710</v>
      </c>
      <c r="D30" s="22" t="s">
        <v>251</v>
      </c>
      <c r="E30" s="22">
        <v>-20</v>
      </c>
      <c r="F30" s="28"/>
      <c r="G30" s="22" t="s">
        <v>489</v>
      </c>
      <c r="H30" s="22" t="s">
        <v>483</v>
      </c>
      <c r="I30" s="22"/>
      <c r="J30" s="22">
        <v>196</v>
      </c>
    </row>
    <row r="31" spans="1:10" x14ac:dyDescent="0.25">
      <c r="A31" s="22" t="b">
        <v>0</v>
      </c>
      <c r="B31" s="22" t="s">
        <v>2616</v>
      </c>
      <c r="C31" s="34">
        <v>45710</v>
      </c>
      <c r="D31" s="22" t="s">
        <v>3290</v>
      </c>
      <c r="E31" s="22">
        <v>-2</v>
      </c>
      <c r="F31" s="28"/>
      <c r="G31" s="22" t="s">
        <v>489</v>
      </c>
      <c r="H31" s="22" t="s">
        <v>483</v>
      </c>
      <c r="I31" s="22"/>
      <c r="J31" s="22">
        <v>197</v>
      </c>
    </row>
    <row r="32" spans="1:10" x14ac:dyDescent="0.25">
      <c r="A32" s="22" t="b">
        <v>0</v>
      </c>
      <c r="B32" s="22" t="s">
        <v>2617</v>
      </c>
      <c r="C32" s="34">
        <v>45710</v>
      </c>
      <c r="D32" s="22" t="s">
        <v>3290</v>
      </c>
      <c r="E32" s="22">
        <v>-2</v>
      </c>
      <c r="F32" s="28"/>
      <c r="G32" s="22" t="s">
        <v>489</v>
      </c>
      <c r="H32" s="22" t="s">
        <v>483</v>
      </c>
      <c r="I32" s="22"/>
      <c r="J32" s="22">
        <v>198</v>
      </c>
    </row>
    <row r="33" spans="1:10" x14ac:dyDescent="0.25">
      <c r="A33" s="22" t="b">
        <v>0</v>
      </c>
      <c r="B33" s="22" t="s">
        <v>2618</v>
      </c>
      <c r="C33" s="34">
        <v>45710</v>
      </c>
      <c r="D33" s="22" t="s">
        <v>3291</v>
      </c>
      <c r="E33" s="22">
        <v>-229.95</v>
      </c>
      <c r="F33" s="28"/>
      <c r="G33" s="22" t="s">
        <v>489</v>
      </c>
      <c r="H33" s="22" t="s">
        <v>483</v>
      </c>
      <c r="I33" s="22"/>
      <c r="J33" s="22">
        <v>199</v>
      </c>
    </row>
    <row r="34" spans="1:10" x14ac:dyDescent="0.25">
      <c r="A34" s="22" t="b">
        <v>0</v>
      </c>
      <c r="B34" s="22" t="s">
        <v>2611</v>
      </c>
      <c r="C34" s="34">
        <v>45711</v>
      </c>
      <c r="D34" s="22" t="s">
        <v>251</v>
      </c>
      <c r="E34" s="22">
        <v>-20</v>
      </c>
      <c r="F34" s="28"/>
      <c r="G34" s="22" t="s">
        <v>489</v>
      </c>
      <c r="H34" s="22" t="s">
        <v>483</v>
      </c>
      <c r="I34" s="22"/>
      <c r="J34" s="22">
        <v>191</v>
      </c>
    </row>
    <row r="35" spans="1:10" x14ac:dyDescent="0.25">
      <c r="A35" s="22" t="b">
        <v>0</v>
      </c>
      <c r="B35" s="22" t="s">
        <v>2612</v>
      </c>
      <c r="C35" s="34">
        <v>45711</v>
      </c>
      <c r="D35" s="22" t="s">
        <v>3282</v>
      </c>
      <c r="E35" s="22">
        <v>-4.99</v>
      </c>
      <c r="F35" s="28"/>
      <c r="G35" s="22" t="s">
        <v>489</v>
      </c>
      <c r="H35" s="22" t="s">
        <v>483</v>
      </c>
      <c r="I35" s="22"/>
      <c r="J35" s="22">
        <v>192</v>
      </c>
    </row>
    <row r="36" spans="1:10" x14ac:dyDescent="0.25">
      <c r="A36" s="22" t="b">
        <v>0</v>
      </c>
      <c r="B36" s="22" t="s">
        <v>2698</v>
      </c>
      <c r="C36" s="34">
        <v>45711</v>
      </c>
      <c r="D36" s="22" t="s">
        <v>3292</v>
      </c>
      <c r="E36" s="22">
        <v>109.99</v>
      </c>
      <c r="F36" s="28"/>
      <c r="G36" s="22" t="s">
        <v>482</v>
      </c>
      <c r="H36" s="22" t="s">
        <v>483</v>
      </c>
      <c r="I36" s="22"/>
    </row>
    <row r="37" spans="1:10" x14ac:dyDescent="0.25">
      <c r="A37" s="22" t="b">
        <v>0</v>
      </c>
      <c r="B37" s="22" t="s">
        <v>2605</v>
      </c>
      <c r="C37" s="34">
        <v>45712</v>
      </c>
      <c r="D37" s="22" t="s">
        <v>251</v>
      </c>
      <c r="E37" s="22">
        <v>-20</v>
      </c>
      <c r="F37" s="28"/>
      <c r="G37" s="22" t="s">
        <v>489</v>
      </c>
      <c r="H37" s="22" t="s">
        <v>483</v>
      </c>
      <c r="I37" s="22"/>
      <c r="J37" s="22">
        <v>182</v>
      </c>
    </row>
    <row r="38" spans="1:10" x14ac:dyDescent="0.25">
      <c r="A38" s="22" t="b">
        <v>0</v>
      </c>
      <c r="B38" s="22" t="s">
        <v>2603</v>
      </c>
      <c r="C38" s="34">
        <v>45713</v>
      </c>
      <c r="D38" s="22" t="s">
        <v>3293</v>
      </c>
      <c r="E38" s="22">
        <v>-404.2</v>
      </c>
      <c r="F38" s="28"/>
      <c r="G38" s="22" t="s">
        <v>489</v>
      </c>
      <c r="H38" s="22" t="s">
        <v>483</v>
      </c>
      <c r="I38" s="22"/>
      <c r="J38" s="22">
        <v>179</v>
      </c>
    </row>
    <row r="39" spans="1:10" x14ac:dyDescent="0.25">
      <c r="A39" s="22" t="b">
        <v>0</v>
      </c>
      <c r="B39" s="22" t="s">
        <v>2598</v>
      </c>
      <c r="C39" s="34">
        <v>45714</v>
      </c>
      <c r="D39" s="22" t="s">
        <v>115</v>
      </c>
      <c r="E39" s="22">
        <v>-2</v>
      </c>
      <c r="F39" s="28"/>
      <c r="G39" s="22" t="s">
        <v>489</v>
      </c>
      <c r="H39" s="22" t="s">
        <v>483</v>
      </c>
      <c r="I39" s="22"/>
      <c r="J39" s="22">
        <v>174</v>
      </c>
    </row>
    <row r="40" spans="1:10" x14ac:dyDescent="0.25">
      <c r="A40" s="22" t="b">
        <v>0</v>
      </c>
      <c r="B40" s="22" t="s">
        <v>2599</v>
      </c>
      <c r="C40" s="34">
        <v>45714</v>
      </c>
      <c r="D40" s="22" t="s">
        <v>115</v>
      </c>
      <c r="E40" s="22">
        <v>-2</v>
      </c>
      <c r="F40" s="28"/>
      <c r="G40" s="22" t="s">
        <v>489</v>
      </c>
      <c r="H40" s="22" t="s">
        <v>483</v>
      </c>
      <c r="I40" s="22"/>
      <c r="J40" s="22">
        <v>175</v>
      </c>
    </row>
    <row r="41" spans="1:10" x14ac:dyDescent="0.25">
      <c r="A41" s="22" t="b">
        <v>0</v>
      </c>
      <c r="B41" s="22" t="s">
        <v>2600</v>
      </c>
      <c r="C41" s="34">
        <v>45714</v>
      </c>
      <c r="D41" s="22" t="s">
        <v>3294</v>
      </c>
      <c r="E41" s="22">
        <v>-15</v>
      </c>
      <c r="F41" s="28"/>
      <c r="G41" s="22" t="s">
        <v>489</v>
      </c>
      <c r="H41" s="22" t="s">
        <v>483</v>
      </c>
      <c r="I41" s="22"/>
      <c r="J41" s="22">
        <v>176</v>
      </c>
    </row>
    <row r="42" spans="1:10" x14ac:dyDescent="0.25">
      <c r="A42" s="22" t="b">
        <v>0</v>
      </c>
      <c r="B42" s="22" t="s">
        <v>2583</v>
      </c>
      <c r="C42" s="34">
        <v>45716</v>
      </c>
      <c r="D42" s="22" t="s">
        <v>251</v>
      </c>
      <c r="E42" s="22">
        <v>-20</v>
      </c>
      <c r="F42" s="28"/>
      <c r="G42" s="22" t="s">
        <v>489</v>
      </c>
      <c r="H42" s="22" t="s">
        <v>483</v>
      </c>
      <c r="I42" s="22"/>
      <c r="J42" s="22">
        <v>159</v>
      </c>
    </row>
    <row r="43" spans="1:10" x14ac:dyDescent="0.25">
      <c r="A43" s="22" t="b">
        <v>0</v>
      </c>
      <c r="B43" s="22" t="s">
        <v>2589</v>
      </c>
      <c r="C43" s="34">
        <v>45716</v>
      </c>
      <c r="D43" s="22" t="s">
        <v>3295</v>
      </c>
      <c r="E43" s="22">
        <v>-769.2</v>
      </c>
      <c r="F43" s="28"/>
      <c r="G43" s="22" t="s">
        <v>489</v>
      </c>
      <c r="H43" s="22" t="s">
        <v>483</v>
      </c>
      <c r="I43" s="22"/>
      <c r="J43" s="22">
        <v>165</v>
      </c>
    </row>
    <row r="44" spans="1:10" x14ac:dyDescent="0.25">
      <c r="A44" s="22" t="b">
        <v>0</v>
      </c>
      <c r="B44" s="22" t="s">
        <v>2590</v>
      </c>
      <c r="C44" s="34">
        <v>45716</v>
      </c>
      <c r="D44" s="22" t="s">
        <v>3296</v>
      </c>
      <c r="E44" s="22">
        <v>-15</v>
      </c>
      <c r="F44" s="28"/>
      <c r="G44" s="22" t="s">
        <v>489</v>
      </c>
      <c r="H44" s="22" t="s">
        <v>483</v>
      </c>
      <c r="I44" s="22"/>
      <c r="J44" s="22">
        <v>166</v>
      </c>
    </row>
    <row r="45" spans="1:10" x14ac:dyDescent="0.25">
      <c r="A45" s="22" t="b">
        <v>0</v>
      </c>
      <c r="B45" s="22" t="s">
        <v>2705</v>
      </c>
      <c r="C45" s="34">
        <v>45717</v>
      </c>
      <c r="D45" s="22" t="s">
        <v>3297</v>
      </c>
      <c r="E45" s="22">
        <v>-900</v>
      </c>
      <c r="F45" s="28"/>
      <c r="G45" s="22" t="s">
        <v>489</v>
      </c>
      <c r="H45" s="22" t="s">
        <v>483</v>
      </c>
      <c r="I45" s="22"/>
    </row>
    <row r="46" spans="1:10" x14ac:dyDescent="0.25">
      <c r="A46" s="22" t="b">
        <v>0</v>
      </c>
      <c r="B46" s="22" t="s">
        <v>2574</v>
      </c>
      <c r="C46" s="34">
        <v>45720</v>
      </c>
      <c r="D46" s="22" t="s">
        <v>3298</v>
      </c>
      <c r="E46" s="22">
        <v>-10.4</v>
      </c>
      <c r="F46" s="28"/>
      <c r="G46" s="22" t="s">
        <v>489</v>
      </c>
      <c r="H46" s="22" t="s">
        <v>483</v>
      </c>
      <c r="I46" s="22"/>
      <c r="J46" s="22">
        <v>147</v>
      </c>
    </row>
    <row r="47" spans="1:10" x14ac:dyDescent="0.25">
      <c r="A47" s="22" t="b">
        <v>0</v>
      </c>
      <c r="B47" s="22" t="s">
        <v>2572</v>
      </c>
      <c r="C47" s="34">
        <v>45721</v>
      </c>
      <c r="D47" s="22" t="s">
        <v>3299</v>
      </c>
      <c r="E47" s="22">
        <v>-2.99</v>
      </c>
      <c r="F47" s="28"/>
      <c r="G47" s="22" t="s">
        <v>489</v>
      </c>
      <c r="H47" s="22" t="s">
        <v>483</v>
      </c>
      <c r="I47" s="22"/>
      <c r="J47" s="22">
        <v>145</v>
      </c>
    </row>
    <row r="48" spans="1:10" x14ac:dyDescent="0.25">
      <c r="A48" s="22" t="b">
        <v>0</v>
      </c>
      <c r="B48" s="22" t="s">
        <v>2570</v>
      </c>
      <c r="C48" s="34">
        <v>45722</v>
      </c>
      <c r="D48" s="36" t="s">
        <v>3300</v>
      </c>
      <c r="E48" s="22">
        <v>-20</v>
      </c>
      <c r="F48" s="28"/>
      <c r="G48" s="22" t="s">
        <v>489</v>
      </c>
      <c r="H48" s="22" t="s">
        <v>483</v>
      </c>
      <c r="I48" s="22"/>
      <c r="J48" s="22">
        <v>142</v>
      </c>
    </row>
    <row r="49" spans="1:10" x14ac:dyDescent="0.25">
      <c r="A49" s="22" t="b">
        <v>0</v>
      </c>
      <c r="B49" s="22" t="s">
        <v>2555</v>
      </c>
      <c r="C49" s="34">
        <v>45725</v>
      </c>
      <c r="D49" s="22" t="s">
        <v>3293</v>
      </c>
      <c r="E49" s="22">
        <v>-100</v>
      </c>
      <c r="F49" s="28"/>
      <c r="G49" s="22" t="s">
        <v>489</v>
      </c>
      <c r="H49" s="22" t="s">
        <v>483</v>
      </c>
      <c r="I49" s="22"/>
      <c r="J49" s="22">
        <v>124</v>
      </c>
    </row>
    <row r="50" spans="1:10" x14ac:dyDescent="0.25">
      <c r="A50" s="22" t="b">
        <v>0</v>
      </c>
      <c r="B50" s="22" t="s">
        <v>2556</v>
      </c>
      <c r="C50" s="34">
        <v>45725</v>
      </c>
      <c r="D50" s="22" t="s">
        <v>3293</v>
      </c>
      <c r="E50" s="22">
        <v>-500</v>
      </c>
      <c r="F50" s="28"/>
      <c r="G50" s="22" t="s">
        <v>489</v>
      </c>
      <c r="H50" s="22" t="s">
        <v>483</v>
      </c>
      <c r="I50" s="22"/>
      <c r="J50" s="22">
        <v>125</v>
      </c>
    </row>
    <row r="51" spans="1:10" x14ac:dyDescent="0.25">
      <c r="A51" s="22" t="b">
        <v>0</v>
      </c>
      <c r="B51" s="22" t="s">
        <v>2550</v>
      </c>
      <c r="C51" s="34">
        <v>45727</v>
      </c>
      <c r="D51" s="22" t="s">
        <v>3301</v>
      </c>
      <c r="E51" s="22">
        <v>-130</v>
      </c>
      <c r="F51" s="28"/>
      <c r="G51" s="22" t="s">
        <v>489</v>
      </c>
      <c r="H51" s="22" t="s">
        <v>483</v>
      </c>
      <c r="I51" s="22"/>
      <c r="J51" s="22">
        <v>116</v>
      </c>
    </row>
    <row r="52" spans="1:10" x14ac:dyDescent="0.25">
      <c r="A52" s="22" t="b">
        <v>0</v>
      </c>
      <c r="B52" s="22" t="s">
        <v>2544</v>
      </c>
      <c r="C52" s="34">
        <v>45728</v>
      </c>
      <c r="D52" s="22" t="s">
        <v>3282</v>
      </c>
      <c r="E52" s="22">
        <v>-5.99</v>
      </c>
      <c r="F52" s="28"/>
      <c r="G52" s="22" t="s">
        <v>489</v>
      </c>
      <c r="H52" s="22" t="s">
        <v>483</v>
      </c>
      <c r="I52" s="22"/>
      <c r="J52" s="22">
        <v>106</v>
      </c>
    </row>
    <row r="53" spans="1:10" x14ac:dyDescent="0.25">
      <c r="A53" s="22" t="b">
        <v>0</v>
      </c>
      <c r="B53" s="22" t="s">
        <v>2549</v>
      </c>
      <c r="C53" s="34">
        <v>45728</v>
      </c>
      <c r="D53" s="22" t="s">
        <v>3302</v>
      </c>
      <c r="E53" s="22">
        <v>-12</v>
      </c>
      <c r="F53" s="28"/>
      <c r="G53" s="22" t="s">
        <v>489</v>
      </c>
      <c r="H53" s="22" t="s">
        <v>483</v>
      </c>
      <c r="I53" s="22"/>
      <c r="J53" s="22">
        <v>114</v>
      </c>
    </row>
    <row r="54" spans="1:10" x14ac:dyDescent="0.25">
      <c r="A54" s="22" t="b">
        <v>0</v>
      </c>
      <c r="B54" s="22" t="s">
        <v>2542</v>
      </c>
      <c r="C54" s="34">
        <v>45729</v>
      </c>
      <c r="D54" s="36" t="s">
        <v>3303</v>
      </c>
      <c r="E54" s="22">
        <v>-5.95</v>
      </c>
      <c r="F54" s="28"/>
      <c r="G54" s="22" t="s">
        <v>489</v>
      </c>
      <c r="H54" s="22" t="s">
        <v>483</v>
      </c>
      <c r="I54" s="22"/>
      <c r="J54" s="22">
        <v>104</v>
      </c>
    </row>
    <row r="55" spans="1:10" x14ac:dyDescent="0.25">
      <c r="A55" s="22" t="b">
        <v>0</v>
      </c>
      <c r="B55" s="22" t="s">
        <v>2529</v>
      </c>
      <c r="C55" s="34">
        <v>45731</v>
      </c>
      <c r="D55" s="22" t="s">
        <v>3304</v>
      </c>
      <c r="E55" s="22">
        <v>-27.48</v>
      </c>
      <c r="F55" s="28"/>
      <c r="G55" s="22" t="s">
        <v>489</v>
      </c>
      <c r="H55" s="22" t="s">
        <v>483</v>
      </c>
      <c r="I55" s="22"/>
      <c r="J55" s="22">
        <v>90</v>
      </c>
    </row>
    <row r="56" spans="1:10" x14ac:dyDescent="0.25">
      <c r="A56" s="22" t="b">
        <v>0</v>
      </c>
      <c r="B56" s="22" t="s">
        <v>2530</v>
      </c>
      <c r="C56" s="34">
        <v>45731</v>
      </c>
      <c r="D56" s="22" t="s">
        <v>3282</v>
      </c>
      <c r="E56" s="22">
        <v>-8.99</v>
      </c>
      <c r="F56" s="28"/>
      <c r="G56" s="22" t="s">
        <v>489</v>
      </c>
      <c r="H56" s="22" t="s">
        <v>483</v>
      </c>
      <c r="I56" s="22"/>
      <c r="J56" s="22">
        <v>91</v>
      </c>
    </row>
    <row r="57" spans="1:10" x14ac:dyDescent="0.25">
      <c r="A57" s="22" t="b">
        <v>0</v>
      </c>
      <c r="B57" s="22" t="s">
        <v>2535</v>
      </c>
      <c r="C57" s="34">
        <v>45731</v>
      </c>
      <c r="D57" s="22" t="s">
        <v>3302</v>
      </c>
      <c r="E57" s="22">
        <v>-12</v>
      </c>
      <c r="F57" s="28"/>
      <c r="G57" s="22" t="s">
        <v>489</v>
      </c>
      <c r="H57" s="22" t="s">
        <v>483</v>
      </c>
      <c r="I57" s="22"/>
      <c r="J57" s="22">
        <v>97</v>
      </c>
    </row>
    <row r="58" spans="1:10" x14ac:dyDescent="0.25">
      <c r="A58" s="22" t="b">
        <v>0</v>
      </c>
      <c r="B58" s="22" t="s">
        <v>2704</v>
      </c>
      <c r="C58" s="34">
        <v>45731</v>
      </c>
      <c r="D58" s="22" t="s">
        <v>3305</v>
      </c>
      <c r="E58" s="22">
        <v>-875.2</v>
      </c>
      <c r="F58" s="28"/>
      <c r="G58" s="22" t="s">
        <v>489</v>
      </c>
      <c r="H58" s="22" t="s">
        <v>483</v>
      </c>
      <c r="I58" s="22"/>
    </row>
    <row r="59" spans="1:10" x14ac:dyDescent="0.25">
      <c r="A59" s="22" t="b">
        <v>0</v>
      </c>
      <c r="B59" s="22" t="s">
        <v>2528</v>
      </c>
      <c r="C59" s="34">
        <v>45732</v>
      </c>
      <c r="D59" s="22" t="s">
        <v>3306</v>
      </c>
      <c r="E59" s="22">
        <v>-53.95</v>
      </c>
      <c r="F59" s="28"/>
      <c r="G59" s="22" t="s">
        <v>489</v>
      </c>
      <c r="H59" s="22" t="s">
        <v>483</v>
      </c>
      <c r="I59" s="22"/>
      <c r="J59" s="22">
        <v>89</v>
      </c>
    </row>
    <row r="60" spans="1:10" x14ac:dyDescent="0.25">
      <c r="A60" s="22" t="b">
        <v>0</v>
      </c>
      <c r="B60" s="22" t="s">
        <v>2521</v>
      </c>
      <c r="C60" s="34">
        <v>45733</v>
      </c>
      <c r="D60" s="22" t="s">
        <v>3307</v>
      </c>
      <c r="E60" s="22">
        <v>-26.6</v>
      </c>
      <c r="F60" s="28"/>
      <c r="G60" s="22" t="s">
        <v>489</v>
      </c>
      <c r="H60" s="22" t="s">
        <v>483</v>
      </c>
      <c r="I60" s="22"/>
      <c r="J60" s="22">
        <v>81</v>
      </c>
    </row>
    <row r="61" spans="1:10" x14ac:dyDescent="0.25">
      <c r="A61" s="22" t="b">
        <v>0</v>
      </c>
      <c r="B61" s="22" t="s">
        <v>2515</v>
      </c>
      <c r="C61" s="34">
        <v>45734</v>
      </c>
      <c r="D61" s="22" t="s">
        <v>3308</v>
      </c>
      <c r="E61" s="22">
        <v>-8.44</v>
      </c>
      <c r="F61" s="28"/>
      <c r="G61" s="22" t="s">
        <v>489</v>
      </c>
      <c r="H61" s="22" t="s">
        <v>483</v>
      </c>
      <c r="I61" s="22"/>
      <c r="J61" s="22">
        <v>73</v>
      </c>
    </row>
    <row r="62" spans="1:10" x14ac:dyDescent="0.25">
      <c r="A62" s="22" t="b">
        <v>0</v>
      </c>
      <c r="B62" s="22" t="s">
        <v>2516</v>
      </c>
      <c r="C62" s="34">
        <v>45734</v>
      </c>
      <c r="D62" s="22" t="s">
        <v>3309</v>
      </c>
      <c r="E62" s="22">
        <v>-12.99</v>
      </c>
      <c r="F62" s="28"/>
      <c r="G62" s="22" t="s">
        <v>489</v>
      </c>
      <c r="H62" s="22" t="s">
        <v>483</v>
      </c>
      <c r="I62" s="22"/>
      <c r="J62" s="22">
        <v>74</v>
      </c>
    </row>
    <row r="63" spans="1:10" x14ac:dyDescent="0.25">
      <c r="A63" s="22" t="b">
        <v>0</v>
      </c>
      <c r="B63" s="22" t="s">
        <v>2517</v>
      </c>
      <c r="C63" s="34">
        <v>45734</v>
      </c>
      <c r="D63" s="22" t="s">
        <v>3310</v>
      </c>
      <c r="E63" s="22">
        <v>-61.95</v>
      </c>
      <c r="F63" s="28"/>
      <c r="G63" s="22" t="s">
        <v>489</v>
      </c>
      <c r="H63" s="22" t="s">
        <v>483</v>
      </c>
      <c r="I63" s="22"/>
      <c r="J63" s="22">
        <v>76</v>
      </c>
    </row>
    <row r="64" spans="1:10" x14ac:dyDescent="0.25">
      <c r="A64" s="22" t="b">
        <v>0</v>
      </c>
      <c r="B64" s="22" t="s">
        <v>2518</v>
      </c>
      <c r="C64" s="34">
        <v>45734</v>
      </c>
      <c r="D64" s="22" t="s">
        <v>3311</v>
      </c>
      <c r="E64" s="22">
        <v>-6</v>
      </c>
      <c r="F64" s="28"/>
      <c r="G64" s="22" t="s">
        <v>489</v>
      </c>
      <c r="H64" s="22" t="s">
        <v>483</v>
      </c>
      <c r="I64" s="22"/>
      <c r="J64" s="22">
        <v>77</v>
      </c>
    </row>
    <row r="65" spans="1:10" x14ac:dyDescent="0.25">
      <c r="A65" s="22" t="b">
        <v>0</v>
      </c>
      <c r="B65" s="22" t="s">
        <v>2508</v>
      </c>
      <c r="C65" s="34">
        <v>45736</v>
      </c>
      <c r="D65" s="22" t="s">
        <v>3312</v>
      </c>
      <c r="E65" s="22">
        <v>-23.47</v>
      </c>
      <c r="F65" s="28"/>
      <c r="G65" s="22" t="s">
        <v>489</v>
      </c>
      <c r="H65" s="22" t="s">
        <v>483</v>
      </c>
      <c r="I65" s="22"/>
      <c r="J65" s="22">
        <v>64</v>
      </c>
    </row>
    <row r="66" spans="1:10" x14ac:dyDescent="0.25">
      <c r="A66" s="22" t="b">
        <v>0</v>
      </c>
      <c r="B66" s="22" t="s">
        <v>2500</v>
      </c>
      <c r="C66" s="34">
        <v>45737</v>
      </c>
      <c r="D66" s="22" t="s">
        <v>3313</v>
      </c>
      <c r="E66" s="22">
        <v>-112.19</v>
      </c>
      <c r="F66" s="28"/>
      <c r="G66" s="22" t="s">
        <v>489</v>
      </c>
      <c r="H66" s="22" t="s">
        <v>483</v>
      </c>
      <c r="I66" s="22"/>
      <c r="J66" s="22">
        <v>51</v>
      </c>
    </row>
    <row r="67" spans="1:10" x14ac:dyDescent="0.25">
      <c r="A67" s="22" t="b">
        <v>0</v>
      </c>
      <c r="B67" s="22" t="s">
        <v>2489</v>
      </c>
      <c r="C67" s="34">
        <v>45739</v>
      </c>
      <c r="D67" s="22" t="s">
        <v>3294</v>
      </c>
      <c r="E67" s="22">
        <v>-15</v>
      </c>
      <c r="F67" s="28"/>
      <c r="G67" s="22" t="s">
        <v>489</v>
      </c>
      <c r="H67" s="22" t="s">
        <v>483</v>
      </c>
      <c r="I67" s="22"/>
      <c r="J67" s="22">
        <v>37</v>
      </c>
    </row>
    <row r="68" spans="1:10" x14ac:dyDescent="0.25">
      <c r="A68" s="22" t="b">
        <v>0</v>
      </c>
      <c r="B68" s="22" t="s">
        <v>2492</v>
      </c>
      <c r="C68" s="34">
        <v>45739</v>
      </c>
      <c r="D68" s="22" t="s">
        <v>3293</v>
      </c>
      <c r="E68" s="22">
        <v>-200.2</v>
      </c>
      <c r="F68" s="28"/>
      <c r="G68" s="22" t="s">
        <v>489</v>
      </c>
      <c r="H68" s="22" t="s">
        <v>483</v>
      </c>
      <c r="I68" s="22"/>
      <c r="J68" s="22">
        <v>40</v>
      </c>
    </row>
    <row r="69" spans="1:10" x14ac:dyDescent="0.25">
      <c r="A69" s="22" t="b">
        <v>0</v>
      </c>
      <c r="B69" s="22" t="s">
        <v>2481</v>
      </c>
      <c r="C69" s="34">
        <v>45742</v>
      </c>
      <c r="D69" s="22" t="s">
        <v>3314</v>
      </c>
      <c r="E69" s="22">
        <v>-7.99</v>
      </c>
      <c r="F69" s="28"/>
      <c r="G69" s="22" t="s">
        <v>489</v>
      </c>
      <c r="H69" s="22" t="s">
        <v>483</v>
      </c>
      <c r="I69" s="22"/>
      <c r="J69" s="22">
        <v>26</v>
      </c>
    </row>
    <row r="70" spans="1:10" x14ac:dyDescent="0.25">
      <c r="A70" s="22" t="b">
        <v>0</v>
      </c>
      <c r="B70" s="22" t="s">
        <v>2483</v>
      </c>
      <c r="C70" s="34">
        <v>45742</v>
      </c>
      <c r="D70" s="22" t="s">
        <v>3315</v>
      </c>
      <c r="E70" s="22">
        <v>-22.79</v>
      </c>
      <c r="F70" s="28"/>
      <c r="G70" s="22" t="s">
        <v>489</v>
      </c>
      <c r="H70" s="22" t="s">
        <v>483</v>
      </c>
      <c r="I70" s="22"/>
      <c r="J70" s="22">
        <v>28</v>
      </c>
    </row>
    <row r="71" spans="1:10" x14ac:dyDescent="0.25">
      <c r="A71" s="22" t="b">
        <v>0</v>
      </c>
      <c r="B71" s="22" t="s">
        <v>2484</v>
      </c>
      <c r="C71" s="34">
        <v>45742</v>
      </c>
      <c r="D71" s="22" t="s">
        <v>3316</v>
      </c>
      <c r="E71" s="22">
        <v>-34</v>
      </c>
      <c r="F71" s="28"/>
      <c r="G71" s="22" t="s">
        <v>489</v>
      </c>
      <c r="H71" s="22" t="s">
        <v>483</v>
      </c>
      <c r="I71" s="22"/>
      <c r="J71" s="22">
        <v>29</v>
      </c>
    </row>
    <row r="72" spans="1:10" x14ac:dyDescent="0.25">
      <c r="A72" s="22" t="b">
        <v>0</v>
      </c>
      <c r="B72" s="22" t="s">
        <v>2475</v>
      </c>
      <c r="C72" s="34">
        <v>45743</v>
      </c>
      <c r="D72" s="22" t="s">
        <v>3317</v>
      </c>
      <c r="E72" s="22">
        <v>-8.99</v>
      </c>
      <c r="F72" s="28"/>
      <c r="G72" s="22" t="s">
        <v>489</v>
      </c>
      <c r="H72" s="22" t="s">
        <v>483</v>
      </c>
      <c r="I72" s="22"/>
      <c r="J72" s="22">
        <v>20</v>
      </c>
    </row>
    <row r="73" spans="1:10" x14ac:dyDescent="0.25">
      <c r="A73" s="22" t="b">
        <v>0</v>
      </c>
      <c r="B73" s="22" t="s">
        <v>2476</v>
      </c>
      <c r="C73" s="34">
        <v>45743</v>
      </c>
      <c r="D73" s="22" t="s">
        <v>3318</v>
      </c>
      <c r="E73" s="22">
        <v>-21</v>
      </c>
      <c r="F73" s="28"/>
      <c r="G73" s="22" t="s">
        <v>489</v>
      </c>
      <c r="H73" s="22" t="s">
        <v>483</v>
      </c>
      <c r="I73" s="22"/>
      <c r="J73" s="22">
        <v>21</v>
      </c>
    </row>
    <row r="74" spans="1:10" x14ac:dyDescent="0.25">
      <c r="A74" s="22" t="b">
        <v>0</v>
      </c>
      <c r="B74" s="22" t="s">
        <v>2477</v>
      </c>
      <c r="C74" s="34">
        <v>45743</v>
      </c>
      <c r="D74" s="22" t="s">
        <v>3319</v>
      </c>
      <c r="E74" s="22">
        <v>-36.4</v>
      </c>
      <c r="F74" s="28"/>
      <c r="G74" s="22" t="s">
        <v>489</v>
      </c>
      <c r="H74" s="22" t="s">
        <v>483</v>
      </c>
      <c r="I74" s="22"/>
      <c r="J74" s="22">
        <v>22</v>
      </c>
    </row>
    <row r="75" spans="1:10" x14ac:dyDescent="0.25">
      <c r="A75" s="22" t="b">
        <v>0</v>
      </c>
      <c r="B75" s="22" t="s">
        <v>2479</v>
      </c>
      <c r="C75" s="34">
        <v>45743</v>
      </c>
      <c r="D75" s="22" t="s">
        <v>351</v>
      </c>
      <c r="E75" s="22">
        <v>-10</v>
      </c>
      <c r="F75" s="28"/>
      <c r="G75" s="22" t="s">
        <v>489</v>
      </c>
      <c r="H75" s="22" t="s">
        <v>483</v>
      </c>
      <c r="I75" s="22"/>
      <c r="J75" s="22">
        <v>24</v>
      </c>
    </row>
    <row r="76" spans="1:10" x14ac:dyDescent="0.25">
      <c r="A76" s="22" t="b">
        <v>0</v>
      </c>
      <c r="B76" s="22" t="s">
        <v>2480</v>
      </c>
      <c r="C76" s="34">
        <v>45743</v>
      </c>
      <c r="D76" s="22" t="s">
        <v>351</v>
      </c>
      <c r="E76" s="22">
        <v>-10</v>
      </c>
      <c r="F76" s="28"/>
      <c r="G76" s="22" t="s">
        <v>489</v>
      </c>
      <c r="H76" s="22" t="s">
        <v>483</v>
      </c>
      <c r="I76" s="22"/>
      <c r="J76" s="22">
        <v>25</v>
      </c>
    </row>
    <row r="77" spans="1:10" x14ac:dyDescent="0.25">
      <c r="A77" s="22" t="b">
        <v>0</v>
      </c>
      <c r="B77" s="22" t="s">
        <v>2709</v>
      </c>
      <c r="C77" s="34">
        <v>45744</v>
      </c>
      <c r="D77" s="22" t="s">
        <v>3320</v>
      </c>
      <c r="E77" s="22">
        <v>-41.99</v>
      </c>
      <c r="F77" s="28"/>
      <c r="G77" s="22" t="s">
        <v>489</v>
      </c>
      <c r="H77" s="22" t="s">
        <v>483</v>
      </c>
      <c r="I77" s="22"/>
    </row>
    <row r="78" spans="1:10" x14ac:dyDescent="0.25">
      <c r="A78" s="22" t="b">
        <v>0</v>
      </c>
      <c r="B78" s="22" t="s">
        <v>2468</v>
      </c>
      <c r="C78" s="34">
        <v>45745</v>
      </c>
      <c r="D78" s="22" t="s">
        <v>251</v>
      </c>
      <c r="E78" s="22">
        <v>-20</v>
      </c>
      <c r="F78" s="28"/>
      <c r="G78" s="22" t="s">
        <v>489</v>
      </c>
      <c r="H78" s="22" t="s">
        <v>483</v>
      </c>
      <c r="I78" s="22"/>
      <c r="J78" s="22">
        <v>11</v>
      </c>
    </row>
    <row r="79" spans="1:10" x14ac:dyDescent="0.25">
      <c r="A79" s="22" t="b">
        <v>0</v>
      </c>
      <c r="B79" s="22" t="s">
        <v>2467</v>
      </c>
      <c r="C79" s="34">
        <v>45746</v>
      </c>
      <c r="D79" s="22" t="s">
        <v>3321</v>
      </c>
      <c r="E79" s="22">
        <v>-3.69</v>
      </c>
      <c r="F79" s="28"/>
      <c r="G79" s="22" t="s">
        <v>489</v>
      </c>
      <c r="H79" s="22" t="s">
        <v>483</v>
      </c>
      <c r="I79" s="22"/>
      <c r="J79" s="22">
        <v>10</v>
      </c>
    </row>
    <row r="80" spans="1:10" x14ac:dyDescent="0.25">
      <c r="A80" s="22" t="b">
        <v>0</v>
      </c>
      <c r="B80" s="22" t="s">
        <v>2460</v>
      </c>
      <c r="C80" s="34">
        <v>45747</v>
      </c>
      <c r="D80" s="22" t="s">
        <v>3314</v>
      </c>
      <c r="E80" s="22">
        <v>-7.99</v>
      </c>
      <c r="F80" s="28"/>
      <c r="G80" s="22" t="s">
        <v>489</v>
      </c>
      <c r="H80" s="22" t="s">
        <v>483</v>
      </c>
      <c r="I80" s="22"/>
      <c r="J80" s="22">
        <v>3</v>
      </c>
    </row>
    <row r="81" spans="1:10" x14ac:dyDescent="0.25">
      <c r="A81" s="22" t="b">
        <v>0</v>
      </c>
      <c r="B81" s="22" t="s">
        <v>2461</v>
      </c>
      <c r="C81" s="34">
        <v>45747</v>
      </c>
      <c r="D81" s="22" t="s">
        <v>3322</v>
      </c>
      <c r="E81" s="22">
        <v>-17.5</v>
      </c>
      <c r="F81" s="28"/>
      <c r="G81" s="22" t="s">
        <v>489</v>
      </c>
      <c r="H81" s="22" t="s">
        <v>483</v>
      </c>
      <c r="I81" s="22"/>
      <c r="J81" s="22">
        <v>4</v>
      </c>
    </row>
    <row r="82" spans="1:10" x14ac:dyDescent="0.25">
      <c r="A82" s="22" t="b">
        <v>0</v>
      </c>
      <c r="B82" s="22" t="s">
        <v>1322</v>
      </c>
      <c r="C82" s="34">
        <v>45748</v>
      </c>
      <c r="D82" s="22" t="s">
        <v>3323</v>
      </c>
      <c r="E82" s="22">
        <v>-300.2</v>
      </c>
      <c r="F82" s="28"/>
      <c r="G82" s="22" t="s">
        <v>489</v>
      </c>
      <c r="H82" s="22" t="s">
        <v>483</v>
      </c>
      <c r="I82" s="22"/>
    </row>
    <row r="83" spans="1:10" x14ac:dyDescent="0.25">
      <c r="A83" s="22" t="b">
        <v>0</v>
      </c>
      <c r="B83" s="22" t="s">
        <v>1303</v>
      </c>
      <c r="C83" s="34">
        <v>45755</v>
      </c>
      <c r="D83" s="22" t="s">
        <v>3324</v>
      </c>
      <c r="E83" s="22">
        <v>-43.48</v>
      </c>
      <c r="F83" s="28"/>
      <c r="G83" s="22" t="s">
        <v>489</v>
      </c>
      <c r="H83" s="22" t="s">
        <v>483</v>
      </c>
      <c r="I83" s="22"/>
    </row>
    <row r="84" spans="1:10" x14ac:dyDescent="0.25">
      <c r="A84" s="22" t="b">
        <v>0</v>
      </c>
      <c r="B84" s="22" t="s">
        <v>2305</v>
      </c>
      <c r="C84" s="34">
        <v>45755</v>
      </c>
      <c r="D84" s="22" t="s">
        <v>3325</v>
      </c>
      <c r="E84" s="22">
        <v>-10</v>
      </c>
      <c r="F84" s="28"/>
      <c r="G84" s="22" t="s">
        <v>489</v>
      </c>
      <c r="H84" s="22" t="s">
        <v>483</v>
      </c>
      <c r="I84" s="22"/>
    </row>
    <row r="85" spans="1:10" x14ac:dyDescent="0.25">
      <c r="A85" s="22" t="b">
        <v>0</v>
      </c>
      <c r="B85" s="22" t="s">
        <v>1939</v>
      </c>
      <c r="C85" s="34">
        <v>45757</v>
      </c>
      <c r="D85" s="22" t="s">
        <v>3326</v>
      </c>
      <c r="E85" s="22">
        <v>10</v>
      </c>
      <c r="F85" s="28"/>
      <c r="G85" s="22" t="s">
        <v>482</v>
      </c>
      <c r="H85" s="22" t="s">
        <v>483</v>
      </c>
      <c r="I85" s="22"/>
    </row>
    <row r="86" spans="1:10" x14ac:dyDescent="0.25">
      <c r="A86" s="22" t="b">
        <v>0</v>
      </c>
      <c r="B86" s="22" t="s">
        <v>1940</v>
      </c>
      <c r="C86" s="34">
        <v>45757</v>
      </c>
      <c r="D86" s="22" t="s">
        <v>3326</v>
      </c>
      <c r="E86" s="22">
        <v>10</v>
      </c>
      <c r="F86" s="28"/>
      <c r="G86" s="22" t="s">
        <v>482</v>
      </c>
      <c r="H86" s="22" t="s">
        <v>483</v>
      </c>
      <c r="I86" s="22"/>
    </row>
    <row r="87" spans="1:10" x14ac:dyDescent="0.25">
      <c r="A87" s="22" t="b">
        <v>0</v>
      </c>
      <c r="B87" s="22" t="s">
        <v>1292</v>
      </c>
      <c r="C87" s="34">
        <v>45759</v>
      </c>
      <c r="D87" s="22" t="s">
        <v>3327</v>
      </c>
      <c r="E87" s="22">
        <v>-65</v>
      </c>
      <c r="F87" s="28"/>
      <c r="G87" s="22" t="s">
        <v>489</v>
      </c>
      <c r="H87" s="22" t="s">
        <v>483</v>
      </c>
      <c r="I87" s="22"/>
    </row>
    <row r="88" spans="1:10" x14ac:dyDescent="0.25">
      <c r="A88" s="22" t="b">
        <v>0</v>
      </c>
      <c r="B88" s="22" t="s">
        <v>1288</v>
      </c>
      <c r="C88" s="34">
        <v>45762</v>
      </c>
      <c r="D88" s="22" t="s">
        <v>351</v>
      </c>
      <c r="E88" s="22">
        <v>-17.5</v>
      </c>
      <c r="F88" s="28"/>
      <c r="G88" s="22" t="s">
        <v>489</v>
      </c>
      <c r="H88" s="22" t="s">
        <v>483</v>
      </c>
      <c r="I88" s="22"/>
    </row>
    <row r="89" spans="1:10" x14ac:dyDescent="0.25">
      <c r="A89" s="22" t="b">
        <v>0</v>
      </c>
      <c r="B89" s="22" t="s">
        <v>1286</v>
      </c>
      <c r="C89" s="34">
        <v>45762</v>
      </c>
      <c r="D89" s="22" t="s">
        <v>3328</v>
      </c>
      <c r="E89" s="22">
        <v>-14.92</v>
      </c>
      <c r="F89" s="28"/>
      <c r="G89" s="22" t="s">
        <v>489</v>
      </c>
      <c r="H89" s="22" t="s">
        <v>483</v>
      </c>
      <c r="I89" s="22"/>
    </row>
    <row r="90" spans="1:10" x14ac:dyDescent="0.25">
      <c r="A90" s="22" t="b">
        <v>0</v>
      </c>
      <c r="B90" s="22" t="s">
        <v>1274</v>
      </c>
      <c r="C90" s="34">
        <v>45767</v>
      </c>
      <c r="D90" s="22" t="s">
        <v>3329</v>
      </c>
      <c r="E90" s="22">
        <v>-16.8</v>
      </c>
      <c r="F90" s="28"/>
      <c r="G90" s="22" t="s">
        <v>489</v>
      </c>
      <c r="H90" s="22" t="s">
        <v>483</v>
      </c>
      <c r="I90" s="22"/>
    </row>
    <row r="91" spans="1:10" x14ac:dyDescent="0.25">
      <c r="A91" s="22" t="b">
        <v>0</v>
      </c>
      <c r="B91" s="22" t="s">
        <v>2347</v>
      </c>
      <c r="C91" s="34">
        <v>45769</v>
      </c>
      <c r="D91" s="22" t="s">
        <v>3320</v>
      </c>
      <c r="E91" s="22">
        <v>-83.98</v>
      </c>
      <c r="F91" s="28">
        <v>-14</v>
      </c>
      <c r="G91" s="22" t="s">
        <v>489</v>
      </c>
      <c r="H91" s="22" t="s">
        <v>483</v>
      </c>
      <c r="I91" s="22"/>
    </row>
    <row r="92" spans="1:10" x14ac:dyDescent="0.25">
      <c r="A92" s="22" t="b">
        <v>0</v>
      </c>
      <c r="B92" s="22" t="s">
        <v>1270</v>
      </c>
      <c r="C92" s="34">
        <v>45771</v>
      </c>
      <c r="D92" s="22" t="s">
        <v>3330</v>
      </c>
      <c r="E92" s="22">
        <v>-18.850000000000001</v>
      </c>
      <c r="F92" s="28"/>
      <c r="G92" s="22" t="s">
        <v>489</v>
      </c>
      <c r="H92" s="22" t="s">
        <v>483</v>
      </c>
      <c r="I92" s="22"/>
    </row>
    <row r="93" spans="1:10" x14ac:dyDescent="0.25">
      <c r="A93" s="22" t="b">
        <v>0</v>
      </c>
      <c r="B93" s="22" t="s">
        <v>1263</v>
      </c>
      <c r="C93" s="34">
        <v>45774</v>
      </c>
      <c r="D93" s="22" t="s">
        <v>3331</v>
      </c>
      <c r="E93" s="22">
        <v>-29</v>
      </c>
      <c r="G93" s="22" t="s">
        <v>489</v>
      </c>
      <c r="H93" s="22" t="s">
        <v>483</v>
      </c>
      <c r="I93" s="22"/>
    </row>
    <row r="94" spans="1:10" x14ac:dyDescent="0.25">
      <c r="A94" s="22" t="b">
        <v>0</v>
      </c>
      <c r="B94" s="22" t="s">
        <v>2346</v>
      </c>
      <c r="C94" s="34">
        <v>45776</v>
      </c>
      <c r="D94" s="22" t="s">
        <v>3320</v>
      </c>
      <c r="E94" s="22">
        <v>-41.99</v>
      </c>
      <c r="F94" s="28">
        <v>-7</v>
      </c>
      <c r="G94" s="22" t="s">
        <v>489</v>
      </c>
      <c r="H94" s="22" t="s">
        <v>483</v>
      </c>
      <c r="I94" s="22"/>
    </row>
    <row r="95" spans="1:10" x14ac:dyDescent="0.25">
      <c r="A95" s="22" t="b">
        <v>0</v>
      </c>
      <c r="B95" s="22" t="s">
        <v>1252</v>
      </c>
      <c r="C95" s="34">
        <v>45778</v>
      </c>
      <c r="D95" s="22" t="s">
        <v>3332</v>
      </c>
      <c r="E95" s="22">
        <v>-3</v>
      </c>
      <c r="F95" s="28"/>
      <c r="G95" s="22" t="s">
        <v>489</v>
      </c>
      <c r="H95" s="22" t="s">
        <v>483</v>
      </c>
      <c r="I95" s="22"/>
    </row>
    <row r="96" spans="1:10" x14ac:dyDescent="0.25">
      <c r="A96" s="22" t="b">
        <v>0</v>
      </c>
      <c r="B96" s="22" t="s">
        <v>1251</v>
      </c>
      <c r="C96" s="34">
        <v>45778</v>
      </c>
      <c r="D96" s="22" t="s">
        <v>3333</v>
      </c>
      <c r="E96" s="22">
        <v>-55.3</v>
      </c>
      <c r="F96" s="28"/>
      <c r="G96" s="22" t="s">
        <v>489</v>
      </c>
      <c r="H96" s="22" t="s">
        <v>483</v>
      </c>
      <c r="I96" s="22"/>
    </row>
    <row r="97" spans="1:9" x14ac:dyDescent="0.25">
      <c r="A97" s="22" t="b">
        <v>0</v>
      </c>
      <c r="B97" s="22" t="s">
        <v>1245</v>
      </c>
      <c r="C97" s="34">
        <v>45779</v>
      </c>
      <c r="D97" s="22" t="s">
        <v>3334</v>
      </c>
      <c r="E97" s="22">
        <v>-10</v>
      </c>
      <c r="F97" s="28"/>
      <c r="G97" s="22" t="s">
        <v>489</v>
      </c>
      <c r="H97" s="22" t="s">
        <v>483</v>
      </c>
      <c r="I97" s="22"/>
    </row>
    <row r="98" spans="1:9" x14ac:dyDescent="0.25">
      <c r="A98" s="22" t="b">
        <v>0</v>
      </c>
      <c r="B98" s="22" t="s">
        <v>1244</v>
      </c>
      <c r="C98" s="34">
        <v>45779</v>
      </c>
      <c r="D98" s="22" t="s">
        <v>3335</v>
      </c>
      <c r="E98" s="22">
        <v>-3</v>
      </c>
      <c r="F98" s="28"/>
      <c r="G98" s="22" t="s">
        <v>489</v>
      </c>
      <c r="H98" s="22" t="s">
        <v>483</v>
      </c>
      <c r="I98" s="22"/>
    </row>
    <row r="99" spans="1:9" x14ac:dyDescent="0.25">
      <c r="A99" s="22" t="b">
        <v>0</v>
      </c>
      <c r="B99" s="22" t="s">
        <v>1229</v>
      </c>
      <c r="C99" s="34">
        <v>45783</v>
      </c>
      <c r="D99" s="22" t="s">
        <v>3336</v>
      </c>
      <c r="E99" s="22">
        <v>-16.66</v>
      </c>
      <c r="F99" s="28"/>
      <c r="G99" s="22" t="s">
        <v>489</v>
      </c>
      <c r="H99" s="22" t="s">
        <v>483</v>
      </c>
      <c r="I99" s="22"/>
    </row>
    <row r="100" spans="1:9" x14ac:dyDescent="0.25">
      <c r="A100" s="22" t="b">
        <v>0</v>
      </c>
      <c r="B100" s="22" t="s">
        <v>1233</v>
      </c>
      <c r="C100" s="34">
        <v>45783</v>
      </c>
      <c r="D100" s="22" t="s">
        <v>3337</v>
      </c>
      <c r="E100" s="22">
        <v>-39.270000000000003</v>
      </c>
      <c r="F100" s="28">
        <v>-6.55</v>
      </c>
      <c r="G100" s="22" t="s">
        <v>489</v>
      </c>
      <c r="H100" s="22" t="s">
        <v>483</v>
      </c>
      <c r="I100" s="22"/>
    </row>
    <row r="101" spans="1:9" x14ac:dyDescent="0.25">
      <c r="A101" s="22" t="b">
        <v>0</v>
      </c>
      <c r="B101" s="22" t="s">
        <v>1228</v>
      </c>
      <c r="C101" s="34">
        <v>45784</v>
      </c>
      <c r="D101" s="22" t="s">
        <v>382</v>
      </c>
      <c r="E101" s="22">
        <v>-80</v>
      </c>
      <c r="F101" s="28">
        <v>-13.33</v>
      </c>
      <c r="G101" s="22" t="s">
        <v>489</v>
      </c>
      <c r="H101" s="22" t="s">
        <v>483</v>
      </c>
      <c r="I101" s="22"/>
    </row>
    <row r="102" spans="1:9" x14ac:dyDescent="0.25">
      <c r="A102" s="22" t="b">
        <v>0</v>
      </c>
      <c r="B102" s="22" t="s">
        <v>1223</v>
      </c>
      <c r="C102" s="34">
        <v>45784</v>
      </c>
      <c r="D102" s="22" t="s">
        <v>418</v>
      </c>
      <c r="E102" s="22">
        <v>-3.45</v>
      </c>
      <c r="F102" s="28"/>
      <c r="G102" s="22" t="s">
        <v>489</v>
      </c>
      <c r="H102" s="22" t="s">
        <v>483</v>
      </c>
      <c r="I102" s="22"/>
    </row>
    <row r="103" spans="1:9" x14ac:dyDescent="0.25">
      <c r="A103" s="22" t="b">
        <v>0</v>
      </c>
      <c r="B103" s="22" t="s">
        <v>1224</v>
      </c>
      <c r="C103" s="34">
        <v>45784</v>
      </c>
      <c r="D103" s="22" t="s">
        <v>418</v>
      </c>
      <c r="E103" s="22">
        <v>-1.19</v>
      </c>
      <c r="F103" s="28"/>
      <c r="G103" s="22" t="s">
        <v>489</v>
      </c>
      <c r="H103" s="22" t="s">
        <v>483</v>
      </c>
      <c r="I103" s="22"/>
    </row>
    <row r="104" spans="1:9" x14ac:dyDescent="0.25">
      <c r="A104" s="22" t="b">
        <v>0</v>
      </c>
      <c r="B104" s="22" t="s">
        <v>1225</v>
      </c>
      <c r="C104" s="34">
        <v>45784</v>
      </c>
      <c r="D104" s="22" t="s">
        <v>3338</v>
      </c>
      <c r="E104" s="22">
        <v>-70.5</v>
      </c>
      <c r="F104" s="28"/>
      <c r="G104" s="22" t="s">
        <v>489</v>
      </c>
      <c r="H104" s="22" t="s">
        <v>483</v>
      </c>
      <c r="I104" s="22"/>
    </row>
    <row r="105" spans="1:9" x14ac:dyDescent="0.25">
      <c r="A105" s="22" t="b">
        <v>0</v>
      </c>
      <c r="B105" s="22" t="s">
        <v>2417</v>
      </c>
      <c r="C105" s="34">
        <v>45784</v>
      </c>
      <c r="D105" s="22" t="s">
        <v>3339</v>
      </c>
      <c r="E105" s="22">
        <v>-650.29999999999995</v>
      </c>
      <c r="F105" s="28"/>
      <c r="G105" s="22" t="s">
        <v>489</v>
      </c>
      <c r="H105" s="22" t="s">
        <v>483</v>
      </c>
      <c r="I105" s="22"/>
    </row>
    <row r="106" spans="1:9" x14ac:dyDescent="0.25">
      <c r="A106" s="22" t="b">
        <v>0</v>
      </c>
      <c r="B106" s="22" t="s">
        <v>2304</v>
      </c>
      <c r="C106" s="34">
        <v>45785</v>
      </c>
      <c r="D106" s="22" t="s">
        <v>3325</v>
      </c>
      <c r="E106" s="22">
        <v>-10</v>
      </c>
      <c r="F106" s="28"/>
      <c r="G106" s="22" t="s">
        <v>489</v>
      </c>
      <c r="H106" s="22" t="s">
        <v>483</v>
      </c>
      <c r="I106" s="22"/>
    </row>
    <row r="107" spans="1:9" x14ac:dyDescent="0.25">
      <c r="A107" s="22" t="b">
        <v>0</v>
      </c>
      <c r="B107" s="22" t="s">
        <v>1213</v>
      </c>
      <c r="C107" s="34">
        <v>45786</v>
      </c>
      <c r="D107" s="22" t="s">
        <v>3340</v>
      </c>
      <c r="E107" s="22">
        <v>-37.54</v>
      </c>
      <c r="F107" s="28"/>
      <c r="G107" s="22" t="s">
        <v>489</v>
      </c>
      <c r="H107" s="22" t="s">
        <v>483</v>
      </c>
      <c r="I107" s="22"/>
    </row>
    <row r="108" spans="1:9" x14ac:dyDescent="0.25">
      <c r="A108" s="22" t="b">
        <v>0</v>
      </c>
      <c r="B108" s="22" t="s">
        <v>1215</v>
      </c>
      <c r="C108" s="34">
        <v>45786</v>
      </c>
      <c r="D108" s="22" t="s">
        <v>3334</v>
      </c>
      <c r="E108" s="22">
        <v>-10</v>
      </c>
      <c r="F108" s="28"/>
      <c r="G108" s="22" t="s">
        <v>489</v>
      </c>
      <c r="H108" s="22" t="s">
        <v>483</v>
      </c>
      <c r="I108" s="22"/>
    </row>
    <row r="109" spans="1:9" x14ac:dyDescent="0.25">
      <c r="A109" s="22" t="b">
        <v>0</v>
      </c>
      <c r="B109" s="22" t="s">
        <v>1212</v>
      </c>
      <c r="C109" s="34">
        <v>45787</v>
      </c>
      <c r="D109" s="22" t="s">
        <v>3341</v>
      </c>
      <c r="E109" s="22">
        <v>-1</v>
      </c>
      <c r="F109" s="28"/>
      <c r="G109" s="22" t="s">
        <v>489</v>
      </c>
      <c r="H109" s="22" t="s">
        <v>483</v>
      </c>
      <c r="I109" s="22"/>
    </row>
    <row r="110" spans="1:9" x14ac:dyDescent="0.25">
      <c r="A110" s="22" t="b">
        <v>0</v>
      </c>
      <c r="B110" s="22" t="s">
        <v>1210</v>
      </c>
      <c r="C110" s="34">
        <v>45788</v>
      </c>
      <c r="D110" s="22" t="s">
        <v>3302</v>
      </c>
      <c r="E110" s="22">
        <v>-9</v>
      </c>
      <c r="F110" s="28"/>
      <c r="G110" s="22" t="s">
        <v>489</v>
      </c>
      <c r="H110" s="22" t="s">
        <v>483</v>
      </c>
      <c r="I110" s="22"/>
    </row>
    <row r="111" spans="1:9" x14ac:dyDescent="0.25">
      <c r="A111" s="22" t="b">
        <v>0</v>
      </c>
      <c r="B111" s="22" t="s">
        <v>1197</v>
      </c>
      <c r="C111" s="34">
        <v>45790</v>
      </c>
      <c r="D111" s="22" t="s">
        <v>3342</v>
      </c>
      <c r="E111" s="22">
        <v>-56.98</v>
      </c>
      <c r="F111" s="28"/>
      <c r="G111" s="22" t="s">
        <v>489</v>
      </c>
      <c r="H111" s="22" t="s">
        <v>483</v>
      </c>
      <c r="I111" s="22"/>
    </row>
    <row r="112" spans="1:9" x14ac:dyDescent="0.25">
      <c r="A112" s="22" t="b">
        <v>0</v>
      </c>
      <c r="B112" s="22" t="s">
        <v>1202</v>
      </c>
      <c r="C112" s="34">
        <v>45790</v>
      </c>
      <c r="D112" s="22" t="s">
        <v>3343</v>
      </c>
      <c r="E112" s="22">
        <v>-4.6500000000000004</v>
      </c>
      <c r="F112" s="28"/>
      <c r="G112" s="22" t="s">
        <v>489</v>
      </c>
      <c r="H112" s="22" t="s">
        <v>483</v>
      </c>
      <c r="I112" s="22"/>
    </row>
    <row r="113" spans="1:9" x14ac:dyDescent="0.25">
      <c r="A113" s="22" t="b">
        <v>0</v>
      </c>
      <c r="B113" s="22" t="s">
        <v>1203</v>
      </c>
      <c r="C113" s="34">
        <v>45790</v>
      </c>
      <c r="D113" s="22" t="s">
        <v>3337</v>
      </c>
      <c r="E113" s="22">
        <v>-52.92</v>
      </c>
      <c r="F113" s="28">
        <v>-8.82</v>
      </c>
      <c r="G113" s="22" t="s">
        <v>489</v>
      </c>
      <c r="H113" s="22" t="s">
        <v>483</v>
      </c>
      <c r="I113" s="22"/>
    </row>
    <row r="114" spans="1:9" x14ac:dyDescent="0.25">
      <c r="A114" s="22" t="b">
        <v>0</v>
      </c>
      <c r="B114" s="22" t="s">
        <v>1198</v>
      </c>
      <c r="C114" s="34">
        <v>45790</v>
      </c>
      <c r="D114" s="22" t="s">
        <v>3334</v>
      </c>
      <c r="E114" s="22">
        <v>-10</v>
      </c>
      <c r="F114" s="28"/>
      <c r="G114" s="22" t="s">
        <v>489</v>
      </c>
      <c r="H114" s="22" t="s">
        <v>483</v>
      </c>
      <c r="I114" s="22"/>
    </row>
    <row r="115" spans="1:9" x14ac:dyDescent="0.25">
      <c r="A115" s="22" t="b">
        <v>0</v>
      </c>
      <c r="B115" s="22" t="s">
        <v>1199</v>
      </c>
      <c r="C115" s="34">
        <v>45790</v>
      </c>
      <c r="D115" s="22" t="s">
        <v>3344</v>
      </c>
      <c r="E115" s="22">
        <v>-318</v>
      </c>
      <c r="F115" s="28"/>
      <c r="G115" s="22" t="s">
        <v>489</v>
      </c>
      <c r="H115" s="22" t="s">
        <v>483</v>
      </c>
      <c r="I115" s="22"/>
    </row>
    <row r="116" spans="1:9" x14ac:dyDescent="0.25">
      <c r="A116" s="22" t="b">
        <v>0</v>
      </c>
      <c r="B116" s="22" t="s">
        <v>1188</v>
      </c>
      <c r="C116" s="34">
        <v>45791</v>
      </c>
      <c r="D116" s="22" t="s">
        <v>3345</v>
      </c>
      <c r="E116" s="22">
        <v>-1.5</v>
      </c>
      <c r="F116" s="28"/>
      <c r="G116" s="22" t="s">
        <v>489</v>
      </c>
      <c r="H116" s="22" t="s">
        <v>483</v>
      </c>
      <c r="I116" s="22"/>
    </row>
    <row r="117" spans="1:9" x14ac:dyDescent="0.25">
      <c r="A117" s="22" t="b">
        <v>0</v>
      </c>
      <c r="B117" s="22" t="s">
        <v>1194</v>
      </c>
      <c r="C117" s="34">
        <v>45791</v>
      </c>
      <c r="D117" s="36" t="s">
        <v>3300</v>
      </c>
      <c r="E117" s="22">
        <v>-2.5</v>
      </c>
      <c r="F117" s="28"/>
      <c r="G117" s="22" t="s">
        <v>489</v>
      </c>
      <c r="H117" s="22" t="s">
        <v>483</v>
      </c>
      <c r="I117" s="22"/>
    </row>
    <row r="118" spans="1:9" x14ac:dyDescent="0.25">
      <c r="A118" s="22" t="b">
        <v>0</v>
      </c>
      <c r="B118" s="22" t="s">
        <v>1195</v>
      </c>
      <c r="C118" s="34">
        <v>45791</v>
      </c>
      <c r="D118" s="36" t="s">
        <v>3300</v>
      </c>
      <c r="E118" s="22">
        <v>-2.5</v>
      </c>
      <c r="F118" s="28"/>
      <c r="G118" s="22" t="s">
        <v>489</v>
      </c>
      <c r="H118" s="22" t="s">
        <v>483</v>
      </c>
      <c r="I118" s="22"/>
    </row>
    <row r="119" spans="1:9" x14ac:dyDescent="0.25">
      <c r="A119" s="22" t="b">
        <v>0</v>
      </c>
      <c r="B119" s="22" t="s">
        <v>1176</v>
      </c>
      <c r="C119" s="34">
        <v>45793</v>
      </c>
      <c r="D119" s="22" t="s">
        <v>3346</v>
      </c>
      <c r="E119" s="22">
        <v>-398</v>
      </c>
      <c r="F119" s="28"/>
      <c r="G119" s="22" t="s">
        <v>489</v>
      </c>
      <c r="H119" s="22" t="s">
        <v>483</v>
      </c>
      <c r="I119" s="22"/>
    </row>
    <row r="120" spans="1:9" x14ac:dyDescent="0.25">
      <c r="A120" s="22" t="b">
        <v>0</v>
      </c>
      <c r="B120" s="22" t="s">
        <v>1172</v>
      </c>
      <c r="C120" s="34">
        <v>45794</v>
      </c>
      <c r="D120" s="22" t="s">
        <v>3347</v>
      </c>
      <c r="E120" s="22">
        <v>-5</v>
      </c>
      <c r="F120" s="28"/>
      <c r="G120" s="22" t="s">
        <v>489</v>
      </c>
      <c r="H120" s="22" t="s">
        <v>483</v>
      </c>
      <c r="I120" s="22"/>
    </row>
    <row r="121" spans="1:9" x14ac:dyDescent="0.25">
      <c r="A121" s="22" t="b">
        <v>0</v>
      </c>
      <c r="B121" s="22" t="s">
        <v>1174</v>
      </c>
      <c r="C121" s="34">
        <v>45794</v>
      </c>
      <c r="D121" s="22" t="s">
        <v>3348</v>
      </c>
      <c r="E121" s="22">
        <v>-4.99</v>
      </c>
      <c r="F121" s="28">
        <v>-0.83</v>
      </c>
      <c r="G121" s="22" t="s">
        <v>489</v>
      </c>
      <c r="H121" s="22" t="s">
        <v>483</v>
      </c>
      <c r="I121" s="22"/>
    </row>
    <row r="122" spans="1:9" x14ac:dyDescent="0.25">
      <c r="A122" s="22" t="b">
        <v>0</v>
      </c>
      <c r="B122" s="22" t="s">
        <v>1166</v>
      </c>
      <c r="C122" s="34">
        <v>45796</v>
      </c>
      <c r="D122" s="22" t="s">
        <v>3349</v>
      </c>
      <c r="E122" s="22">
        <v>-6.85</v>
      </c>
      <c r="F122" s="28"/>
      <c r="G122" s="22" t="s">
        <v>489</v>
      </c>
      <c r="H122" s="22" t="s">
        <v>483</v>
      </c>
      <c r="I122" s="22"/>
    </row>
    <row r="123" spans="1:9" x14ac:dyDescent="0.25">
      <c r="A123" s="22" t="b">
        <v>0</v>
      </c>
      <c r="B123" s="22" t="s">
        <v>1161</v>
      </c>
      <c r="C123" s="34">
        <v>45797</v>
      </c>
      <c r="D123" s="22" t="s">
        <v>3329</v>
      </c>
      <c r="E123" s="22">
        <v>-16.8</v>
      </c>
      <c r="F123" s="28"/>
      <c r="G123" s="22" t="s">
        <v>489</v>
      </c>
      <c r="H123" s="22" t="s">
        <v>483</v>
      </c>
      <c r="I123" s="22"/>
    </row>
    <row r="124" spans="1:9" x14ac:dyDescent="0.25">
      <c r="A124" s="22" t="b">
        <v>0</v>
      </c>
      <c r="B124" s="22" t="s">
        <v>1164</v>
      </c>
      <c r="C124" s="34">
        <v>45797</v>
      </c>
      <c r="D124" s="22" t="s">
        <v>3280</v>
      </c>
      <c r="E124" s="22">
        <v>-3</v>
      </c>
      <c r="F124" s="28"/>
      <c r="G124" s="22" t="s">
        <v>489</v>
      </c>
      <c r="H124" s="22" t="s">
        <v>483</v>
      </c>
      <c r="I124" s="22"/>
    </row>
    <row r="125" spans="1:9" x14ac:dyDescent="0.25">
      <c r="A125" s="22" t="b">
        <v>0</v>
      </c>
      <c r="B125" s="22" t="s">
        <v>1151</v>
      </c>
      <c r="C125" s="34">
        <v>45799</v>
      </c>
      <c r="D125" s="22" t="s">
        <v>3350</v>
      </c>
      <c r="E125" s="22">
        <v>-19</v>
      </c>
      <c r="F125" s="28"/>
      <c r="G125" s="22" t="s">
        <v>489</v>
      </c>
      <c r="H125" s="22" t="s">
        <v>483</v>
      </c>
      <c r="I125" s="22"/>
    </row>
    <row r="126" spans="1:9" x14ac:dyDescent="0.25">
      <c r="A126" s="22" t="b">
        <v>0</v>
      </c>
      <c r="B126" s="22" t="s">
        <v>1156</v>
      </c>
      <c r="C126" s="34">
        <v>45799</v>
      </c>
      <c r="D126" s="22" t="s">
        <v>3351</v>
      </c>
      <c r="E126" s="22">
        <v>-8.99</v>
      </c>
      <c r="F126" s="28"/>
      <c r="G126" s="22" t="s">
        <v>489</v>
      </c>
      <c r="H126" s="22" t="s">
        <v>483</v>
      </c>
      <c r="I126" s="22"/>
    </row>
    <row r="127" spans="1:9" x14ac:dyDescent="0.25">
      <c r="A127" s="22" t="b">
        <v>0</v>
      </c>
      <c r="B127" s="22" t="s">
        <v>1155</v>
      </c>
      <c r="C127" s="34">
        <v>45799</v>
      </c>
      <c r="D127" s="22" t="s">
        <v>3352</v>
      </c>
      <c r="E127" s="22">
        <v>-16</v>
      </c>
      <c r="F127" s="28"/>
      <c r="G127" s="22" t="s">
        <v>489</v>
      </c>
      <c r="H127" s="22" t="s">
        <v>483</v>
      </c>
      <c r="I127" s="22"/>
    </row>
    <row r="128" spans="1:9" x14ac:dyDescent="0.25">
      <c r="A128" s="22" t="b">
        <v>0</v>
      </c>
      <c r="B128" s="22" t="s">
        <v>1158</v>
      </c>
      <c r="C128" s="34">
        <v>45799</v>
      </c>
      <c r="D128" s="22" t="s">
        <v>3353</v>
      </c>
      <c r="E128" s="22">
        <v>-1.3</v>
      </c>
      <c r="F128" s="28"/>
      <c r="G128" s="22" t="s">
        <v>489</v>
      </c>
      <c r="H128" s="22" t="s">
        <v>483</v>
      </c>
      <c r="I128" s="22"/>
    </row>
    <row r="129" spans="1:9" x14ac:dyDescent="0.25">
      <c r="A129" s="22" t="b">
        <v>0</v>
      </c>
      <c r="B129" s="22" t="s">
        <v>1145</v>
      </c>
      <c r="C129" s="34">
        <v>45799</v>
      </c>
      <c r="D129" s="22" t="s">
        <v>374</v>
      </c>
      <c r="E129" s="22">
        <v>-6.9</v>
      </c>
      <c r="F129" s="28"/>
      <c r="G129" s="22" t="s">
        <v>489</v>
      </c>
      <c r="H129" s="22" t="s">
        <v>483</v>
      </c>
      <c r="I129" s="22"/>
    </row>
    <row r="130" spans="1:9" x14ac:dyDescent="0.25">
      <c r="A130" s="22" t="b">
        <v>0</v>
      </c>
      <c r="B130" s="22" t="s">
        <v>1146</v>
      </c>
      <c r="C130" s="34">
        <v>45799</v>
      </c>
      <c r="D130" s="22" t="s">
        <v>3346</v>
      </c>
      <c r="E130" s="22">
        <v>-250.2</v>
      </c>
      <c r="F130" s="28"/>
      <c r="G130" s="22" t="s">
        <v>489</v>
      </c>
      <c r="H130" s="22" t="s">
        <v>483</v>
      </c>
      <c r="I130" s="22"/>
    </row>
    <row r="131" spans="1:9" x14ac:dyDescent="0.25">
      <c r="A131" s="22" t="b">
        <v>0</v>
      </c>
      <c r="B131" s="22" t="s">
        <v>1153</v>
      </c>
      <c r="C131" s="34">
        <v>45799</v>
      </c>
      <c r="D131" s="22" t="s">
        <v>3334</v>
      </c>
      <c r="E131" s="22">
        <v>-10</v>
      </c>
      <c r="F131" s="28"/>
      <c r="G131" s="22" t="s">
        <v>489</v>
      </c>
      <c r="H131" s="22" t="s">
        <v>483</v>
      </c>
      <c r="I131" s="22"/>
    </row>
    <row r="132" spans="1:9" x14ac:dyDescent="0.25">
      <c r="A132" s="22" t="b">
        <v>0</v>
      </c>
      <c r="B132" s="22" t="s">
        <v>1138</v>
      </c>
      <c r="C132" s="34">
        <v>45800</v>
      </c>
      <c r="D132" s="22" t="s">
        <v>3354</v>
      </c>
      <c r="E132" s="22">
        <v>-278.77999999999997</v>
      </c>
      <c r="F132" s="28"/>
      <c r="G132" s="22" t="s">
        <v>489</v>
      </c>
      <c r="H132" s="22" t="s">
        <v>483</v>
      </c>
      <c r="I132" s="22"/>
    </row>
    <row r="133" spans="1:9" x14ac:dyDescent="0.25">
      <c r="A133" s="22" t="b">
        <v>0</v>
      </c>
      <c r="B133" s="22" t="s">
        <v>1143</v>
      </c>
      <c r="C133" s="34">
        <v>45800</v>
      </c>
      <c r="D133" s="22" t="s">
        <v>3355</v>
      </c>
      <c r="E133" s="22">
        <v>-23.88</v>
      </c>
      <c r="F133" s="28"/>
      <c r="G133" s="22" t="s">
        <v>489</v>
      </c>
      <c r="H133" s="22" t="s">
        <v>483</v>
      </c>
      <c r="I133" s="22"/>
    </row>
    <row r="134" spans="1:9" x14ac:dyDescent="0.25">
      <c r="A134" s="22" t="b">
        <v>0</v>
      </c>
      <c r="B134" s="22" t="s">
        <v>1140</v>
      </c>
      <c r="C134" s="34">
        <v>45800</v>
      </c>
      <c r="D134" s="22" t="s">
        <v>3356</v>
      </c>
      <c r="E134" s="22">
        <v>-20</v>
      </c>
      <c r="F134" s="28"/>
      <c r="G134" s="22" t="s">
        <v>489</v>
      </c>
      <c r="H134" s="22" t="s">
        <v>483</v>
      </c>
      <c r="I134" s="22"/>
    </row>
    <row r="135" spans="1:9" x14ac:dyDescent="0.25">
      <c r="A135" s="22" t="b">
        <v>0</v>
      </c>
      <c r="B135" s="22" t="s">
        <v>1134</v>
      </c>
      <c r="C135" s="34">
        <v>45801</v>
      </c>
      <c r="D135" s="22" t="s">
        <v>3357</v>
      </c>
      <c r="E135" s="22">
        <v>-97.95</v>
      </c>
      <c r="F135" s="28"/>
      <c r="G135" s="22" t="s">
        <v>489</v>
      </c>
      <c r="H135" s="22" t="s">
        <v>483</v>
      </c>
      <c r="I135" s="22"/>
    </row>
    <row r="136" spans="1:9" x14ac:dyDescent="0.25">
      <c r="A136" s="22" t="b">
        <v>0</v>
      </c>
      <c r="B136" s="22" t="s">
        <v>1133</v>
      </c>
      <c r="C136" s="34">
        <v>45801</v>
      </c>
      <c r="D136" s="22" t="s">
        <v>3358</v>
      </c>
      <c r="E136" s="22">
        <v>-50</v>
      </c>
      <c r="F136" s="28"/>
      <c r="G136" s="22" t="s">
        <v>489</v>
      </c>
      <c r="H136" s="22" t="s">
        <v>483</v>
      </c>
      <c r="I136" s="22"/>
    </row>
    <row r="137" spans="1:9" x14ac:dyDescent="0.25">
      <c r="A137" s="22" t="b">
        <v>0</v>
      </c>
      <c r="B137" s="22" t="s">
        <v>1124</v>
      </c>
      <c r="C137" s="34">
        <v>45802</v>
      </c>
      <c r="D137" s="22" t="s">
        <v>3359</v>
      </c>
      <c r="E137" s="22">
        <v>-10</v>
      </c>
      <c r="F137" s="28"/>
      <c r="G137" s="22" t="s">
        <v>489</v>
      </c>
      <c r="H137" s="22" t="s">
        <v>483</v>
      </c>
      <c r="I137" s="22"/>
    </row>
    <row r="138" spans="1:9" x14ac:dyDescent="0.25">
      <c r="A138" s="22" t="b">
        <v>0</v>
      </c>
      <c r="B138" s="22" t="s">
        <v>1128</v>
      </c>
      <c r="C138" s="34">
        <v>45802</v>
      </c>
      <c r="D138" s="22" t="s">
        <v>3360</v>
      </c>
      <c r="E138" s="22">
        <v>-3</v>
      </c>
      <c r="F138" s="28"/>
      <c r="G138" s="22" t="s">
        <v>489</v>
      </c>
      <c r="H138" s="22" t="s">
        <v>483</v>
      </c>
      <c r="I138" s="22"/>
    </row>
    <row r="139" spans="1:9" x14ac:dyDescent="0.25">
      <c r="A139" s="22" t="b">
        <v>0</v>
      </c>
      <c r="B139" s="22" t="s">
        <v>1122</v>
      </c>
      <c r="C139" s="34">
        <v>45803</v>
      </c>
      <c r="D139" s="22" t="s">
        <v>3361</v>
      </c>
      <c r="E139" s="22">
        <v>-13</v>
      </c>
      <c r="F139" s="28"/>
      <c r="G139" s="22" t="s">
        <v>489</v>
      </c>
      <c r="H139" s="22" t="s">
        <v>483</v>
      </c>
      <c r="I139" s="22"/>
    </row>
    <row r="140" spans="1:9" x14ac:dyDescent="0.25">
      <c r="A140" s="22" t="b">
        <v>0</v>
      </c>
      <c r="B140" s="22" t="s">
        <v>1123</v>
      </c>
      <c r="C140" s="34">
        <v>45803</v>
      </c>
      <c r="D140" s="22" t="s">
        <v>3362</v>
      </c>
      <c r="E140" s="22">
        <v>-19</v>
      </c>
      <c r="F140" s="28"/>
      <c r="G140" s="22" t="s">
        <v>489</v>
      </c>
      <c r="H140" s="22" t="s">
        <v>483</v>
      </c>
      <c r="I140" s="22"/>
    </row>
    <row r="141" spans="1:9" x14ac:dyDescent="0.25">
      <c r="A141" s="22" t="b">
        <v>0</v>
      </c>
      <c r="B141" s="22" t="s">
        <v>1114</v>
      </c>
      <c r="C141" s="34">
        <v>45803</v>
      </c>
      <c r="D141" s="22" t="s">
        <v>3302</v>
      </c>
      <c r="E141" s="22">
        <v>-12</v>
      </c>
      <c r="F141" s="28"/>
      <c r="G141" s="22" t="s">
        <v>489</v>
      </c>
      <c r="H141" s="22" t="s">
        <v>483</v>
      </c>
      <c r="I141" s="22"/>
    </row>
    <row r="142" spans="1:9" x14ac:dyDescent="0.25">
      <c r="A142" s="22" t="b">
        <v>0</v>
      </c>
      <c r="B142" s="22" t="s">
        <v>1112</v>
      </c>
      <c r="C142" s="34">
        <v>45804</v>
      </c>
      <c r="D142" s="22" t="s">
        <v>3363</v>
      </c>
      <c r="E142" s="22">
        <v>-19</v>
      </c>
      <c r="F142" s="28"/>
      <c r="G142" s="22" t="s">
        <v>489</v>
      </c>
      <c r="H142" s="22" t="s">
        <v>483</v>
      </c>
      <c r="I142" s="22"/>
    </row>
    <row r="143" spans="1:9" x14ac:dyDescent="0.25">
      <c r="A143" s="22" t="b">
        <v>0</v>
      </c>
      <c r="B143" s="22" t="s">
        <v>1108</v>
      </c>
      <c r="C143" s="34">
        <v>45804</v>
      </c>
      <c r="D143" s="22" t="s">
        <v>3327</v>
      </c>
      <c r="E143" s="22">
        <v>-80</v>
      </c>
      <c r="F143" s="28"/>
      <c r="G143" s="22" t="s">
        <v>489</v>
      </c>
      <c r="H143" s="22" t="s">
        <v>483</v>
      </c>
      <c r="I143" s="22"/>
    </row>
    <row r="144" spans="1:9" x14ac:dyDescent="0.25">
      <c r="A144" s="22" t="b">
        <v>0</v>
      </c>
      <c r="B144" s="22" t="s">
        <v>1105</v>
      </c>
      <c r="C144" s="34">
        <v>45805</v>
      </c>
      <c r="D144" s="22" t="s">
        <v>3364</v>
      </c>
      <c r="E144" s="22">
        <v>-21</v>
      </c>
      <c r="F144" s="28"/>
      <c r="G144" s="22" t="s">
        <v>489</v>
      </c>
      <c r="H144" s="22" t="s">
        <v>483</v>
      </c>
      <c r="I144" s="22"/>
    </row>
    <row r="145" spans="1:9" x14ac:dyDescent="0.25">
      <c r="A145" s="22" t="b">
        <v>0</v>
      </c>
      <c r="B145" s="22" t="s">
        <v>1094</v>
      </c>
      <c r="C145" s="34">
        <v>45806</v>
      </c>
      <c r="D145" s="22" t="s">
        <v>3365</v>
      </c>
      <c r="E145" s="22">
        <v>-15.12</v>
      </c>
      <c r="F145" s="28">
        <v>-2.52</v>
      </c>
      <c r="G145" s="22" t="s">
        <v>489</v>
      </c>
      <c r="H145" s="22" t="s">
        <v>483</v>
      </c>
      <c r="I145" s="22"/>
    </row>
    <row r="146" spans="1:9" x14ac:dyDescent="0.25">
      <c r="A146" s="22" t="b">
        <v>0</v>
      </c>
      <c r="B146" s="22" t="s">
        <v>1103</v>
      </c>
      <c r="C146" s="34">
        <v>45806</v>
      </c>
      <c r="D146" s="22" t="s">
        <v>3366</v>
      </c>
      <c r="E146" s="22">
        <v>-21</v>
      </c>
      <c r="F146" s="28"/>
      <c r="G146" s="22" t="s">
        <v>489</v>
      </c>
      <c r="H146" s="22" t="s">
        <v>483</v>
      </c>
      <c r="I146" s="22"/>
    </row>
    <row r="147" spans="1:9" x14ac:dyDescent="0.25">
      <c r="A147" s="22" t="b">
        <v>0</v>
      </c>
      <c r="B147" s="22" t="s">
        <v>1092</v>
      </c>
      <c r="C147" s="34">
        <v>45806</v>
      </c>
      <c r="D147" s="22" t="s">
        <v>3367</v>
      </c>
      <c r="E147" s="22">
        <v>-24</v>
      </c>
      <c r="F147" s="28"/>
      <c r="G147" s="22" t="s">
        <v>489</v>
      </c>
      <c r="H147" s="22" t="s">
        <v>483</v>
      </c>
      <c r="I147" s="22"/>
    </row>
    <row r="148" spans="1:9" x14ac:dyDescent="0.25">
      <c r="A148" s="22" t="b">
        <v>0</v>
      </c>
      <c r="B148" s="22" t="s">
        <v>1093</v>
      </c>
      <c r="C148" s="34">
        <v>45806</v>
      </c>
      <c r="D148" s="22" t="s">
        <v>3368</v>
      </c>
      <c r="E148" s="22">
        <v>-25.62</v>
      </c>
      <c r="F148" s="28"/>
      <c r="G148" s="22" t="s">
        <v>489</v>
      </c>
      <c r="H148" s="22" t="s">
        <v>483</v>
      </c>
      <c r="I148" s="22"/>
    </row>
    <row r="149" spans="1:9" x14ac:dyDescent="0.25">
      <c r="A149" s="22" t="b">
        <v>0</v>
      </c>
      <c r="B149" s="22" t="s">
        <v>1095</v>
      </c>
      <c r="C149" s="34">
        <v>45806</v>
      </c>
      <c r="D149" s="22" t="s">
        <v>3334</v>
      </c>
      <c r="E149" s="22">
        <v>-10</v>
      </c>
      <c r="F149" s="28"/>
      <c r="G149" s="22" t="s">
        <v>489</v>
      </c>
      <c r="H149" s="22" t="s">
        <v>483</v>
      </c>
      <c r="I149" s="22"/>
    </row>
    <row r="150" spans="1:9" x14ac:dyDescent="0.25">
      <c r="A150" s="22" t="b">
        <v>0</v>
      </c>
      <c r="B150" s="22" t="s">
        <v>1091</v>
      </c>
      <c r="C150" s="34">
        <v>45807</v>
      </c>
      <c r="D150" s="22" t="s">
        <v>3369</v>
      </c>
      <c r="E150" s="22">
        <v>-80</v>
      </c>
      <c r="F150" s="28"/>
      <c r="G150" s="22" t="s">
        <v>489</v>
      </c>
      <c r="H150" s="22" t="s">
        <v>483</v>
      </c>
      <c r="I150" s="22"/>
    </row>
    <row r="151" spans="1:9" x14ac:dyDescent="0.25">
      <c r="A151" s="22" t="b">
        <v>0</v>
      </c>
      <c r="B151" s="22" t="s">
        <v>2345</v>
      </c>
      <c r="C151" s="34">
        <v>45807</v>
      </c>
      <c r="D151" s="22" t="s">
        <v>3320</v>
      </c>
      <c r="E151" s="22">
        <v>-41.99</v>
      </c>
      <c r="F151" s="28">
        <v>-7</v>
      </c>
      <c r="G151" s="22" t="s">
        <v>489</v>
      </c>
      <c r="H151" s="22" t="s">
        <v>483</v>
      </c>
      <c r="I151" s="22"/>
    </row>
    <row r="152" spans="1:9" x14ac:dyDescent="0.25">
      <c r="A152" s="22" t="b">
        <v>0</v>
      </c>
      <c r="B152" s="22" t="s">
        <v>1085</v>
      </c>
      <c r="C152" s="34">
        <v>45807</v>
      </c>
      <c r="D152" s="22" t="s">
        <v>3370</v>
      </c>
      <c r="E152" s="22">
        <v>-362.2</v>
      </c>
      <c r="F152" s="28"/>
      <c r="G152" s="22" t="s">
        <v>489</v>
      </c>
      <c r="H152" s="22" t="s">
        <v>483</v>
      </c>
      <c r="I152" s="22"/>
    </row>
    <row r="153" spans="1:9" x14ac:dyDescent="0.25">
      <c r="A153" s="22" t="b">
        <v>0</v>
      </c>
      <c r="B153" s="22" t="s">
        <v>1080</v>
      </c>
      <c r="C153" s="34">
        <v>45808</v>
      </c>
      <c r="D153" s="22" t="s">
        <v>3371</v>
      </c>
      <c r="E153" s="22">
        <v>-32.99</v>
      </c>
      <c r="F153" s="28"/>
      <c r="G153" s="22" t="s">
        <v>489</v>
      </c>
      <c r="H153" s="22" t="s">
        <v>483</v>
      </c>
      <c r="I153" s="22"/>
    </row>
    <row r="154" spans="1:9" x14ac:dyDescent="0.25">
      <c r="A154" s="22" t="b">
        <v>0</v>
      </c>
      <c r="B154" s="22" t="s">
        <v>1084</v>
      </c>
      <c r="C154" s="34">
        <v>45808</v>
      </c>
      <c r="D154" s="22" t="s">
        <v>3372</v>
      </c>
      <c r="E154" s="22">
        <v>-27</v>
      </c>
      <c r="F154" s="28"/>
      <c r="G154" s="22" t="s">
        <v>489</v>
      </c>
      <c r="H154" s="22" t="s">
        <v>483</v>
      </c>
      <c r="I154" s="22"/>
    </row>
    <row r="155" spans="1:9" x14ac:dyDescent="0.25">
      <c r="A155" s="22" t="b">
        <v>0</v>
      </c>
      <c r="B155" s="22" t="s">
        <v>1081</v>
      </c>
      <c r="C155" s="34">
        <v>45808</v>
      </c>
      <c r="D155" s="22" t="s">
        <v>3333</v>
      </c>
      <c r="E155" s="22">
        <v>-88.5</v>
      </c>
      <c r="F155" s="28"/>
      <c r="G155" s="22" t="s">
        <v>489</v>
      </c>
      <c r="H155" s="22" t="s">
        <v>483</v>
      </c>
      <c r="I155" s="22"/>
    </row>
    <row r="156" spans="1:9" x14ac:dyDescent="0.25">
      <c r="A156" s="22" t="b">
        <v>0</v>
      </c>
      <c r="B156" s="22" t="s">
        <v>1079</v>
      </c>
      <c r="C156" s="34">
        <v>45808</v>
      </c>
      <c r="D156" s="22" t="s">
        <v>3346</v>
      </c>
      <c r="E156" s="22">
        <v>-160.19999999999999</v>
      </c>
      <c r="F156" s="28"/>
      <c r="G156" s="22" t="s">
        <v>489</v>
      </c>
      <c r="H156" s="22" t="s">
        <v>483</v>
      </c>
      <c r="I156" s="22"/>
    </row>
    <row r="157" spans="1:9" x14ac:dyDescent="0.25">
      <c r="A157" s="22" t="b">
        <v>0</v>
      </c>
      <c r="B157" s="22" t="s">
        <v>1073</v>
      </c>
      <c r="C157" s="34">
        <v>45809</v>
      </c>
      <c r="D157" s="22" t="s">
        <v>382</v>
      </c>
      <c r="E157" s="22">
        <v>-520</v>
      </c>
      <c r="F157" s="28">
        <v>-86.67</v>
      </c>
      <c r="G157" s="22" t="s">
        <v>489</v>
      </c>
      <c r="H157" s="22" t="s">
        <v>483</v>
      </c>
      <c r="I157" s="22"/>
    </row>
    <row r="158" spans="1:9" x14ac:dyDescent="0.25">
      <c r="A158" s="22" t="b">
        <v>0</v>
      </c>
      <c r="B158" s="22" t="s">
        <v>1077</v>
      </c>
      <c r="C158" s="34">
        <v>45809</v>
      </c>
      <c r="D158" s="22" t="s">
        <v>3373</v>
      </c>
      <c r="E158" s="22">
        <v>-14.3</v>
      </c>
      <c r="F158" s="28"/>
      <c r="G158" s="22" t="s">
        <v>489</v>
      </c>
      <c r="H158" s="22" t="s">
        <v>483</v>
      </c>
      <c r="I158" s="22"/>
    </row>
    <row r="159" spans="1:9" x14ac:dyDescent="0.25">
      <c r="A159" s="22" t="b">
        <v>0</v>
      </c>
      <c r="B159" s="22" t="s">
        <v>1069</v>
      </c>
      <c r="C159" s="34">
        <v>45809</v>
      </c>
      <c r="D159" s="22" t="s">
        <v>3374</v>
      </c>
      <c r="E159" s="22">
        <v>-125.2</v>
      </c>
      <c r="F159" s="28"/>
      <c r="G159" s="22" t="s">
        <v>489</v>
      </c>
      <c r="H159" s="22" t="s">
        <v>483</v>
      </c>
      <c r="I159" s="22"/>
    </row>
    <row r="160" spans="1:9" x14ac:dyDescent="0.25">
      <c r="A160" s="22" t="b">
        <v>0</v>
      </c>
      <c r="B160" s="22" t="s">
        <v>1068</v>
      </c>
      <c r="C160" s="34">
        <v>45809</v>
      </c>
      <c r="D160" s="22" t="s">
        <v>3375</v>
      </c>
      <c r="E160" s="22">
        <v>-35.200000000000003</v>
      </c>
      <c r="F160" s="28"/>
      <c r="G160" s="22" t="s">
        <v>489</v>
      </c>
      <c r="H160" s="22" t="s">
        <v>483</v>
      </c>
      <c r="I160" s="22"/>
    </row>
    <row r="161" spans="1:9" x14ac:dyDescent="0.25">
      <c r="A161" s="22" t="b">
        <v>0</v>
      </c>
      <c r="B161" s="22" t="s">
        <v>1071</v>
      </c>
      <c r="C161" s="34">
        <v>45809</v>
      </c>
      <c r="D161" s="22" t="s">
        <v>283</v>
      </c>
      <c r="E161" s="22">
        <v>-21.31</v>
      </c>
      <c r="F161" s="28"/>
      <c r="G161" s="22" t="s">
        <v>489</v>
      </c>
      <c r="H161" s="22" t="s">
        <v>483</v>
      </c>
      <c r="I161" s="22"/>
    </row>
    <row r="162" spans="1:9" x14ac:dyDescent="0.25">
      <c r="A162" s="22" t="b">
        <v>0</v>
      </c>
      <c r="B162" s="22" t="s">
        <v>1072</v>
      </c>
      <c r="C162" s="34">
        <v>45809</v>
      </c>
      <c r="D162" s="22" t="s">
        <v>3376</v>
      </c>
      <c r="E162" s="22">
        <v>-392.31</v>
      </c>
      <c r="F162" s="28">
        <v>-65.38</v>
      </c>
      <c r="G162" s="22" t="s">
        <v>489</v>
      </c>
      <c r="H162" s="22" t="s">
        <v>483</v>
      </c>
      <c r="I162" s="22"/>
    </row>
    <row r="163" spans="1:9" x14ac:dyDescent="0.25">
      <c r="A163" s="22" t="b">
        <v>0</v>
      </c>
      <c r="B163" s="22" t="s">
        <v>1058</v>
      </c>
      <c r="C163" s="34">
        <v>45810</v>
      </c>
      <c r="D163" s="22" t="s">
        <v>3377</v>
      </c>
      <c r="E163" s="22">
        <v>-27.67</v>
      </c>
      <c r="F163" s="28">
        <v>-4.6100000000000003</v>
      </c>
      <c r="G163" s="22" t="s">
        <v>489</v>
      </c>
      <c r="H163" s="22" t="s">
        <v>483</v>
      </c>
      <c r="I163" s="22"/>
    </row>
    <row r="164" spans="1:9" x14ac:dyDescent="0.25">
      <c r="A164" s="22" t="b">
        <v>0</v>
      </c>
      <c r="B164" s="22" t="s">
        <v>1066</v>
      </c>
      <c r="C164" s="34">
        <v>45810</v>
      </c>
      <c r="D164" s="22" t="s">
        <v>3378</v>
      </c>
      <c r="E164" s="22">
        <v>-5.99</v>
      </c>
      <c r="F164" s="28"/>
      <c r="G164" s="22" t="s">
        <v>489</v>
      </c>
      <c r="H164" s="22" t="s">
        <v>483</v>
      </c>
      <c r="I164" s="22"/>
    </row>
    <row r="165" spans="1:9" x14ac:dyDescent="0.25">
      <c r="A165" s="22" t="b">
        <v>0</v>
      </c>
      <c r="B165" s="22" t="s">
        <v>1067</v>
      </c>
      <c r="C165" s="34">
        <v>45810</v>
      </c>
      <c r="D165" s="22" t="s">
        <v>3379</v>
      </c>
      <c r="E165" s="22">
        <v>-5.99</v>
      </c>
      <c r="F165" s="28"/>
      <c r="G165" s="22" t="s">
        <v>489</v>
      </c>
      <c r="H165" s="22" t="s">
        <v>483</v>
      </c>
      <c r="I165" s="22"/>
    </row>
    <row r="166" spans="1:9" x14ac:dyDescent="0.25">
      <c r="A166" s="22" t="b">
        <v>0</v>
      </c>
      <c r="B166" s="22" t="s">
        <v>1061</v>
      </c>
      <c r="C166" s="34">
        <v>45810</v>
      </c>
      <c r="D166" s="22" t="s">
        <v>3380</v>
      </c>
      <c r="E166" s="22">
        <v>-80.95</v>
      </c>
      <c r="F166" s="28"/>
      <c r="G166" s="22" t="s">
        <v>489</v>
      </c>
      <c r="H166" s="22" t="s">
        <v>483</v>
      </c>
      <c r="I166" s="22"/>
    </row>
    <row r="167" spans="1:9" x14ac:dyDescent="0.25">
      <c r="A167" s="22" t="b">
        <v>0</v>
      </c>
      <c r="B167" s="22" t="s">
        <v>1057</v>
      </c>
      <c r="C167" s="34">
        <v>45810</v>
      </c>
      <c r="D167" s="22" t="s">
        <v>3381</v>
      </c>
      <c r="E167" s="22">
        <v>-80.2</v>
      </c>
      <c r="F167" s="28"/>
      <c r="G167" s="22" t="s">
        <v>489</v>
      </c>
      <c r="H167" s="22" t="s">
        <v>483</v>
      </c>
      <c r="I167" s="22"/>
    </row>
    <row r="168" spans="1:9" x14ac:dyDescent="0.25">
      <c r="A168" s="22" t="b">
        <v>0</v>
      </c>
      <c r="B168" s="22" t="s">
        <v>1059</v>
      </c>
      <c r="C168" s="34">
        <v>45810</v>
      </c>
      <c r="D168" s="22" t="s">
        <v>3382</v>
      </c>
      <c r="E168" s="22">
        <v>-10</v>
      </c>
      <c r="F168" s="28"/>
      <c r="G168" s="22" t="s">
        <v>489</v>
      </c>
      <c r="H168" s="22" t="s">
        <v>483</v>
      </c>
      <c r="I168" s="22"/>
    </row>
    <row r="169" spans="1:9" x14ac:dyDescent="0.25">
      <c r="A169" s="22" t="b">
        <v>0</v>
      </c>
      <c r="B169" s="22" t="s">
        <v>1056</v>
      </c>
      <c r="C169" s="34">
        <v>45811</v>
      </c>
      <c r="D169" s="22" t="s">
        <v>3369</v>
      </c>
      <c r="E169" s="22">
        <v>-80</v>
      </c>
      <c r="F169" s="28"/>
      <c r="G169" s="22" t="s">
        <v>489</v>
      </c>
      <c r="H169" s="22" t="s">
        <v>483</v>
      </c>
      <c r="I169" s="22"/>
    </row>
    <row r="170" spans="1:9" x14ac:dyDescent="0.25">
      <c r="A170" s="22" t="b">
        <v>0</v>
      </c>
      <c r="B170" s="22" t="s">
        <v>2416</v>
      </c>
      <c r="C170" s="34">
        <v>45811</v>
      </c>
      <c r="D170" s="22" t="s">
        <v>3383</v>
      </c>
      <c r="E170" s="22">
        <v>-105</v>
      </c>
      <c r="F170" s="28"/>
      <c r="G170" s="22" t="s">
        <v>489</v>
      </c>
      <c r="H170" s="22" t="s">
        <v>483</v>
      </c>
      <c r="I170" s="22"/>
    </row>
    <row r="171" spans="1:9" x14ac:dyDescent="0.25">
      <c r="A171" s="22" t="b">
        <v>0</v>
      </c>
      <c r="B171" s="22" t="s">
        <v>1045</v>
      </c>
      <c r="C171" s="34">
        <v>45812</v>
      </c>
      <c r="D171" s="22" t="s">
        <v>3384</v>
      </c>
      <c r="E171" s="22">
        <v>-32.99</v>
      </c>
      <c r="F171" s="28"/>
      <c r="G171" s="22" t="s">
        <v>489</v>
      </c>
      <c r="H171" s="22" t="s">
        <v>483</v>
      </c>
      <c r="I171" s="22"/>
    </row>
    <row r="172" spans="1:9" x14ac:dyDescent="0.25">
      <c r="A172" s="22" t="b">
        <v>0</v>
      </c>
      <c r="B172" s="22" t="s">
        <v>1043</v>
      </c>
      <c r="C172" s="34">
        <v>45812</v>
      </c>
      <c r="D172" s="22" t="s">
        <v>3385</v>
      </c>
      <c r="E172" s="22">
        <v>-60</v>
      </c>
      <c r="F172" s="28">
        <v>-10</v>
      </c>
      <c r="G172" s="22" t="s">
        <v>489</v>
      </c>
      <c r="H172" s="22" t="s">
        <v>483</v>
      </c>
      <c r="I172" s="22"/>
    </row>
    <row r="173" spans="1:9" x14ac:dyDescent="0.25">
      <c r="A173" s="22" t="b">
        <v>0</v>
      </c>
      <c r="B173" s="22" t="s">
        <v>1050</v>
      </c>
      <c r="C173" s="34">
        <v>45812</v>
      </c>
      <c r="D173" s="22" t="s">
        <v>382</v>
      </c>
      <c r="E173" s="22">
        <v>-120</v>
      </c>
      <c r="F173" s="28">
        <v>-20</v>
      </c>
      <c r="G173" s="22" t="s">
        <v>489</v>
      </c>
      <c r="H173" s="22" t="s">
        <v>483</v>
      </c>
      <c r="I173" s="22"/>
    </row>
    <row r="174" spans="1:9" x14ac:dyDescent="0.25">
      <c r="A174" s="22" t="b">
        <v>0</v>
      </c>
      <c r="B174" s="22" t="s">
        <v>1038</v>
      </c>
      <c r="C174" s="34">
        <v>45813</v>
      </c>
      <c r="D174" s="22" t="s">
        <v>3386</v>
      </c>
      <c r="E174" s="22">
        <v>-20</v>
      </c>
      <c r="F174" s="28"/>
      <c r="G174" s="22" t="s">
        <v>489</v>
      </c>
      <c r="H174" s="22" t="s">
        <v>483</v>
      </c>
      <c r="I174" s="22"/>
    </row>
    <row r="175" spans="1:9" x14ac:dyDescent="0.25">
      <c r="A175" s="22" t="b">
        <v>0</v>
      </c>
      <c r="B175" s="22" t="s">
        <v>1027</v>
      </c>
      <c r="C175" s="34">
        <v>45814</v>
      </c>
      <c r="D175" s="22" t="s">
        <v>418</v>
      </c>
      <c r="E175" s="22">
        <v>-1.19</v>
      </c>
      <c r="F175" s="28"/>
      <c r="G175" s="22" t="s">
        <v>489</v>
      </c>
      <c r="H175" s="22" t="s">
        <v>483</v>
      </c>
      <c r="I175" s="22"/>
    </row>
    <row r="176" spans="1:9" x14ac:dyDescent="0.25">
      <c r="A176" s="22" t="b">
        <v>0</v>
      </c>
      <c r="B176" s="22" t="s">
        <v>1024</v>
      </c>
      <c r="C176" s="34">
        <v>45814</v>
      </c>
      <c r="D176" s="22" t="s">
        <v>3387</v>
      </c>
      <c r="E176" s="22">
        <v>-160.19999999999999</v>
      </c>
      <c r="F176" s="28"/>
      <c r="G176" s="22" t="s">
        <v>489</v>
      </c>
      <c r="H176" s="22" t="s">
        <v>483</v>
      </c>
      <c r="I176" s="22"/>
    </row>
    <row r="177" spans="1:9" x14ac:dyDescent="0.25">
      <c r="A177" s="22" t="b">
        <v>0</v>
      </c>
      <c r="B177" s="22" t="s">
        <v>1017</v>
      </c>
      <c r="C177" s="34">
        <v>45815</v>
      </c>
      <c r="D177" s="22" t="s">
        <v>3388</v>
      </c>
      <c r="E177" s="22">
        <v>-2.5</v>
      </c>
      <c r="F177" s="28"/>
      <c r="G177" s="22" t="s">
        <v>489</v>
      </c>
      <c r="H177" s="22" t="s">
        <v>483</v>
      </c>
      <c r="I177" s="22"/>
    </row>
    <row r="178" spans="1:9" x14ac:dyDescent="0.25">
      <c r="A178" s="22" t="b">
        <v>0</v>
      </c>
      <c r="B178" s="22" t="s">
        <v>1023</v>
      </c>
      <c r="C178" s="34">
        <v>45815</v>
      </c>
      <c r="D178" s="22" t="s">
        <v>3389</v>
      </c>
      <c r="E178" s="22">
        <v>-30</v>
      </c>
      <c r="F178" s="28"/>
      <c r="G178" s="22" t="s">
        <v>489</v>
      </c>
      <c r="H178" s="22" t="s">
        <v>483</v>
      </c>
      <c r="I178" s="22"/>
    </row>
    <row r="179" spans="1:9" x14ac:dyDescent="0.25">
      <c r="A179" s="22" t="b">
        <v>0</v>
      </c>
      <c r="B179" s="22" t="s">
        <v>1020</v>
      </c>
      <c r="C179" s="34">
        <v>45815</v>
      </c>
      <c r="D179" s="22" t="s">
        <v>3337</v>
      </c>
      <c r="E179" s="22">
        <v>-72.05</v>
      </c>
      <c r="F179" s="28">
        <v>-12.01</v>
      </c>
      <c r="G179" s="22" t="s">
        <v>489</v>
      </c>
      <c r="H179" s="22" t="s">
        <v>483</v>
      </c>
      <c r="I179" s="22"/>
    </row>
    <row r="180" spans="1:9" x14ac:dyDescent="0.25">
      <c r="A180" s="22" t="b">
        <v>0</v>
      </c>
      <c r="B180" s="22" t="s">
        <v>1004</v>
      </c>
      <c r="C180" s="34">
        <v>45816</v>
      </c>
      <c r="D180" s="22" t="s">
        <v>3377</v>
      </c>
      <c r="E180" s="22">
        <v>-13.79</v>
      </c>
      <c r="F180" s="28">
        <v>-2.2999999999999998</v>
      </c>
      <c r="G180" s="22" t="s">
        <v>489</v>
      </c>
      <c r="H180" s="22" t="s">
        <v>483</v>
      </c>
      <c r="I180" s="22"/>
    </row>
    <row r="181" spans="1:9" x14ac:dyDescent="0.25">
      <c r="A181" s="22" t="b">
        <v>0</v>
      </c>
      <c r="B181" s="22" t="s">
        <v>1008</v>
      </c>
      <c r="C181" s="34">
        <v>45816</v>
      </c>
      <c r="D181" s="22" t="s">
        <v>3377</v>
      </c>
      <c r="E181" s="22">
        <v>-9.69</v>
      </c>
      <c r="F181" s="28">
        <v>-1.61</v>
      </c>
      <c r="G181" s="22" t="s">
        <v>489</v>
      </c>
      <c r="H181" s="22" t="s">
        <v>483</v>
      </c>
      <c r="I181" s="22"/>
    </row>
    <row r="182" spans="1:9" x14ac:dyDescent="0.25">
      <c r="A182" s="22" t="b">
        <v>0</v>
      </c>
      <c r="B182" s="22" t="s">
        <v>1009</v>
      </c>
      <c r="C182" s="34">
        <v>45816</v>
      </c>
      <c r="D182" s="22" t="s">
        <v>3377</v>
      </c>
      <c r="E182" s="22">
        <v>-11.09</v>
      </c>
      <c r="F182" s="28">
        <v>-1.85</v>
      </c>
      <c r="G182" s="22" t="s">
        <v>489</v>
      </c>
      <c r="H182" s="22" t="s">
        <v>483</v>
      </c>
      <c r="I182" s="22"/>
    </row>
    <row r="183" spans="1:9" x14ac:dyDescent="0.25">
      <c r="A183" s="22" t="b">
        <v>0</v>
      </c>
      <c r="B183" s="22" t="s">
        <v>1010</v>
      </c>
      <c r="C183" s="34">
        <v>45816</v>
      </c>
      <c r="D183" s="22" t="s">
        <v>3377</v>
      </c>
      <c r="E183" s="22">
        <v>-9.23</v>
      </c>
      <c r="F183" s="28">
        <v>-1.54</v>
      </c>
      <c r="G183" s="22" t="s">
        <v>489</v>
      </c>
      <c r="H183" s="22" t="s">
        <v>483</v>
      </c>
      <c r="I183" s="22"/>
    </row>
    <row r="184" spans="1:9" x14ac:dyDescent="0.25">
      <c r="A184" s="22" t="b">
        <v>0</v>
      </c>
      <c r="B184" s="22" t="s">
        <v>1003</v>
      </c>
      <c r="C184" s="34">
        <v>45816</v>
      </c>
      <c r="D184" s="22" t="s">
        <v>3390</v>
      </c>
      <c r="E184" s="22">
        <v>-23.16</v>
      </c>
      <c r="F184" s="28"/>
      <c r="G184" s="22" t="s">
        <v>489</v>
      </c>
      <c r="H184" s="22" t="s">
        <v>483</v>
      </c>
      <c r="I184" s="22"/>
    </row>
    <row r="185" spans="1:9" x14ac:dyDescent="0.25">
      <c r="A185" s="22" t="b">
        <v>0</v>
      </c>
      <c r="B185" s="22" t="s">
        <v>2303</v>
      </c>
      <c r="C185" s="34">
        <v>45816</v>
      </c>
      <c r="D185" s="22" t="s">
        <v>3325</v>
      </c>
      <c r="E185" s="22">
        <v>-10</v>
      </c>
      <c r="F185" s="28"/>
      <c r="G185" s="22" t="s">
        <v>489</v>
      </c>
      <c r="H185" s="22" t="s">
        <v>483</v>
      </c>
      <c r="I185" s="22"/>
    </row>
    <row r="186" spans="1:9" x14ac:dyDescent="0.25">
      <c r="A186" s="22" t="b">
        <v>0</v>
      </c>
      <c r="B186" s="22" t="s">
        <v>1002</v>
      </c>
      <c r="C186" s="34">
        <v>45816</v>
      </c>
      <c r="D186" s="22" t="s">
        <v>3334</v>
      </c>
      <c r="E186" s="22">
        <v>-10</v>
      </c>
      <c r="F186" s="28"/>
      <c r="G186" s="22" t="s">
        <v>489</v>
      </c>
      <c r="H186" s="22" t="s">
        <v>483</v>
      </c>
      <c r="I186" s="22"/>
    </row>
    <row r="187" spans="1:9" x14ac:dyDescent="0.25">
      <c r="A187" s="22" t="b">
        <v>0</v>
      </c>
      <c r="B187" s="22" t="s">
        <v>994</v>
      </c>
      <c r="C187" s="34">
        <v>45817</v>
      </c>
      <c r="D187" s="22" t="s">
        <v>3391</v>
      </c>
      <c r="E187" s="22">
        <v>-33</v>
      </c>
      <c r="F187" s="28"/>
      <c r="G187" s="22" t="s">
        <v>489</v>
      </c>
      <c r="H187" s="22" t="s">
        <v>483</v>
      </c>
      <c r="I187" s="22"/>
    </row>
    <row r="188" spans="1:9" x14ac:dyDescent="0.25">
      <c r="A188" s="22" t="b">
        <v>0</v>
      </c>
      <c r="B188" s="22" t="s">
        <v>998</v>
      </c>
      <c r="C188" s="34">
        <v>45817</v>
      </c>
      <c r="D188" s="22" t="s">
        <v>3392</v>
      </c>
      <c r="E188" s="22">
        <v>-34.44</v>
      </c>
      <c r="F188" s="28">
        <v>-5.74</v>
      </c>
      <c r="G188" s="22" t="s">
        <v>489</v>
      </c>
      <c r="H188" s="22" t="s">
        <v>483</v>
      </c>
      <c r="I188" s="22"/>
    </row>
    <row r="189" spans="1:9" x14ac:dyDescent="0.25">
      <c r="A189" s="22" t="b">
        <v>0</v>
      </c>
      <c r="B189" s="22" t="s">
        <v>989</v>
      </c>
      <c r="C189" s="34">
        <v>45818</v>
      </c>
      <c r="D189" s="36" t="s">
        <v>3393</v>
      </c>
      <c r="E189" s="22">
        <v>-15.39</v>
      </c>
      <c r="F189" s="28"/>
      <c r="G189" s="22" t="s">
        <v>489</v>
      </c>
      <c r="H189" s="22" t="s">
        <v>483</v>
      </c>
      <c r="I189" s="22"/>
    </row>
    <row r="190" spans="1:9" x14ac:dyDescent="0.25">
      <c r="A190" s="22" t="b">
        <v>0</v>
      </c>
      <c r="B190" s="22" t="s">
        <v>984</v>
      </c>
      <c r="C190" s="34">
        <v>45819</v>
      </c>
      <c r="D190" s="36" t="s">
        <v>3394</v>
      </c>
      <c r="E190" s="22">
        <v>-2.9</v>
      </c>
      <c r="F190" s="28"/>
      <c r="G190" s="22" t="s">
        <v>489</v>
      </c>
      <c r="H190" s="22" t="s">
        <v>483</v>
      </c>
      <c r="I190" s="22"/>
    </row>
    <row r="191" spans="1:9" x14ac:dyDescent="0.25">
      <c r="A191" s="22" t="b">
        <v>0</v>
      </c>
      <c r="B191" s="22" t="s">
        <v>978</v>
      </c>
      <c r="C191" s="34">
        <v>45820</v>
      </c>
      <c r="D191" s="36" t="s">
        <v>3395</v>
      </c>
      <c r="E191" s="22">
        <v>-185.27</v>
      </c>
      <c r="F191" s="28"/>
      <c r="G191" s="22" t="s">
        <v>489</v>
      </c>
      <c r="H191" s="22" t="s">
        <v>483</v>
      </c>
      <c r="I191" s="22"/>
    </row>
    <row r="192" spans="1:9" x14ac:dyDescent="0.25">
      <c r="A192" s="22" t="b">
        <v>0</v>
      </c>
      <c r="B192" s="22" t="s">
        <v>979</v>
      </c>
      <c r="C192" s="34">
        <v>45820</v>
      </c>
      <c r="D192" s="22" t="s">
        <v>3377</v>
      </c>
      <c r="E192" s="22">
        <v>-34.08</v>
      </c>
      <c r="F192" s="28">
        <v>-5.68</v>
      </c>
      <c r="G192" s="22" t="s">
        <v>489</v>
      </c>
      <c r="H192" s="22" t="s">
        <v>483</v>
      </c>
      <c r="I192" s="22"/>
    </row>
    <row r="193" spans="1:9" x14ac:dyDescent="0.25">
      <c r="A193" s="22" t="b">
        <v>0</v>
      </c>
      <c r="B193" s="22" t="s">
        <v>974</v>
      </c>
      <c r="C193" s="34">
        <v>45820</v>
      </c>
      <c r="D193" s="22" t="s">
        <v>3396</v>
      </c>
      <c r="E193" s="22">
        <v>-216</v>
      </c>
      <c r="F193" s="28"/>
      <c r="G193" s="22" t="s">
        <v>489</v>
      </c>
      <c r="H193" s="22" t="s">
        <v>483</v>
      </c>
      <c r="I193" s="22"/>
    </row>
    <row r="194" spans="1:9" x14ac:dyDescent="0.25">
      <c r="A194" s="22" t="b">
        <v>0</v>
      </c>
      <c r="B194" s="22" t="s">
        <v>965</v>
      </c>
      <c r="C194" s="34">
        <v>45821</v>
      </c>
      <c r="D194" s="22" t="s">
        <v>3342</v>
      </c>
      <c r="E194" s="22">
        <v>-56.98</v>
      </c>
      <c r="F194" s="28"/>
      <c r="G194" s="22" t="s">
        <v>489</v>
      </c>
      <c r="H194" s="22" t="s">
        <v>483</v>
      </c>
      <c r="I194" s="22"/>
    </row>
    <row r="195" spans="1:9" x14ac:dyDescent="0.25">
      <c r="A195" s="22" t="b">
        <v>0</v>
      </c>
      <c r="B195" s="22" t="s">
        <v>969</v>
      </c>
      <c r="C195" s="34">
        <v>45821</v>
      </c>
      <c r="D195" s="22" t="s">
        <v>3334</v>
      </c>
      <c r="E195" s="22">
        <v>-10</v>
      </c>
      <c r="F195" s="28"/>
      <c r="G195" s="22" t="s">
        <v>489</v>
      </c>
      <c r="H195" s="22" t="s">
        <v>483</v>
      </c>
      <c r="I195" s="22"/>
    </row>
    <row r="196" spans="1:9" x14ac:dyDescent="0.25">
      <c r="A196" s="22" t="b">
        <v>0</v>
      </c>
      <c r="B196" s="22" t="s">
        <v>962</v>
      </c>
      <c r="C196" s="34">
        <v>45822</v>
      </c>
      <c r="D196" s="22" t="s">
        <v>351</v>
      </c>
      <c r="E196" s="22">
        <v>-17.5</v>
      </c>
      <c r="F196" s="28"/>
      <c r="G196" s="22" t="s">
        <v>489</v>
      </c>
      <c r="H196" s="22" t="s">
        <v>483</v>
      </c>
      <c r="I196" s="22"/>
    </row>
    <row r="197" spans="1:9" x14ac:dyDescent="0.25">
      <c r="A197" s="22" t="b">
        <v>0</v>
      </c>
      <c r="B197" s="22" t="s">
        <v>957</v>
      </c>
      <c r="C197" s="34">
        <v>45822</v>
      </c>
      <c r="D197" s="22" t="s">
        <v>3397</v>
      </c>
      <c r="E197" s="22">
        <v>-4.99</v>
      </c>
      <c r="F197" s="28"/>
      <c r="G197" s="22" t="s">
        <v>489</v>
      </c>
      <c r="H197" s="22" t="s">
        <v>483</v>
      </c>
      <c r="I197" s="22"/>
    </row>
    <row r="198" spans="1:9" x14ac:dyDescent="0.25">
      <c r="A198" s="22" t="b">
        <v>0</v>
      </c>
      <c r="B198" s="22" t="s">
        <v>943</v>
      </c>
      <c r="C198" s="34">
        <v>45824</v>
      </c>
      <c r="D198" s="22" t="s">
        <v>3398</v>
      </c>
      <c r="E198" s="22">
        <v>-18.399999999999999</v>
      </c>
      <c r="F198" s="28"/>
      <c r="G198" s="22" t="s">
        <v>489</v>
      </c>
      <c r="H198" s="22" t="s">
        <v>483</v>
      </c>
      <c r="I198" s="22"/>
    </row>
    <row r="199" spans="1:9" x14ac:dyDescent="0.25">
      <c r="A199" s="22" t="b">
        <v>0</v>
      </c>
      <c r="B199" s="22" t="s">
        <v>941</v>
      </c>
      <c r="C199" s="34">
        <v>45824</v>
      </c>
      <c r="D199" s="22" t="s">
        <v>3399</v>
      </c>
      <c r="E199" s="22">
        <v>-275.2</v>
      </c>
      <c r="F199" s="28"/>
      <c r="G199" s="22" t="s">
        <v>489</v>
      </c>
      <c r="H199" s="22" t="s">
        <v>483</v>
      </c>
      <c r="I199" s="22"/>
    </row>
    <row r="200" spans="1:9" x14ac:dyDescent="0.25">
      <c r="A200" s="22" t="b">
        <v>0</v>
      </c>
      <c r="B200" s="22" t="s">
        <v>946</v>
      </c>
      <c r="C200" s="34">
        <v>45824</v>
      </c>
      <c r="D200" s="22" t="s">
        <v>3400</v>
      </c>
      <c r="E200" s="22">
        <v>-28.37</v>
      </c>
      <c r="F200" s="28">
        <v>-4.7300000000000004</v>
      </c>
      <c r="G200" s="22" t="s">
        <v>489</v>
      </c>
      <c r="H200" s="22" t="s">
        <v>483</v>
      </c>
      <c r="I200" s="22"/>
    </row>
    <row r="201" spans="1:9" x14ac:dyDescent="0.25">
      <c r="A201" s="22" t="b">
        <v>0</v>
      </c>
      <c r="B201" s="22" t="s">
        <v>933</v>
      </c>
      <c r="C201" s="34">
        <v>45825</v>
      </c>
      <c r="D201" s="22" t="s">
        <v>3401</v>
      </c>
      <c r="E201" s="22">
        <v>-9.5</v>
      </c>
      <c r="F201" s="28"/>
      <c r="G201" s="22" t="s">
        <v>489</v>
      </c>
      <c r="H201" s="22" t="s">
        <v>483</v>
      </c>
      <c r="I201" s="22"/>
    </row>
    <row r="202" spans="1:9" x14ac:dyDescent="0.25">
      <c r="A202" s="22" t="b">
        <v>0</v>
      </c>
      <c r="B202" s="22" t="s">
        <v>931</v>
      </c>
      <c r="C202" s="34">
        <v>45825</v>
      </c>
      <c r="D202" s="22" t="s">
        <v>3402</v>
      </c>
      <c r="E202" s="22">
        <v>-11.66</v>
      </c>
      <c r="F202" s="28"/>
      <c r="G202" s="22" t="s">
        <v>489</v>
      </c>
      <c r="H202" s="22" t="s">
        <v>483</v>
      </c>
      <c r="I202" s="22"/>
    </row>
    <row r="203" spans="1:9" x14ac:dyDescent="0.25">
      <c r="A203" s="22" t="b">
        <v>0</v>
      </c>
      <c r="B203" s="22" t="s">
        <v>934</v>
      </c>
      <c r="C203" s="34">
        <v>45825</v>
      </c>
      <c r="D203" s="22" t="s">
        <v>3403</v>
      </c>
      <c r="E203" s="22">
        <v>-80</v>
      </c>
      <c r="F203" s="28"/>
      <c r="G203" s="22" t="s">
        <v>489</v>
      </c>
      <c r="H203" s="22" t="s">
        <v>483</v>
      </c>
      <c r="I203" s="22"/>
    </row>
    <row r="204" spans="1:9" x14ac:dyDescent="0.25">
      <c r="A204" s="22" t="b">
        <v>0</v>
      </c>
      <c r="B204" s="22" t="s">
        <v>929</v>
      </c>
      <c r="C204" s="34">
        <v>45826</v>
      </c>
      <c r="D204" s="22" t="s">
        <v>351</v>
      </c>
      <c r="E204" s="22">
        <v>-17.5</v>
      </c>
      <c r="F204" s="28"/>
      <c r="G204" s="22" t="s">
        <v>489</v>
      </c>
      <c r="H204" s="22" t="s">
        <v>483</v>
      </c>
      <c r="I204" s="22"/>
    </row>
    <row r="205" spans="1:9" x14ac:dyDescent="0.25">
      <c r="A205" s="22" t="b">
        <v>0</v>
      </c>
      <c r="B205" s="22" t="s">
        <v>922</v>
      </c>
      <c r="C205" s="34">
        <v>45828</v>
      </c>
      <c r="D205" s="22" t="s">
        <v>3377</v>
      </c>
      <c r="E205" s="22">
        <v>-41.47</v>
      </c>
      <c r="F205" s="28">
        <v>-6.91</v>
      </c>
      <c r="G205" s="22" t="s">
        <v>489</v>
      </c>
      <c r="H205" s="22" t="s">
        <v>483</v>
      </c>
      <c r="I205" s="22"/>
    </row>
    <row r="206" spans="1:9" x14ac:dyDescent="0.25">
      <c r="A206" s="22" t="b">
        <v>0</v>
      </c>
      <c r="B206" s="22" t="s">
        <v>907</v>
      </c>
      <c r="C206" s="34">
        <v>45828</v>
      </c>
      <c r="D206" s="22" t="s">
        <v>3404</v>
      </c>
      <c r="E206" s="22">
        <v>-80</v>
      </c>
      <c r="F206" s="28"/>
      <c r="G206" s="22" t="s">
        <v>489</v>
      </c>
      <c r="H206" s="22" t="s">
        <v>483</v>
      </c>
      <c r="I206" s="22"/>
    </row>
    <row r="207" spans="1:9" x14ac:dyDescent="0.25">
      <c r="A207" s="22" t="b">
        <v>0</v>
      </c>
      <c r="B207" s="22" t="s">
        <v>902</v>
      </c>
      <c r="C207" s="34">
        <v>45828</v>
      </c>
      <c r="D207" s="22" t="s">
        <v>3387</v>
      </c>
      <c r="E207" s="22">
        <v>-451.2</v>
      </c>
      <c r="F207" s="28"/>
      <c r="G207" s="22" t="s">
        <v>489</v>
      </c>
      <c r="H207" s="22" t="s">
        <v>483</v>
      </c>
      <c r="I207" s="22"/>
    </row>
    <row r="208" spans="1:9" x14ac:dyDescent="0.25">
      <c r="A208" s="22" t="b">
        <v>0</v>
      </c>
      <c r="B208" s="22" t="s">
        <v>895</v>
      </c>
      <c r="C208" s="34">
        <v>45829</v>
      </c>
      <c r="D208" s="22" t="s">
        <v>3405</v>
      </c>
      <c r="E208" s="22">
        <v>-455.99</v>
      </c>
      <c r="F208" s="28"/>
      <c r="G208" s="22" t="s">
        <v>489</v>
      </c>
      <c r="H208" s="22" t="s">
        <v>483</v>
      </c>
      <c r="I208" s="22"/>
    </row>
    <row r="209" spans="1:9" x14ac:dyDescent="0.25">
      <c r="A209" s="22" t="b">
        <v>0</v>
      </c>
      <c r="B209" s="22" t="s">
        <v>900</v>
      </c>
      <c r="C209" s="34">
        <v>45829</v>
      </c>
      <c r="D209" s="22" t="s">
        <v>3406</v>
      </c>
      <c r="E209" s="22">
        <v>-15.68</v>
      </c>
      <c r="F209" s="28"/>
      <c r="G209" s="22" t="s">
        <v>489</v>
      </c>
      <c r="H209" s="22" t="s">
        <v>483</v>
      </c>
      <c r="I209" s="22"/>
    </row>
    <row r="210" spans="1:9" x14ac:dyDescent="0.25">
      <c r="A210" s="22" t="b">
        <v>0</v>
      </c>
      <c r="B210" s="22" t="s">
        <v>894</v>
      </c>
      <c r="C210" s="34">
        <v>45829</v>
      </c>
      <c r="D210" s="22" t="s">
        <v>3401</v>
      </c>
      <c r="E210" s="22">
        <v>-9.5</v>
      </c>
      <c r="F210" s="28"/>
      <c r="G210" s="22" t="s">
        <v>489</v>
      </c>
      <c r="H210" s="22" t="s">
        <v>483</v>
      </c>
      <c r="I210" s="22"/>
    </row>
    <row r="211" spans="1:9" x14ac:dyDescent="0.25">
      <c r="A211" s="22" t="b">
        <v>0</v>
      </c>
      <c r="B211" s="22" t="s">
        <v>901</v>
      </c>
      <c r="C211" s="34">
        <v>45829</v>
      </c>
      <c r="D211" s="22" t="s">
        <v>351</v>
      </c>
      <c r="E211" s="22">
        <v>-15</v>
      </c>
      <c r="F211" s="28"/>
      <c r="G211" s="22" t="s">
        <v>489</v>
      </c>
      <c r="H211" s="22" t="s">
        <v>483</v>
      </c>
      <c r="I211" s="22"/>
    </row>
    <row r="212" spans="1:9" x14ac:dyDescent="0.25">
      <c r="A212" s="22" t="b">
        <v>0</v>
      </c>
      <c r="B212" s="22" t="s">
        <v>886</v>
      </c>
      <c r="C212" s="34">
        <v>45830</v>
      </c>
      <c r="D212" s="22" t="s">
        <v>3377</v>
      </c>
      <c r="E212" s="22">
        <v>-16.440000000000001</v>
      </c>
      <c r="F212" s="28">
        <v>-2.74</v>
      </c>
      <c r="G212" s="22" t="s">
        <v>489</v>
      </c>
      <c r="H212" s="22" t="s">
        <v>483</v>
      </c>
      <c r="I212" s="22"/>
    </row>
    <row r="213" spans="1:9" x14ac:dyDescent="0.25">
      <c r="A213" s="22" t="b">
        <v>0</v>
      </c>
      <c r="B213" s="22" t="s">
        <v>892</v>
      </c>
      <c r="C213" s="34">
        <v>45830</v>
      </c>
      <c r="D213" s="22" t="s">
        <v>3407</v>
      </c>
      <c r="E213" s="22">
        <v>-37</v>
      </c>
      <c r="F213" s="28"/>
      <c r="G213" s="22" t="s">
        <v>489</v>
      </c>
      <c r="H213" s="22" t="s">
        <v>483</v>
      </c>
      <c r="I213" s="22"/>
    </row>
    <row r="214" spans="1:9" x14ac:dyDescent="0.25">
      <c r="A214" s="22" t="b">
        <v>0</v>
      </c>
      <c r="B214" s="22" t="s">
        <v>887</v>
      </c>
      <c r="C214" s="34">
        <v>45830</v>
      </c>
      <c r="D214" s="22" t="s">
        <v>3401</v>
      </c>
      <c r="E214" s="22">
        <v>-8.5500000000000007</v>
      </c>
      <c r="F214" s="28"/>
      <c r="G214" s="22" t="s">
        <v>489</v>
      </c>
      <c r="H214" s="22" t="s">
        <v>483</v>
      </c>
      <c r="I214" s="22"/>
    </row>
    <row r="215" spans="1:9" x14ac:dyDescent="0.25">
      <c r="A215" s="22" t="b">
        <v>0</v>
      </c>
      <c r="B215" s="22" t="s">
        <v>891</v>
      </c>
      <c r="C215" s="34">
        <v>45830</v>
      </c>
      <c r="D215" s="22" t="s">
        <v>3408</v>
      </c>
      <c r="E215" s="22">
        <v>-4.99</v>
      </c>
      <c r="F215" s="28">
        <v>-0.83</v>
      </c>
      <c r="G215" s="22" t="s">
        <v>489</v>
      </c>
      <c r="H215" s="22" t="s">
        <v>483</v>
      </c>
      <c r="I215" s="22"/>
    </row>
    <row r="216" spans="1:9" x14ac:dyDescent="0.25">
      <c r="A216" s="22" t="b">
        <v>0</v>
      </c>
      <c r="B216" s="22" t="s">
        <v>881</v>
      </c>
      <c r="C216" s="34">
        <v>45831</v>
      </c>
      <c r="D216" s="22" t="s">
        <v>3388</v>
      </c>
      <c r="E216" s="22">
        <v>-2.5</v>
      </c>
      <c r="F216" s="28"/>
      <c r="G216" s="22" t="s">
        <v>489</v>
      </c>
      <c r="H216" s="22" t="s">
        <v>483</v>
      </c>
      <c r="I216" s="22"/>
    </row>
    <row r="217" spans="1:9" x14ac:dyDescent="0.25">
      <c r="A217" s="22" t="b">
        <v>0</v>
      </c>
      <c r="B217" s="22" t="s">
        <v>868</v>
      </c>
      <c r="C217" s="34">
        <v>45832</v>
      </c>
      <c r="D217" s="22" t="s">
        <v>3409</v>
      </c>
      <c r="E217" s="22">
        <v>-75.2</v>
      </c>
      <c r="F217" s="28"/>
      <c r="G217" s="22" t="s">
        <v>489</v>
      </c>
      <c r="H217" s="22" t="s">
        <v>483</v>
      </c>
      <c r="I217" s="22"/>
    </row>
    <row r="218" spans="1:9" x14ac:dyDescent="0.25">
      <c r="A218" s="22" t="b">
        <v>0</v>
      </c>
      <c r="B218" s="22" t="s">
        <v>864</v>
      </c>
      <c r="C218" s="34">
        <v>45833</v>
      </c>
      <c r="D218" s="22" t="s">
        <v>3410</v>
      </c>
      <c r="E218" s="22">
        <v>-41</v>
      </c>
      <c r="F218" s="28"/>
      <c r="G218" s="22" t="s">
        <v>489</v>
      </c>
      <c r="H218" s="22" t="s">
        <v>483</v>
      </c>
      <c r="I218" s="22"/>
    </row>
    <row r="219" spans="1:9" x14ac:dyDescent="0.25">
      <c r="A219" s="22" t="b">
        <v>0</v>
      </c>
      <c r="B219" s="22" t="s">
        <v>865</v>
      </c>
      <c r="C219" s="34">
        <v>45833</v>
      </c>
      <c r="D219" s="22" t="s">
        <v>3411</v>
      </c>
      <c r="E219" s="22">
        <v>-10.99</v>
      </c>
      <c r="F219" s="28"/>
      <c r="G219" s="22" t="s">
        <v>489</v>
      </c>
      <c r="H219" s="22" t="s">
        <v>483</v>
      </c>
      <c r="I219" s="22"/>
    </row>
    <row r="220" spans="1:9" x14ac:dyDescent="0.25">
      <c r="A220" s="22" t="b">
        <v>0</v>
      </c>
      <c r="B220" s="22" t="s">
        <v>861</v>
      </c>
      <c r="C220" s="34">
        <v>45833</v>
      </c>
      <c r="D220" s="22" t="s">
        <v>3412</v>
      </c>
      <c r="E220" s="22">
        <v>-1.65</v>
      </c>
      <c r="F220" s="28"/>
      <c r="G220" s="22" t="s">
        <v>489</v>
      </c>
      <c r="H220" s="22" t="s">
        <v>483</v>
      </c>
      <c r="I220" s="22"/>
    </row>
    <row r="221" spans="1:9" x14ac:dyDescent="0.25">
      <c r="A221" s="22" t="b">
        <v>0</v>
      </c>
      <c r="B221" s="22" t="s">
        <v>862</v>
      </c>
      <c r="C221" s="34">
        <v>45833</v>
      </c>
      <c r="D221" s="22" t="s">
        <v>3413</v>
      </c>
      <c r="E221" s="22">
        <v>-14.4</v>
      </c>
      <c r="F221" s="28"/>
      <c r="G221" s="22" t="s">
        <v>489</v>
      </c>
      <c r="H221" s="22" t="s">
        <v>483</v>
      </c>
      <c r="I221" s="22"/>
    </row>
    <row r="222" spans="1:9" x14ac:dyDescent="0.25">
      <c r="A222" s="22" t="b">
        <v>0</v>
      </c>
      <c r="B222" s="22" t="s">
        <v>852</v>
      </c>
      <c r="C222" s="34">
        <v>45834</v>
      </c>
      <c r="D222" s="22" t="s">
        <v>3414</v>
      </c>
      <c r="E222" s="22">
        <v>-12</v>
      </c>
      <c r="F222" s="28"/>
      <c r="G222" s="22" t="s">
        <v>489</v>
      </c>
      <c r="H222" s="22" t="s">
        <v>483</v>
      </c>
      <c r="I222" s="22"/>
    </row>
    <row r="223" spans="1:9" x14ac:dyDescent="0.25">
      <c r="A223" s="22" t="b">
        <v>0</v>
      </c>
      <c r="B223" s="22" t="s">
        <v>845</v>
      </c>
      <c r="C223" s="34">
        <v>45834</v>
      </c>
      <c r="D223" s="36" t="s">
        <v>3393</v>
      </c>
      <c r="E223" s="22">
        <v>-24.31</v>
      </c>
      <c r="F223" s="28"/>
      <c r="G223" s="22" t="s">
        <v>489</v>
      </c>
      <c r="H223" s="22" t="s">
        <v>483</v>
      </c>
      <c r="I223" s="22"/>
    </row>
    <row r="224" spans="1:9" x14ac:dyDescent="0.25">
      <c r="A224" s="22" t="b">
        <v>0</v>
      </c>
      <c r="B224" s="22" t="s">
        <v>857</v>
      </c>
      <c r="C224" s="34">
        <v>45834</v>
      </c>
      <c r="D224" s="22" t="s">
        <v>3415</v>
      </c>
      <c r="E224" s="22">
        <v>-11.7</v>
      </c>
      <c r="F224" s="28"/>
      <c r="G224" s="22" t="s">
        <v>489</v>
      </c>
      <c r="H224" s="22" t="s">
        <v>483</v>
      </c>
      <c r="I224" s="22"/>
    </row>
    <row r="225" spans="1:9" x14ac:dyDescent="0.25">
      <c r="A225" s="22" t="b">
        <v>0</v>
      </c>
      <c r="B225" s="22" t="s">
        <v>848</v>
      </c>
      <c r="C225" s="34">
        <v>45834</v>
      </c>
      <c r="D225" s="22" t="s">
        <v>3416</v>
      </c>
      <c r="E225" s="22">
        <v>-56.59</v>
      </c>
      <c r="F225" s="28"/>
      <c r="G225" s="22" t="s">
        <v>489</v>
      </c>
      <c r="H225" s="22" t="s">
        <v>483</v>
      </c>
      <c r="I225" s="22"/>
    </row>
    <row r="226" spans="1:9" x14ac:dyDescent="0.25">
      <c r="A226" s="22" t="b">
        <v>0</v>
      </c>
      <c r="B226" s="22" t="s">
        <v>849</v>
      </c>
      <c r="C226" s="34">
        <v>45834</v>
      </c>
      <c r="D226" s="22" t="s">
        <v>3412</v>
      </c>
      <c r="E226" s="22">
        <v>-1.35</v>
      </c>
      <c r="F226" s="28"/>
      <c r="G226" s="22" t="s">
        <v>489</v>
      </c>
      <c r="H226" s="22" t="s">
        <v>483</v>
      </c>
      <c r="I226" s="22"/>
    </row>
    <row r="227" spans="1:9" x14ac:dyDescent="0.25">
      <c r="A227" s="22" t="b">
        <v>0</v>
      </c>
      <c r="B227" s="22" t="s">
        <v>856</v>
      </c>
      <c r="C227" s="34">
        <v>45834</v>
      </c>
      <c r="D227" s="22" t="s">
        <v>3417</v>
      </c>
      <c r="E227" s="22">
        <v>-159.82</v>
      </c>
      <c r="F227" s="22">
        <v>-26.64</v>
      </c>
      <c r="G227" s="22" t="s">
        <v>489</v>
      </c>
      <c r="H227" s="22" t="s">
        <v>483</v>
      </c>
      <c r="I227" s="22"/>
    </row>
    <row r="228" spans="1:9" x14ac:dyDescent="0.25">
      <c r="A228" s="22" t="b">
        <v>0</v>
      </c>
      <c r="B228" s="22" t="s">
        <v>2342</v>
      </c>
      <c r="C228" s="34">
        <v>45835</v>
      </c>
      <c r="D228" s="22" t="s">
        <v>3320</v>
      </c>
      <c r="E228" s="22">
        <v>-41.99</v>
      </c>
      <c r="F228" s="28">
        <v>-7</v>
      </c>
      <c r="G228" s="22" t="s">
        <v>489</v>
      </c>
      <c r="H228" s="22" t="s">
        <v>483</v>
      </c>
      <c r="I228" s="22"/>
    </row>
    <row r="229" spans="1:9" x14ac:dyDescent="0.25">
      <c r="A229" s="22" t="b">
        <v>0</v>
      </c>
      <c r="B229" s="22" t="s">
        <v>827</v>
      </c>
      <c r="C229" s="34">
        <v>45837</v>
      </c>
      <c r="D229" s="22" t="s">
        <v>3418</v>
      </c>
      <c r="E229" s="22">
        <v>-143.1</v>
      </c>
      <c r="F229" s="28"/>
      <c r="G229" s="22" t="s">
        <v>489</v>
      </c>
      <c r="H229" s="22" t="s">
        <v>483</v>
      </c>
      <c r="I229" s="22"/>
    </row>
    <row r="230" spans="1:9" x14ac:dyDescent="0.25">
      <c r="A230" s="22" t="b">
        <v>0</v>
      </c>
      <c r="B230" s="22" t="s">
        <v>826</v>
      </c>
      <c r="C230" s="34">
        <v>45837</v>
      </c>
      <c r="D230" s="22" t="s">
        <v>3401</v>
      </c>
      <c r="E230" s="22">
        <v>-9.5</v>
      </c>
      <c r="F230" s="28"/>
      <c r="G230" s="22" t="s">
        <v>489</v>
      </c>
      <c r="H230" s="22" t="s">
        <v>483</v>
      </c>
      <c r="I230" s="22"/>
    </row>
    <row r="231" spans="1:9" x14ac:dyDescent="0.25">
      <c r="A231" s="22" t="b">
        <v>0</v>
      </c>
      <c r="B231" s="22" t="s">
        <v>1935</v>
      </c>
      <c r="C231" s="34">
        <v>45837</v>
      </c>
      <c r="D231" s="22" t="s">
        <v>3419</v>
      </c>
      <c r="E231" s="22">
        <v>112.3</v>
      </c>
      <c r="G231" s="22" t="s">
        <v>482</v>
      </c>
      <c r="H231" s="22" t="s">
        <v>483</v>
      </c>
      <c r="I231" s="22"/>
    </row>
    <row r="232" spans="1:9" x14ac:dyDescent="0.25">
      <c r="A232" s="22" t="b">
        <v>0</v>
      </c>
      <c r="B232" s="22" t="s">
        <v>817</v>
      </c>
      <c r="C232" s="34">
        <v>45838</v>
      </c>
      <c r="D232" s="22" t="s">
        <v>3388</v>
      </c>
      <c r="E232" s="22">
        <v>-2.5</v>
      </c>
      <c r="F232" s="28"/>
      <c r="G232" s="22" t="s">
        <v>489</v>
      </c>
      <c r="H232" s="22" t="s">
        <v>483</v>
      </c>
      <c r="I232" s="22"/>
    </row>
    <row r="233" spans="1:9" x14ac:dyDescent="0.25">
      <c r="A233" s="22" t="b">
        <v>0</v>
      </c>
      <c r="B233" s="22" t="s">
        <v>812</v>
      </c>
      <c r="C233" s="34">
        <v>45838</v>
      </c>
      <c r="D233" s="22" t="s">
        <v>3377</v>
      </c>
      <c r="E233" s="22">
        <v>-27.02</v>
      </c>
      <c r="F233" s="28">
        <v>-4.5</v>
      </c>
      <c r="G233" s="22" t="s">
        <v>489</v>
      </c>
      <c r="H233" s="22" t="s">
        <v>483</v>
      </c>
      <c r="I233" s="22"/>
    </row>
    <row r="234" spans="1:9" x14ac:dyDescent="0.25">
      <c r="A234" s="22" t="b">
        <v>0</v>
      </c>
      <c r="B234" s="22" t="s">
        <v>807</v>
      </c>
      <c r="C234" s="34">
        <v>45839</v>
      </c>
      <c r="D234" s="22" t="s">
        <v>382</v>
      </c>
      <c r="E234" s="22">
        <v>-20</v>
      </c>
      <c r="F234" s="28">
        <v>-3.33</v>
      </c>
      <c r="G234" s="22" t="s">
        <v>489</v>
      </c>
      <c r="H234" s="22" t="s">
        <v>483</v>
      </c>
      <c r="I234" s="22"/>
    </row>
    <row r="235" spans="1:9" x14ac:dyDescent="0.25">
      <c r="A235" s="22" t="b">
        <v>0</v>
      </c>
      <c r="B235" s="22" t="s">
        <v>800</v>
      </c>
      <c r="C235" s="34">
        <v>45839</v>
      </c>
      <c r="D235" s="22" t="s">
        <v>3420</v>
      </c>
      <c r="E235" s="22">
        <v>-20</v>
      </c>
      <c r="F235" s="28"/>
      <c r="G235" s="22" t="s">
        <v>489</v>
      </c>
      <c r="H235" s="22" t="s">
        <v>483</v>
      </c>
      <c r="I235" s="22"/>
    </row>
    <row r="236" spans="1:9" x14ac:dyDescent="0.25">
      <c r="A236" s="22" t="b">
        <v>0</v>
      </c>
      <c r="B236" s="22" t="s">
        <v>808</v>
      </c>
      <c r="C236" s="34">
        <v>45839</v>
      </c>
      <c r="D236" s="22" t="s">
        <v>3399</v>
      </c>
      <c r="E236" s="22">
        <v>-49.98</v>
      </c>
      <c r="F236" s="28"/>
      <c r="G236" s="22" t="s">
        <v>489</v>
      </c>
      <c r="H236" s="22" t="s">
        <v>483</v>
      </c>
      <c r="I236" s="22"/>
    </row>
    <row r="237" spans="1:9" x14ac:dyDescent="0.25">
      <c r="A237" s="22" t="b">
        <v>0</v>
      </c>
      <c r="B237" s="22" t="s">
        <v>792</v>
      </c>
      <c r="C237" s="34">
        <v>45840</v>
      </c>
      <c r="D237" s="22" t="s">
        <v>3421</v>
      </c>
      <c r="E237" s="22">
        <v>-88.19</v>
      </c>
      <c r="F237" s="28"/>
      <c r="G237" s="22" t="s">
        <v>489</v>
      </c>
      <c r="H237" s="22" t="s">
        <v>483</v>
      </c>
      <c r="I237" s="22"/>
    </row>
    <row r="238" spans="1:9" x14ac:dyDescent="0.25">
      <c r="A238" s="22" t="b">
        <v>0</v>
      </c>
      <c r="B238" s="22" t="s">
        <v>795</v>
      </c>
      <c r="C238" s="34">
        <v>45840</v>
      </c>
      <c r="D238" s="22" t="s">
        <v>3422</v>
      </c>
      <c r="E238" s="22">
        <v>-31.75</v>
      </c>
      <c r="F238" s="28"/>
      <c r="G238" s="22" t="s">
        <v>489</v>
      </c>
      <c r="H238" s="22" t="s">
        <v>483</v>
      </c>
      <c r="I238" s="22"/>
    </row>
    <row r="239" spans="1:9" x14ac:dyDescent="0.25">
      <c r="A239" s="22" t="b">
        <v>0</v>
      </c>
      <c r="B239" s="22" t="s">
        <v>796</v>
      </c>
      <c r="C239" s="34">
        <v>45840</v>
      </c>
      <c r="D239" s="22" t="s">
        <v>3378</v>
      </c>
      <c r="E239" s="22">
        <v>-6</v>
      </c>
      <c r="F239" s="28"/>
      <c r="G239" s="22" t="s">
        <v>489</v>
      </c>
      <c r="H239" s="22" t="s">
        <v>483</v>
      </c>
      <c r="I239" s="22"/>
    </row>
    <row r="240" spans="1:9" x14ac:dyDescent="0.25">
      <c r="A240" s="22" t="b">
        <v>0</v>
      </c>
      <c r="B240" s="22" t="s">
        <v>780</v>
      </c>
      <c r="C240" s="34">
        <v>45841</v>
      </c>
      <c r="D240" s="22" t="s">
        <v>3346</v>
      </c>
      <c r="E240" s="22">
        <v>-500.2</v>
      </c>
      <c r="F240" s="28"/>
      <c r="G240" s="22" t="s">
        <v>489</v>
      </c>
      <c r="H240" s="22" t="s">
        <v>483</v>
      </c>
      <c r="I240" s="22"/>
    </row>
    <row r="241" spans="1:9" x14ac:dyDescent="0.25">
      <c r="A241" s="22" t="b">
        <v>0</v>
      </c>
      <c r="B241" s="22" t="s">
        <v>788</v>
      </c>
      <c r="C241" s="34">
        <v>45841</v>
      </c>
      <c r="D241" s="22" t="s">
        <v>3423</v>
      </c>
      <c r="E241" s="22">
        <v>-6.99</v>
      </c>
      <c r="F241" s="28"/>
      <c r="G241" s="22" t="s">
        <v>489</v>
      </c>
      <c r="H241" s="22" t="s">
        <v>483</v>
      </c>
      <c r="I241" s="22"/>
    </row>
    <row r="242" spans="1:9" x14ac:dyDescent="0.25">
      <c r="A242" s="22" t="b">
        <v>0</v>
      </c>
      <c r="B242" s="22" t="s">
        <v>769</v>
      </c>
      <c r="C242" s="34">
        <v>45842</v>
      </c>
      <c r="D242" s="22" t="s">
        <v>3401</v>
      </c>
      <c r="E242" s="22">
        <v>-9.5</v>
      </c>
      <c r="F242" s="28"/>
      <c r="G242" s="22" t="s">
        <v>489</v>
      </c>
      <c r="H242" s="22" t="s">
        <v>483</v>
      </c>
      <c r="I242" s="22"/>
    </row>
    <row r="243" spans="1:9" x14ac:dyDescent="0.25">
      <c r="A243" s="22" t="b">
        <v>0</v>
      </c>
      <c r="B243" s="22" t="s">
        <v>770</v>
      </c>
      <c r="C243" s="34">
        <v>45842</v>
      </c>
      <c r="D243" s="22" t="s">
        <v>191</v>
      </c>
      <c r="E243" s="22">
        <v>-140</v>
      </c>
      <c r="F243" s="28"/>
      <c r="G243" s="22" t="s">
        <v>489</v>
      </c>
      <c r="H243" s="22" t="s">
        <v>483</v>
      </c>
      <c r="I243" s="22"/>
    </row>
    <row r="244" spans="1:9" x14ac:dyDescent="0.25">
      <c r="A244" s="22" t="b">
        <v>0</v>
      </c>
      <c r="B244" s="22" t="s">
        <v>2341</v>
      </c>
      <c r="C244" s="34">
        <v>45842</v>
      </c>
      <c r="D244" s="22" t="s">
        <v>3424</v>
      </c>
      <c r="E244" s="22">
        <v>-650.20000000000005</v>
      </c>
      <c r="F244" s="28">
        <v>-108.37</v>
      </c>
      <c r="G244" s="22" t="s">
        <v>489</v>
      </c>
      <c r="H244" s="22" t="s">
        <v>483</v>
      </c>
      <c r="I244" s="22"/>
    </row>
    <row r="245" spans="1:9" x14ac:dyDescent="0.25">
      <c r="A245" s="22" t="b">
        <v>0</v>
      </c>
      <c r="B245" s="22" t="s">
        <v>753</v>
      </c>
      <c r="C245" s="34">
        <v>45843</v>
      </c>
      <c r="D245" s="22" t="s">
        <v>3377</v>
      </c>
      <c r="E245" s="22">
        <v>-40.94</v>
      </c>
      <c r="F245" s="28">
        <v>-6.82</v>
      </c>
      <c r="G245" s="22" t="s">
        <v>489</v>
      </c>
      <c r="H245" s="22" t="s">
        <v>483</v>
      </c>
      <c r="I245" s="22"/>
    </row>
    <row r="246" spans="1:9" x14ac:dyDescent="0.25">
      <c r="A246" s="22" t="b">
        <v>0</v>
      </c>
      <c r="B246" s="22" t="s">
        <v>757</v>
      </c>
      <c r="C246" s="34">
        <v>45843</v>
      </c>
      <c r="D246" s="22" t="s">
        <v>3425</v>
      </c>
      <c r="E246" s="22">
        <v>-21.18</v>
      </c>
      <c r="F246" s="28"/>
      <c r="G246" s="22" t="s">
        <v>489</v>
      </c>
      <c r="H246" s="22" t="s">
        <v>483</v>
      </c>
      <c r="I246" s="22"/>
    </row>
    <row r="247" spans="1:9" x14ac:dyDescent="0.25">
      <c r="A247" s="22" t="b">
        <v>0</v>
      </c>
      <c r="B247" s="22" t="s">
        <v>754</v>
      </c>
      <c r="C247" s="34">
        <v>45843</v>
      </c>
      <c r="D247" s="22" t="s">
        <v>3401</v>
      </c>
      <c r="E247" s="22">
        <v>-5.25</v>
      </c>
      <c r="F247" s="28"/>
      <c r="G247" s="22" t="s">
        <v>489</v>
      </c>
      <c r="H247" s="22" t="s">
        <v>483</v>
      </c>
      <c r="I247" s="22"/>
    </row>
    <row r="248" spans="1:9" x14ac:dyDescent="0.25">
      <c r="A248" s="22" t="b">
        <v>0</v>
      </c>
      <c r="B248" s="22" t="s">
        <v>764</v>
      </c>
      <c r="C248" s="34">
        <v>45843</v>
      </c>
      <c r="D248" s="22" t="s">
        <v>416</v>
      </c>
      <c r="E248" s="22">
        <v>-151.66</v>
      </c>
      <c r="F248" s="28"/>
      <c r="G248" s="22" t="s">
        <v>489</v>
      </c>
      <c r="H248" s="22" t="s">
        <v>483</v>
      </c>
      <c r="I248" s="22"/>
    </row>
    <row r="249" spans="1:9" x14ac:dyDescent="0.25">
      <c r="A249" s="22" t="b">
        <v>0</v>
      </c>
      <c r="B249" s="22" t="s">
        <v>751</v>
      </c>
      <c r="C249" s="34">
        <v>45844</v>
      </c>
      <c r="D249" s="22" t="s">
        <v>3336</v>
      </c>
      <c r="E249" s="22">
        <v>-36.01</v>
      </c>
      <c r="F249" s="28"/>
      <c r="G249" s="22" t="s">
        <v>489</v>
      </c>
      <c r="H249" s="22" t="s">
        <v>483</v>
      </c>
      <c r="I249" s="22"/>
    </row>
    <row r="250" spans="1:9" x14ac:dyDescent="0.25">
      <c r="A250" s="22" t="b">
        <v>0</v>
      </c>
      <c r="B250" s="22" t="s">
        <v>745</v>
      </c>
      <c r="C250" s="34">
        <v>45844</v>
      </c>
      <c r="D250" s="22" t="s">
        <v>3402</v>
      </c>
      <c r="E250" s="22">
        <v>-41.07</v>
      </c>
      <c r="F250" s="28"/>
      <c r="G250" s="22" t="s">
        <v>489</v>
      </c>
      <c r="H250" s="22" t="s">
        <v>483</v>
      </c>
      <c r="I250" s="22"/>
    </row>
    <row r="251" spans="1:9" x14ac:dyDescent="0.25">
      <c r="A251" s="22" t="b">
        <v>0</v>
      </c>
      <c r="B251" s="22" t="s">
        <v>744</v>
      </c>
      <c r="C251" s="34">
        <v>45845</v>
      </c>
      <c r="D251" s="36" t="s">
        <v>3300</v>
      </c>
      <c r="E251" s="22">
        <v>-2.5</v>
      </c>
      <c r="F251" s="28"/>
      <c r="G251" s="22" t="s">
        <v>489</v>
      </c>
      <c r="H251" s="22" t="s">
        <v>483</v>
      </c>
      <c r="I251" s="22"/>
    </row>
    <row r="252" spans="1:9" x14ac:dyDescent="0.25">
      <c r="A252" s="22" t="b">
        <v>0</v>
      </c>
      <c r="B252" s="22" t="s">
        <v>732</v>
      </c>
      <c r="C252" s="34">
        <v>45846</v>
      </c>
      <c r="D252" s="22" t="s">
        <v>3377</v>
      </c>
      <c r="E252" s="22">
        <v>-16.350000000000001</v>
      </c>
      <c r="F252" s="28">
        <v>-2.72</v>
      </c>
      <c r="G252" s="22" t="s">
        <v>489</v>
      </c>
      <c r="H252" s="22" t="s">
        <v>483</v>
      </c>
      <c r="I252" s="22"/>
    </row>
    <row r="253" spans="1:9" x14ac:dyDescent="0.25">
      <c r="A253" s="22" t="b">
        <v>0</v>
      </c>
      <c r="B253" s="22" t="s">
        <v>725</v>
      </c>
      <c r="C253" s="34">
        <v>45846</v>
      </c>
      <c r="D253" s="22" t="s">
        <v>3426</v>
      </c>
      <c r="E253" s="22">
        <v>-33.130000000000003</v>
      </c>
      <c r="F253" s="28"/>
      <c r="G253" s="22" t="s">
        <v>489</v>
      </c>
      <c r="H253" s="22" t="s">
        <v>483</v>
      </c>
      <c r="I253" s="22"/>
    </row>
    <row r="254" spans="1:9" x14ac:dyDescent="0.25">
      <c r="A254" s="22" t="b">
        <v>0</v>
      </c>
      <c r="B254" s="22" t="s">
        <v>2302</v>
      </c>
      <c r="C254" s="34">
        <v>45846</v>
      </c>
      <c r="D254" s="22" t="s">
        <v>3325</v>
      </c>
      <c r="E254" s="22">
        <v>-10</v>
      </c>
      <c r="F254" s="28"/>
      <c r="G254" s="22" t="s">
        <v>489</v>
      </c>
      <c r="H254" s="22" t="s">
        <v>483</v>
      </c>
      <c r="I254" s="22"/>
    </row>
    <row r="255" spans="1:9" x14ac:dyDescent="0.25">
      <c r="A255" s="22" t="b">
        <v>0</v>
      </c>
      <c r="B255" s="22" t="s">
        <v>728</v>
      </c>
      <c r="C255" s="34">
        <v>45846</v>
      </c>
      <c r="D255" s="22" t="s">
        <v>3402</v>
      </c>
      <c r="E255" s="22">
        <v>-64.900000000000006</v>
      </c>
      <c r="F255" s="28"/>
      <c r="G255" s="22" t="s">
        <v>489</v>
      </c>
      <c r="H255" s="22" t="s">
        <v>483</v>
      </c>
      <c r="I255" s="22"/>
    </row>
    <row r="256" spans="1:9" x14ac:dyDescent="0.25">
      <c r="A256" s="22" t="b">
        <v>0</v>
      </c>
      <c r="B256" s="22" t="s">
        <v>722</v>
      </c>
      <c r="C256" s="34">
        <v>45847</v>
      </c>
      <c r="D256" s="22" t="s">
        <v>3294</v>
      </c>
      <c r="E256" s="22">
        <v>-12</v>
      </c>
      <c r="F256" s="28">
        <v>-2</v>
      </c>
      <c r="G256" s="22" t="s">
        <v>489</v>
      </c>
      <c r="H256" s="22" t="s">
        <v>483</v>
      </c>
      <c r="I256" s="22"/>
    </row>
    <row r="257" spans="1:9" x14ac:dyDescent="0.25">
      <c r="A257" s="22" t="b">
        <v>0</v>
      </c>
      <c r="B257" s="22" t="s">
        <v>724</v>
      </c>
      <c r="C257" s="34">
        <v>45847</v>
      </c>
      <c r="D257" s="22" t="s">
        <v>3401</v>
      </c>
      <c r="E257" s="22">
        <v>-12.25</v>
      </c>
      <c r="F257" s="28"/>
      <c r="G257" s="22" t="s">
        <v>489</v>
      </c>
      <c r="H257" s="22" t="s">
        <v>483</v>
      </c>
      <c r="I257" s="22"/>
    </row>
    <row r="258" spans="1:9" x14ac:dyDescent="0.25">
      <c r="A258" s="22" t="b">
        <v>0</v>
      </c>
      <c r="B258" s="22" t="s">
        <v>2296</v>
      </c>
      <c r="C258" s="34">
        <v>45847</v>
      </c>
      <c r="D258" s="22" t="s">
        <v>3427</v>
      </c>
      <c r="E258" s="22">
        <v>-1973.74</v>
      </c>
      <c r="F258" s="28"/>
      <c r="G258" s="22" t="s">
        <v>489</v>
      </c>
      <c r="H258" s="22" t="s">
        <v>483</v>
      </c>
      <c r="I258" s="22"/>
    </row>
    <row r="259" spans="1:9" x14ac:dyDescent="0.25">
      <c r="A259" s="22" t="b">
        <v>0</v>
      </c>
      <c r="B259" s="22" t="s">
        <v>715</v>
      </c>
      <c r="C259" s="34">
        <v>45849</v>
      </c>
      <c r="D259" s="22" t="s">
        <v>3392</v>
      </c>
      <c r="E259" s="22">
        <v>-37.46</v>
      </c>
      <c r="F259" s="28">
        <v>-6.24</v>
      </c>
      <c r="G259" s="22" t="s">
        <v>489</v>
      </c>
      <c r="H259" s="22" t="s">
        <v>483</v>
      </c>
      <c r="I259" s="22"/>
    </row>
    <row r="260" spans="1:9" x14ac:dyDescent="0.25">
      <c r="A260" s="22" t="b">
        <v>0</v>
      </c>
      <c r="B260" s="22" t="s">
        <v>714</v>
      </c>
      <c r="C260" s="34">
        <v>45849</v>
      </c>
      <c r="D260" s="22" t="s">
        <v>3428</v>
      </c>
      <c r="E260" s="22">
        <v>-420</v>
      </c>
      <c r="F260" s="28"/>
      <c r="G260" s="22" t="s">
        <v>489</v>
      </c>
      <c r="H260" s="22" t="s">
        <v>483</v>
      </c>
      <c r="I260" s="22"/>
    </row>
    <row r="261" spans="1:9" x14ac:dyDescent="0.25">
      <c r="A261" s="22" t="b">
        <v>0</v>
      </c>
      <c r="B261" s="22" t="s">
        <v>707</v>
      </c>
      <c r="C261" s="34">
        <v>45849</v>
      </c>
      <c r="D261" s="22" t="s">
        <v>3346</v>
      </c>
      <c r="E261" s="22">
        <v>-302.5</v>
      </c>
      <c r="F261" s="28"/>
      <c r="G261" s="22" t="s">
        <v>489</v>
      </c>
      <c r="H261" s="22" t="s">
        <v>483</v>
      </c>
      <c r="I261" s="22"/>
    </row>
    <row r="262" spans="1:9" x14ac:dyDescent="0.25">
      <c r="A262" s="22" t="b">
        <v>0</v>
      </c>
      <c r="B262" s="22" t="s">
        <v>713</v>
      </c>
      <c r="C262" s="34">
        <v>45849</v>
      </c>
      <c r="D262" s="22" t="s">
        <v>3337</v>
      </c>
      <c r="E262" s="22">
        <v>-24.44</v>
      </c>
      <c r="F262" s="28">
        <v>-4.07</v>
      </c>
      <c r="G262" s="22" t="s">
        <v>489</v>
      </c>
      <c r="H262" s="22" t="s">
        <v>483</v>
      </c>
      <c r="I262" s="22"/>
    </row>
    <row r="263" spans="1:9" x14ac:dyDescent="0.25">
      <c r="A263" s="22" t="b">
        <v>0</v>
      </c>
      <c r="B263" s="22" t="s">
        <v>709</v>
      </c>
      <c r="C263" s="34">
        <v>45849</v>
      </c>
      <c r="D263" s="22" t="s">
        <v>283</v>
      </c>
      <c r="E263" s="22">
        <v>-29.31</v>
      </c>
      <c r="F263" s="28"/>
      <c r="G263" s="22" t="s">
        <v>489</v>
      </c>
      <c r="H263" s="22" t="s">
        <v>483</v>
      </c>
      <c r="I263" s="22"/>
    </row>
    <row r="264" spans="1:9" x14ac:dyDescent="0.25">
      <c r="A264" s="22" t="b">
        <v>0</v>
      </c>
      <c r="B264" s="22" t="s">
        <v>700</v>
      </c>
      <c r="C264" s="34">
        <v>45850</v>
      </c>
      <c r="D264" s="22" t="s">
        <v>3429</v>
      </c>
      <c r="E264" s="22">
        <v>-99</v>
      </c>
      <c r="F264" s="28"/>
      <c r="G264" s="22" t="s">
        <v>489</v>
      </c>
      <c r="H264" s="22" t="s">
        <v>483</v>
      </c>
      <c r="I264" s="22"/>
    </row>
    <row r="265" spans="1:9" x14ac:dyDescent="0.25">
      <c r="A265" s="22" t="b">
        <v>0</v>
      </c>
      <c r="B265" s="22" t="s">
        <v>697</v>
      </c>
      <c r="C265" s="34">
        <v>45850</v>
      </c>
      <c r="D265" s="22" t="s">
        <v>3430</v>
      </c>
      <c r="E265" s="22">
        <v>-401</v>
      </c>
      <c r="F265" s="28"/>
      <c r="G265" s="22" t="s">
        <v>489</v>
      </c>
      <c r="H265" s="22" t="s">
        <v>483</v>
      </c>
      <c r="I265" s="22"/>
    </row>
    <row r="266" spans="1:9" x14ac:dyDescent="0.25">
      <c r="A266" s="22" t="b">
        <v>0</v>
      </c>
      <c r="B266" s="22" t="s">
        <v>704</v>
      </c>
      <c r="C266" s="34">
        <v>45850</v>
      </c>
      <c r="D266" s="22" t="s">
        <v>47</v>
      </c>
      <c r="E266" s="22">
        <v>-12</v>
      </c>
      <c r="F266" s="28"/>
      <c r="G266" s="22" t="s">
        <v>489</v>
      </c>
      <c r="H266" s="22" t="s">
        <v>483</v>
      </c>
      <c r="I266" s="22"/>
    </row>
    <row r="267" spans="1:9" x14ac:dyDescent="0.25">
      <c r="A267" s="22" t="b">
        <v>0</v>
      </c>
      <c r="B267" s="22" t="s">
        <v>2340</v>
      </c>
      <c r="C267" s="34">
        <v>45850</v>
      </c>
      <c r="D267" s="22" t="s">
        <v>3431</v>
      </c>
      <c r="E267" s="22">
        <v>-300.2</v>
      </c>
      <c r="F267" s="28"/>
      <c r="G267" s="22" t="s">
        <v>489</v>
      </c>
      <c r="H267" s="22" t="s">
        <v>483</v>
      </c>
      <c r="I267" s="22"/>
    </row>
    <row r="268" spans="1:9" x14ac:dyDescent="0.25">
      <c r="A268" s="22" t="b">
        <v>0</v>
      </c>
      <c r="B268" s="22" t="s">
        <v>699</v>
      </c>
      <c r="C268" s="34">
        <v>45850</v>
      </c>
      <c r="D268" s="22" t="s">
        <v>3432</v>
      </c>
      <c r="E268" s="22">
        <v>-26.59</v>
      </c>
      <c r="F268" s="28"/>
      <c r="G268" s="22" t="s">
        <v>489</v>
      </c>
      <c r="H268" s="22" t="s">
        <v>483</v>
      </c>
      <c r="I268" s="22"/>
    </row>
    <row r="269" spans="1:9" x14ac:dyDescent="0.25">
      <c r="A269" s="22" t="b">
        <v>0</v>
      </c>
      <c r="B269" s="22" t="s">
        <v>688</v>
      </c>
      <c r="C269" s="34">
        <v>45851</v>
      </c>
      <c r="D269" s="22" t="s">
        <v>3342</v>
      </c>
      <c r="E269" s="22">
        <v>-56.98</v>
      </c>
      <c r="F269" s="28"/>
      <c r="G269" s="22" t="s">
        <v>489</v>
      </c>
      <c r="H269" s="22" t="s">
        <v>483</v>
      </c>
      <c r="I269" s="22"/>
    </row>
    <row r="270" spans="1:9" x14ac:dyDescent="0.25">
      <c r="A270" s="22" t="b">
        <v>0</v>
      </c>
      <c r="B270" s="22" t="s">
        <v>695</v>
      </c>
      <c r="C270" s="34">
        <v>45851</v>
      </c>
      <c r="D270" s="22" t="s">
        <v>3433</v>
      </c>
      <c r="E270" s="22">
        <v>-12</v>
      </c>
      <c r="F270" s="28"/>
      <c r="G270" s="22" t="s">
        <v>489</v>
      </c>
      <c r="H270" s="22" t="s">
        <v>483</v>
      </c>
      <c r="I270" s="22"/>
    </row>
    <row r="271" spans="1:9" x14ac:dyDescent="0.25">
      <c r="A271" s="22" t="b">
        <v>0</v>
      </c>
      <c r="B271" s="22" t="s">
        <v>676</v>
      </c>
      <c r="C271" s="34">
        <v>45853</v>
      </c>
      <c r="D271" s="22" t="s">
        <v>3434</v>
      </c>
      <c r="E271" s="22">
        <v>-16.100000000000001</v>
      </c>
      <c r="F271" s="28"/>
      <c r="G271" s="22" t="s">
        <v>489</v>
      </c>
      <c r="H271" s="22" t="s">
        <v>483</v>
      </c>
      <c r="I271" s="22"/>
    </row>
    <row r="272" spans="1:9" x14ac:dyDescent="0.25">
      <c r="A272" s="22" t="b">
        <v>0</v>
      </c>
      <c r="B272" s="22" t="s">
        <v>675</v>
      </c>
      <c r="C272" s="34">
        <v>45853</v>
      </c>
      <c r="D272" s="22" t="s">
        <v>3333</v>
      </c>
      <c r="E272" s="22">
        <v>-29.99</v>
      </c>
      <c r="F272" s="28"/>
      <c r="G272" s="22" t="s">
        <v>489</v>
      </c>
      <c r="H272" s="22" t="s">
        <v>483</v>
      </c>
      <c r="I272" s="22"/>
    </row>
    <row r="273" spans="1:9" x14ac:dyDescent="0.25">
      <c r="A273" s="22" t="b">
        <v>0</v>
      </c>
      <c r="B273" s="22" t="s">
        <v>659</v>
      </c>
      <c r="C273" s="34">
        <v>45854</v>
      </c>
      <c r="D273" s="36" t="s">
        <v>3435</v>
      </c>
      <c r="E273" s="22">
        <v>-235.87</v>
      </c>
      <c r="F273" s="28"/>
      <c r="G273" s="22" t="s">
        <v>489</v>
      </c>
      <c r="H273" s="22" t="s">
        <v>483</v>
      </c>
      <c r="I273" s="22"/>
    </row>
    <row r="274" spans="1:9" x14ac:dyDescent="0.25">
      <c r="A274" s="22" t="b">
        <v>0</v>
      </c>
      <c r="B274" s="22" t="s">
        <v>660</v>
      </c>
      <c r="C274" s="34">
        <v>45854</v>
      </c>
      <c r="D274" s="36" t="s">
        <v>3435</v>
      </c>
      <c r="E274" s="22">
        <v>-235.87</v>
      </c>
      <c r="F274" s="28"/>
      <c r="G274" s="22" t="s">
        <v>489</v>
      </c>
      <c r="H274" s="22" t="s">
        <v>483</v>
      </c>
      <c r="I274" s="22"/>
    </row>
    <row r="275" spans="1:9" x14ac:dyDescent="0.25">
      <c r="A275" s="22" t="b">
        <v>0</v>
      </c>
      <c r="B275" s="22" t="s">
        <v>669</v>
      </c>
      <c r="C275" s="34">
        <v>45854</v>
      </c>
      <c r="D275" s="22" t="s">
        <v>3411</v>
      </c>
      <c r="E275" s="22">
        <v>-10.99</v>
      </c>
      <c r="F275" s="28"/>
      <c r="G275" s="22" t="s">
        <v>489</v>
      </c>
      <c r="H275" s="22" t="s">
        <v>483</v>
      </c>
      <c r="I275" s="22"/>
    </row>
    <row r="276" spans="1:9" x14ac:dyDescent="0.25">
      <c r="A276" s="22" t="b">
        <v>0</v>
      </c>
      <c r="B276" s="22" t="s">
        <v>663</v>
      </c>
      <c r="C276" s="34">
        <v>45854</v>
      </c>
      <c r="D276" s="22" t="s">
        <v>3436</v>
      </c>
      <c r="E276" s="22">
        <v>-179.95</v>
      </c>
      <c r="F276" s="28"/>
      <c r="G276" s="22" t="s">
        <v>489</v>
      </c>
      <c r="H276" s="22" t="s">
        <v>483</v>
      </c>
      <c r="I276" s="22"/>
    </row>
    <row r="277" spans="1:9" x14ac:dyDescent="0.25">
      <c r="A277" s="22" t="b">
        <v>0</v>
      </c>
      <c r="B277" s="22" t="s">
        <v>668</v>
      </c>
      <c r="C277" s="34">
        <v>45854</v>
      </c>
      <c r="D277" s="22" t="s">
        <v>3437</v>
      </c>
      <c r="E277" s="22">
        <v>-13</v>
      </c>
      <c r="F277" s="28"/>
      <c r="G277" s="22" t="s">
        <v>489</v>
      </c>
      <c r="H277" s="22" t="s">
        <v>483</v>
      </c>
      <c r="I277" s="22"/>
    </row>
    <row r="278" spans="1:9" x14ac:dyDescent="0.25">
      <c r="A278" s="22" t="b">
        <v>0</v>
      </c>
      <c r="B278" s="22" t="s">
        <v>658</v>
      </c>
      <c r="C278" s="34">
        <v>45854</v>
      </c>
      <c r="D278" s="22" t="s">
        <v>3346</v>
      </c>
      <c r="E278" s="22">
        <v>-286.2</v>
      </c>
      <c r="F278" s="28"/>
      <c r="G278" s="22" t="s">
        <v>489</v>
      </c>
      <c r="H278" s="22" t="s">
        <v>483</v>
      </c>
      <c r="I278" s="22"/>
    </row>
    <row r="279" spans="1:9" x14ac:dyDescent="0.25">
      <c r="A279" s="22" t="b">
        <v>0</v>
      </c>
      <c r="B279" s="22" t="s">
        <v>661</v>
      </c>
      <c r="C279" s="34">
        <v>45854</v>
      </c>
      <c r="D279" s="22" t="s">
        <v>3438</v>
      </c>
      <c r="E279" s="22">
        <v>-15.02</v>
      </c>
      <c r="F279" s="28">
        <v>-2.5</v>
      </c>
      <c r="G279" s="22" t="s">
        <v>489</v>
      </c>
      <c r="H279" s="22" t="s">
        <v>483</v>
      </c>
      <c r="I279" s="22"/>
    </row>
    <row r="280" spans="1:9" x14ac:dyDescent="0.25">
      <c r="A280" s="22" t="b">
        <v>0</v>
      </c>
      <c r="B280" s="22" t="s">
        <v>651</v>
      </c>
      <c r="C280" s="34">
        <v>45855</v>
      </c>
      <c r="D280" s="22" t="s">
        <v>3439</v>
      </c>
      <c r="E280" s="22">
        <v>-38</v>
      </c>
      <c r="F280" s="28">
        <v>-6.33</v>
      </c>
      <c r="G280" s="22" t="s">
        <v>489</v>
      </c>
      <c r="H280" s="22" t="s">
        <v>483</v>
      </c>
      <c r="I280" s="22"/>
    </row>
    <row r="281" spans="1:9" x14ac:dyDescent="0.25">
      <c r="A281" s="22" t="b">
        <v>0</v>
      </c>
      <c r="B281" s="22" t="s">
        <v>652</v>
      </c>
      <c r="C281" s="34">
        <v>45855</v>
      </c>
      <c r="D281" s="22" t="s">
        <v>3294</v>
      </c>
      <c r="E281" s="22">
        <v>-12</v>
      </c>
      <c r="F281" s="28"/>
      <c r="G281" s="22" t="s">
        <v>489</v>
      </c>
      <c r="H281" s="22" t="s">
        <v>483</v>
      </c>
      <c r="I281" s="22"/>
    </row>
    <row r="282" spans="1:9" x14ac:dyDescent="0.25">
      <c r="A282" s="22" t="b">
        <v>0</v>
      </c>
      <c r="B282" s="22" t="s">
        <v>649</v>
      </c>
      <c r="C282" s="34">
        <v>45855</v>
      </c>
      <c r="D282" s="22" t="s">
        <v>3422</v>
      </c>
      <c r="E282" s="22">
        <v>-350</v>
      </c>
      <c r="F282" s="28"/>
      <c r="G282" s="22" t="s">
        <v>489</v>
      </c>
      <c r="H282" s="22" t="s">
        <v>483</v>
      </c>
      <c r="I282" s="22"/>
    </row>
    <row r="283" spans="1:9" x14ac:dyDescent="0.25">
      <c r="A283" s="22" t="b">
        <v>0</v>
      </c>
      <c r="B283" s="22" t="s">
        <v>2339</v>
      </c>
      <c r="C283" s="34">
        <v>45855</v>
      </c>
      <c r="D283" s="22" t="s">
        <v>3440</v>
      </c>
      <c r="E283" s="22">
        <v>-54.25</v>
      </c>
      <c r="F283" s="28"/>
      <c r="G283" s="22" t="s">
        <v>489</v>
      </c>
      <c r="H283" s="22" t="s">
        <v>483</v>
      </c>
      <c r="I283" s="22"/>
    </row>
    <row r="284" spans="1:9" x14ac:dyDescent="0.25">
      <c r="A284" s="22" t="b">
        <v>0</v>
      </c>
      <c r="B284" s="22" t="s">
        <v>647</v>
      </c>
      <c r="C284" s="34">
        <v>45856</v>
      </c>
      <c r="D284" s="22" t="s">
        <v>3441</v>
      </c>
      <c r="E284" s="22">
        <v>-26.62</v>
      </c>
      <c r="F284" s="28"/>
      <c r="G284" s="22" t="s">
        <v>489</v>
      </c>
      <c r="H284" s="22" t="s">
        <v>483</v>
      </c>
      <c r="I284" s="22"/>
    </row>
    <row r="285" spans="1:9" x14ac:dyDescent="0.25">
      <c r="A285" s="22" t="b">
        <v>0</v>
      </c>
      <c r="B285" s="22" t="s">
        <v>629</v>
      </c>
      <c r="C285" s="34">
        <v>45857</v>
      </c>
      <c r="D285" s="22" t="s">
        <v>3442</v>
      </c>
      <c r="E285" s="22">
        <v>-91.67</v>
      </c>
      <c r="F285" s="28"/>
      <c r="G285" s="22" t="s">
        <v>489</v>
      </c>
      <c r="H285" s="22" t="s">
        <v>483</v>
      </c>
      <c r="I285" s="22"/>
    </row>
    <row r="286" spans="1:9" x14ac:dyDescent="0.25">
      <c r="A286" s="22" t="b">
        <v>0</v>
      </c>
      <c r="B286" s="22" t="s">
        <v>630</v>
      </c>
      <c r="C286" s="34">
        <v>45857</v>
      </c>
      <c r="D286" s="22" t="s">
        <v>3443</v>
      </c>
      <c r="E286" s="22">
        <v>-55</v>
      </c>
      <c r="F286" s="28"/>
      <c r="G286" s="22" t="s">
        <v>489</v>
      </c>
      <c r="H286" s="22" t="s">
        <v>483</v>
      </c>
      <c r="I286" s="22"/>
    </row>
    <row r="287" spans="1:9" x14ac:dyDescent="0.25">
      <c r="A287" s="22" t="b">
        <v>0</v>
      </c>
      <c r="B287" s="22" t="s">
        <v>626</v>
      </c>
      <c r="C287" s="34">
        <v>45857</v>
      </c>
      <c r="D287" s="22" t="s">
        <v>3438</v>
      </c>
      <c r="E287" s="22">
        <v>-20.07</v>
      </c>
      <c r="F287" s="28">
        <v>-3.34</v>
      </c>
      <c r="G287" s="22" t="s">
        <v>489</v>
      </c>
      <c r="H287" s="22" t="s">
        <v>483</v>
      </c>
      <c r="I287" s="22"/>
    </row>
    <row r="288" spans="1:9" x14ac:dyDescent="0.25">
      <c r="A288" s="22" t="b">
        <v>0</v>
      </c>
      <c r="B288" s="22" t="s">
        <v>624</v>
      </c>
      <c r="C288" s="34">
        <v>45858</v>
      </c>
      <c r="D288" s="22" t="s">
        <v>3337</v>
      </c>
      <c r="E288" s="22">
        <v>-60.15</v>
      </c>
      <c r="F288" s="28">
        <v>-10.02</v>
      </c>
      <c r="G288" s="22" t="s">
        <v>489</v>
      </c>
      <c r="H288" s="22" t="s">
        <v>483</v>
      </c>
      <c r="I288" s="22"/>
    </row>
    <row r="289" spans="1:9" x14ac:dyDescent="0.25">
      <c r="A289" s="22" t="b">
        <v>0</v>
      </c>
      <c r="B289" s="22" t="s">
        <v>612</v>
      </c>
      <c r="C289" s="34">
        <v>45859</v>
      </c>
      <c r="D289" s="22" t="s">
        <v>3444</v>
      </c>
      <c r="E289" s="22">
        <v>-9</v>
      </c>
      <c r="F289" s="28"/>
      <c r="G289" s="22" t="s">
        <v>489</v>
      </c>
      <c r="H289" s="22" t="s">
        <v>483</v>
      </c>
      <c r="I289" s="22"/>
    </row>
    <row r="290" spans="1:9" x14ac:dyDescent="0.25">
      <c r="A290" s="22" t="b">
        <v>0</v>
      </c>
      <c r="B290" s="22" t="s">
        <v>614</v>
      </c>
      <c r="C290" s="34">
        <v>45859</v>
      </c>
      <c r="D290" s="22" t="s">
        <v>3445</v>
      </c>
      <c r="E290" s="22">
        <v>-10.5</v>
      </c>
      <c r="F290" s="28"/>
      <c r="G290" s="22" t="s">
        <v>489</v>
      </c>
      <c r="H290" s="22" t="s">
        <v>483</v>
      </c>
      <c r="I290" s="22"/>
    </row>
    <row r="291" spans="1:9" x14ac:dyDescent="0.25">
      <c r="A291" s="22" t="b">
        <v>0</v>
      </c>
      <c r="B291" s="22" t="s">
        <v>2295</v>
      </c>
      <c r="C291" s="34">
        <v>45859</v>
      </c>
      <c r="D291" s="22" t="s">
        <v>3427</v>
      </c>
      <c r="E291" s="22">
        <v>-1988.84</v>
      </c>
      <c r="F291" s="28"/>
      <c r="G291" s="22" t="s">
        <v>489</v>
      </c>
      <c r="H291" s="22" t="s">
        <v>483</v>
      </c>
      <c r="I291" s="22"/>
    </row>
    <row r="292" spans="1:9" x14ac:dyDescent="0.25">
      <c r="A292" s="22" t="b">
        <v>0</v>
      </c>
      <c r="B292" s="22" t="s">
        <v>616</v>
      </c>
      <c r="C292" s="34">
        <v>45859</v>
      </c>
      <c r="D292" s="22" t="s">
        <v>3446</v>
      </c>
      <c r="E292" s="22">
        <v>-70</v>
      </c>
      <c r="F292" s="28"/>
      <c r="G292" s="22" t="s">
        <v>489</v>
      </c>
      <c r="H292" s="22" t="s">
        <v>483</v>
      </c>
      <c r="I292" s="22"/>
    </row>
    <row r="293" spans="1:9" x14ac:dyDescent="0.25">
      <c r="A293" s="22" t="b">
        <v>0</v>
      </c>
      <c r="B293" s="22" t="s">
        <v>605</v>
      </c>
      <c r="C293" s="34">
        <v>45860</v>
      </c>
      <c r="D293" s="22" t="s">
        <v>3447</v>
      </c>
      <c r="E293" s="22">
        <v>-9.5</v>
      </c>
      <c r="F293" s="28"/>
      <c r="G293" s="22" t="s">
        <v>489</v>
      </c>
      <c r="H293" s="22" t="s">
        <v>483</v>
      </c>
      <c r="I293" s="22"/>
    </row>
    <row r="294" spans="1:9" x14ac:dyDescent="0.25">
      <c r="A294" s="22" t="b">
        <v>0</v>
      </c>
      <c r="B294" s="22" t="s">
        <v>2338</v>
      </c>
      <c r="C294" s="34">
        <v>45860</v>
      </c>
      <c r="D294" s="22" t="s">
        <v>3448</v>
      </c>
      <c r="E294" s="22">
        <v>-650.20000000000005</v>
      </c>
      <c r="F294" s="28"/>
      <c r="G294" s="22" t="s">
        <v>489</v>
      </c>
      <c r="H294" s="22" t="s">
        <v>483</v>
      </c>
      <c r="I294" s="22"/>
    </row>
    <row r="295" spans="1:9" x14ac:dyDescent="0.25">
      <c r="A295" s="22" t="b">
        <v>0</v>
      </c>
      <c r="B295" s="22" t="s">
        <v>2337</v>
      </c>
      <c r="C295" s="34">
        <v>45860</v>
      </c>
      <c r="D295" s="22" t="s">
        <v>3449</v>
      </c>
      <c r="E295" s="22">
        <v>-130.19999999999999</v>
      </c>
      <c r="F295" s="28"/>
      <c r="G295" s="22" t="s">
        <v>489</v>
      </c>
      <c r="H295" s="22" t="s">
        <v>483</v>
      </c>
      <c r="I295" s="22"/>
    </row>
    <row r="296" spans="1:9" x14ac:dyDescent="0.25">
      <c r="A296" s="22" t="b">
        <v>0</v>
      </c>
      <c r="B296" s="22" t="s">
        <v>603</v>
      </c>
      <c r="C296" s="34">
        <v>45860</v>
      </c>
      <c r="D296" s="22" t="s">
        <v>3346</v>
      </c>
      <c r="E296" s="22">
        <v>-220.2</v>
      </c>
      <c r="F296" s="28"/>
      <c r="G296" s="22" t="s">
        <v>489</v>
      </c>
      <c r="H296" s="22" t="s">
        <v>483</v>
      </c>
      <c r="I296" s="22"/>
    </row>
    <row r="297" spans="1:9" x14ac:dyDescent="0.25">
      <c r="A297" s="22" t="b">
        <v>0</v>
      </c>
      <c r="B297" s="22" t="s">
        <v>606</v>
      </c>
      <c r="C297" s="34">
        <v>45860</v>
      </c>
      <c r="D297" s="22" t="s">
        <v>3450</v>
      </c>
      <c r="E297" s="22">
        <v>-1.99</v>
      </c>
      <c r="F297" s="28"/>
      <c r="G297" s="22" t="s">
        <v>489</v>
      </c>
      <c r="H297" s="22" t="s">
        <v>483</v>
      </c>
      <c r="I297" s="22"/>
    </row>
    <row r="298" spans="1:9" x14ac:dyDescent="0.25">
      <c r="A298" s="22" t="b">
        <v>0</v>
      </c>
      <c r="B298" s="22" t="s">
        <v>601</v>
      </c>
      <c r="C298" s="34">
        <v>45861</v>
      </c>
      <c r="D298" s="22" t="s">
        <v>3451</v>
      </c>
      <c r="E298" s="22">
        <v>-420.87</v>
      </c>
      <c r="F298" s="28"/>
      <c r="G298" s="22" t="s">
        <v>489</v>
      </c>
      <c r="H298" s="22" t="s">
        <v>483</v>
      </c>
      <c r="I298" s="22"/>
    </row>
    <row r="299" spans="1:9" x14ac:dyDescent="0.25">
      <c r="A299" s="22" t="b">
        <v>0</v>
      </c>
      <c r="B299" s="22" t="s">
        <v>602</v>
      </c>
      <c r="C299" s="34">
        <v>45861</v>
      </c>
      <c r="D299" s="22" t="s">
        <v>3452</v>
      </c>
      <c r="E299" s="22">
        <v>-173.35</v>
      </c>
      <c r="F299" s="28"/>
      <c r="G299" s="22" t="s">
        <v>489</v>
      </c>
      <c r="H299" s="22" t="s">
        <v>483</v>
      </c>
      <c r="I299" s="22"/>
    </row>
    <row r="300" spans="1:9" x14ac:dyDescent="0.25">
      <c r="A300" s="22" t="b">
        <v>0</v>
      </c>
      <c r="B300" s="22" t="s">
        <v>600</v>
      </c>
      <c r="C300" s="34">
        <v>45861</v>
      </c>
      <c r="D300" s="22" t="s">
        <v>3401</v>
      </c>
      <c r="E300" s="22">
        <v>-10.9</v>
      </c>
      <c r="F300" s="28"/>
      <c r="G300" s="22" t="s">
        <v>489</v>
      </c>
      <c r="H300" s="22" t="s">
        <v>483</v>
      </c>
      <c r="I300" s="22"/>
    </row>
    <row r="301" spans="1:9" x14ac:dyDescent="0.25">
      <c r="A301" s="22" t="b">
        <v>0</v>
      </c>
      <c r="B301" s="22" t="s">
        <v>595</v>
      </c>
      <c r="C301" s="34">
        <v>45862</v>
      </c>
      <c r="D301" s="22" t="s">
        <v>3295</v>
      </c>
      <c r="E301" s="22">
        <v>-1541.28</v>
      </c>
      <c r="F301" s="28"/>
      <c r="G301" s="22" t="s">
        <v>489</v>
      </c>
      <c r="H301" s="22" t="s">
        <v>483</v>
      </c>
      <c r="I301" s="22"/>
    </row>
    <row r="302" spans="1:9" x14ac:dyDescent="0.25">
      <c r="A302" s="22" t="b">
        <v>0</v>
      </c>
      <c r="B302" s="22" t="s">
        <v>596</v>
      </c>
      <c r="C302" s="34">
        <v>45862</v>
      </c>
      <c r="D302" s="22" t="s">
        <v>3453</v>
      </c>
      <c r="E302" s="22">
        <v>-100</v>
      </c>
      <c r="F302" s="28"/>
      <c r="G302" s="22" t="s">
        <v>489</v>
      </c>
      <c r="H302" s="22" t="s">
        <v>483</v>
      </c>
      <c r="I302" s="22"/>
    </row>
    <row r="303" spans="1:9" x14ac:dyDescent="0.25">
      <c r="A303" s="22" t="b">
        <v>0</v>
      </c>
      <c r="B303" s="22" t="s">
        <v>597</v>
      </c>
      <c r="C303" s="34">
        <v>45862</v>
      </c>
      <c r="D303" s="22" t="s">
        <v>3454</v>
      </c>
      <c r="E303" s="22">
        <v>-5.17</v>
      </c>
      <c r="F303" s="28"/>
      <c r="G303" s="22" t="s">
        <v>489</v>
      </c>
      <c r="H303" s="22" t="s">
        <v>483</v>
      </c>
      <c r="I303" s="22"/>
    </row>
    <row r="304" spans="1:9" x14ac:dyDescent="0.25">
      <c r="A304" s="22" t="b">
        <v>0</v>
      </c>
      <c r="B304" s="22" t="s">
        <v>593</v>
      </c>
      <c r="C304" s="34">
        <v>45862</v>
      </c>
      <c r="D304" s="22" t="s">
        <v>3335</v>
      </c>
      <c r="E304" s="22">
        <v>-8.5</v>
      </c>
      <c r="F304" s="28"/>
      <c r="G304" s="22" t="s">
        <v>489</v>
      </c>
      <c r="H304" s="22" t="s">
        <v>483</v>
      </c>
      <c r="I304" s="22"/>
    </row>
    <row r="305" spans="1:9" x14ac:dyDescent="0.25">
      <c r="A305" s="22" t="b">
        <v>0</v>
      </c>
      <c r="B305" s="22" t="s">
        <v>587</v>
      </c>
      <c r="C305" s="34">
        <v>45864</v>
      </c>
      <c r="D305" s="22" t="s">
        <v>351</v>
      </c>
      <c r="E305" s="22">
        <v>-15</v>
      </c>
      <c r="F305" s="28"/>
      <c r="G305" s="22" t="s">
        <v>489</v>
      </c>
      <c r="H305" s="22" t="s">
        <v>483</v>
      </c>
      <c r="I305" s="22"/>
    </row>
    <row r="306" spans="1:9" x14ac:dyDescent="0.25">
      <c r="A306" s="22" t="b">
        <v>0</v>
      </c>
      <c r="B306" s="22" t="s">
        <v>586</v>
      </c>
      <c r="C306" s="34">
        <v>45865</v>
      </c>
      <c r="D306" s="36" t="s">
        <v>3393</v>
      </c>
      <c r="E306" s="22">
        <v>-116.76</v>
      </c>
      <c r="F306" s="28"/>
      <c r="G306" s="22" t="s">
        <v>489</v>
      </c>
      <c r="H306" s="22" t="s">
        <v>483</v>
      </c>
      <c r="I306" s="22"/>
    </row>
    <row r="307" spans="1:9" x14ac:dyDescent="0.25">
      <c r="A307" s="22" t="b">
        <v>0</v>
      </c>
      <c r="B307" s="22" t="s">
        <v>585</v>
      </c>
      <c r="C307" s="34">
        <v>45865</v>
      </c>
      <c r="D307" s="22" t="s">
        <v>3408</v>
      </c>
      <c r="E307" s="22">
        <v>-4.99</v>
      </c>
      <c r="F307" s="28">
        <v>-0.83</v>
      </c>
      <c r="G307" s="22" t="s">
        <v>489</v>
      </c>
      <c r="H307" s="22" t="s">
        <v>483</v>
      </c>
      <c r="I307" s="22"/>
    </row>
    <row r="308" spans="1:9" x14ac:dyDescent="0.25">
      <c r="A308" s="22" t="b">
        <v>0</v>
      </c>
      <c r="B308" s="22" t="s">
        <v>576</v>
      </c>
      <c r="C308" s="34">
        <v>45866</v>
      </c>
      <c r="D308" s="22" t="s">
        <v>3455</v>
      </c>
      <c r="E308" s="22">
        <v>-77.8</v>
      </c>
      <c r="F308" s="28"/>
      <c r="G308" s="22" t="s">
        <v>489</v>
      </c>
      <c r="H308" s="22" t="s">
        <v>483</v>
      </c>
      <c r="I308" s="22"/>
    </row>
    <row r="309" spans="1:9" x14ac:dyDescent="0.25">
      <c r="A309" s="22" t="b">
        <v>0</v>
      </c>
      <c r="B309" s="22" t="s">
        <v>579</v>
      </c>
      <c r="C309" s="34">
        <v>45866</v>
      </c>
      <c r="D309" s="22" t="s">
        <v>3456</v>
      </c>
      <c r="E309" s="22">
        <v>-4.45</v>
      </c>
      <c r="F309" s="28"/>
      <c r="G309" s="22" t="s">
        <v>489</v>
      </c>
      <c r="H309" s="22" t="s">
        <v>483</v>
      </c>
      <c r="I309" s="22"/>
    </row>
    <row r="310" spans="1:9" x14ac:dyDescent="0.25">
      <c r="A310" s="22" t="b">
        <v>0</v>
      </c>
      <c r="B310" s="22" t="s">
        <v>575</v>
      </c>
      <c r="C310" s="34">
        <v>45866</v>
      </c>
      <c r="D310" s="22" t="s">
        <v>3382</v>
      </c>
      <c r="E310" s="22">
        <v>-13.9</v>
      </c>
      <c r="F310" s="28"/>
      <c r="G310" s="22" t="s">
        <v>489</v>
      </c>
      <c r="H310" s="22" t="s">
        <v>483</v>
      </c>
      <c r="I310" s="22"/>
    </row>
    <row r="311" spans="1:9" x14ac:dyDescent="0.25">
      <c r="A311" s="22" t="b">
        <v>0</v>
      </c>
      <c r="B311" s="22" t="s">
        <v>558</v>
      </c>
      <c r="C311" s="34">
        <v>45867</v>
      </c>
      <c r="D311" s="22" t="s">
        <v>3457</v>
      </c>
      <c r="E311" s="22">
        <v>-25</v>
      </c>
      <c r="F311" s="28"/>
      <c r="G311" s="22" t="s">
        <v>489</v>
      </c>
      <c r="H311" s="22" t="s">
        <v>483</v>
      </c>
      <c r="I311" s="22"/>
    </row>
    <row r="312" spans="1:9" x14ac:dyDescent="0.25">
      <c r="A312" s="22" t="b">
        <v>0</v>
      </c>
      <c r="B312" s="22" t="s">
        <v>566</v>
      </c>
      <c r="C312" s="34">
        <v>45867</v>
      </c>
      <c r="D312" s="22" t="s">
        <v>3422</v>
      </c>
      <c r="E312" s="22">
        <v>-500</v>
      </c>
      <c r="F312" s="28"/>
      <c r="G312" s="22" t="s">
        <v>489</v>
      </c>
      <c r="H312" s="22" t="s">
        <v>483</v>
      </c>
      <c r="I312" s="22"/>
    </row>
    <row r="313" spans="1:9" x14ac:dyDescent="0.25">
      <c r="A313" s="22" t="b">
        <v>0</v>
      </c>
      <c r="B313" s="22" t="s">
        <v>565</v>
      </c>
      <c r="C313" s="34">
        <v>45867</v>
      </c>
      <c r="D313" s="22" t="s">
        <v>3458</v>
      </c>
      <c r="E313" s="22">
        <v>-66.599999999999994</v>
      </c>
      <c r="F313" s="28"/>
      <c r="G313" s="22" t="s">
        <v>489</v>
      </c>
      <c r="H313" s="22" t="s">
        <v>483</v>
      </c>
      <c r="I313" s="22"/>
    </row>
    <row r="314" spans="1:9" x14ac:dyDescent="0.25">
      <c r="A314" s="22" t="b">
        <v>0</v>
      </c>
      <c r="B314" s="22" t="s">
        <v>563</v>
      </c>
      <c r="C314" s="34">
        <v>45867</v>
      </c>
      <c r="D314" s="22" t="s">
        <v>3459</v>
      </c>
      <c r="E314" s="22">
        <v>-100</v>
      </c>
      <c r="F314" s="28"/>
      <c r="G314" s="22" t="s">
        <v>489</v>
      </c>
      <c r="H314" s="22" t="s">
        <v>483</v>
      </c>
      <c r="I314" s="22"/>
    </row>
    <row r="315" spans="1:9" x14ac:dyDescent="0.25">
      <c r="A315" s="22" t="b">
        <v>0</v>
      </c>
      <c r="B315" s="22" t="s">
        <v>559</v>
      </c>
      <c r="C315" s="34">
        <v>45867</v>
      </c>
      <c r="D315" s="22" t="s">
        <v>3437</v>
      </c>
      <c r="E315" s="22">
        <v>-2.65</v>
      </c>
      <c r="F315" s="28"/>
      <c r="G315" s="22" t="s">
        <v>489</v>
      </c>
      <c r="H315" s="22" t="s">
        <v>483</v>
      </c>
      <c r="I315" s="22"/>
    </row>
    <row r="316" spans="1:9" x14ac:dyDescent="0.25">
      <c r="A316" s="22" t="b">
        <v>0</v>
      </c>
      <c r="B316" s="22" t="s">
        <v>567</v>
      </c>
      <c r="C316" s="34">
        <v>45867</v>
      </c>
      <c r="D316" s="22" t="s">
        <v>351</v>
      </c>
      <c r="E316" s="22">
        <v>-15</v>
      </c>
      <c r="F316" s="28"/>
      <c r="G316" s="22" t="s">
        <v>489</v>
      </c>
      <c r="H316" s="22" t="s">
        <v>483</v>
      </c>
      <c r="I316" s="22"/>
    </row>
    <row r="317" spans="1:9" x14ac:dyDescent="0.25">
      <c r="A317" s="22" t="b">
        <v>0</v>
      </c>
      <c r="B317" s="22" t="s">
        <v>568</v>
      </c>
      <c r="C317" s="34">
        <v>45867</v>
      </c>
      <c r="D317" s="22" t="s">
        <v>351</v>
      </c>
      <c r="E317" s="22">
        <v>-17.5</v>
      </c>
      <c r="F317" s="28"/>
      <c r="G317" s="22" t="s">
        <v>489</v>
      </c>
      <c r="H317" s="22" t="s">
        <v>483</v>
      </c>
      <c r="I317" s="22"/>
    </row>
    <row r="318" spans="1:9" x14ac:dyDescent="0.25">
      <c r="A318" s="22" t="b">
        <v>0</v>
      </c>
      <c r="B318" s="22" t="s">
        <v>560</v>
      </c>
      <c r="C318" s="34">
        <v>45867</v>
      </c>
      <c r="D318" s="36" t="s">
        <v>3460</v>
      </c>
      <c r="E318" s="22">
        <v>-2.5</v>
      </c>
      <c r="F318" s="28"/>
      <c r="G318" s="22" t="s">
        <v>489</v>
      </c>
      <c r="H318" s="22" t="s">
        <v>483</v>
      </c>
      <c r="I318" s="22"/>
    </row>
    <row r="319" spans="1:9" x14ac:dyDescent="0.25">
      <c r="A319" s="22" t="b">
        <v>0</v>
      </c>
      <c r="B319" s="22" t="s">
        <v>561</v>
      </c>
      <c r="C319" s="34">
        <v>45867</v>
      </c>
      <c r="D319" s="36" t="s">
        <v>3460</v>
      </c>
      <c r="E319" s="22">
        <v>-5</v>
      </c>
      <c r="F319" s="28"/>
      <c r="G319" s="22" t="s">
        <v>489</v>
      </c>
      <c r="H319" s="22" t="s">
        <v>483</v>
      </c>
      <c r="I319" s="22"/>
    </row>
    <row r="320" spans="1:9" x14ac:dyDescent="0.25">
      <c r="A320" s="22" t="b">
        <v>0</v>
      </c>
      <c r="B320" s="22" t="s">
        <v>2336</v>
      </c>
      <c r="C320" s="34">
        <v>45868</v>
      </c>
      <c r="D320" s="22" t="s">
        <v>3320</v>
      </c>
      <c r="E320" s="22">
        <v>-41.99</v>
      </c>
      <c r="F320" s="28">
        <v>-7</v>
      </c>
      <c r="G320" s="22" t="s">
        <v>489</v>
      </c>
      <c r="H320" s="22" t="s">
        <v>483</v>
      </c>
      <c r="I320" s="22"/>
    </row>
    <row r="321" spans="1:9" x14ac:dyDescent="0.25">
      <c r="A321" s="22" t="b">
        <v>0</v>
      </c>
      <c r="B321" s="22" t="s">
        <v>552</v>
      </c>
      <c r="C321" s="34">
        <v>45869</v>
      </c>
      <c r="D321" s="22" t="s">
        <v>3461</v>
      </c>
      <c r="E321" s="22">
        <v>-74.97</v>
      </c>
      <c r="F321" s="28"/>
      <c r="G321" s="22" t="s">
        <v>489</v>
      </c>
      <c r="H321" s="22" t="s">
        <v>483</v>
      </c>
      <c r="I321" s="22"/>
    </row>
    <row r="322" spans="1:9" x14ac:dyDescent="0.25">
      <c r="A322" s="22" t="b">
        <v>0</v>
      </c>
      <c r="B322" s="22" t="s">
        <v>550</v>
      </c>
      <c r="C322" s="34">
        <v>45869</v>
      </c>
      <c r="D322" s="22" t="s">
        <v>3462</v>
      </c>
      <c r="E322" s="22">
        <v>-31.19</v>
      </c>
      <c r="F322" s="28"/>
      <c r="G322" s="22" t="s">
        <v>489</v>
      </c>
      <c r="H322" s="22" t="s">
        <v>483</v>
      </c>
      <c r="I322" s="22"/>
    </row>
    <row r="323" spans="1:9" x14ac:dyDescent="0.25">
      <c r="A323" s="22" t="b">
        <v>0</v>
      </c>
      <c r="B323" s="22" t="s">
        <v>535</v>
      </c>
      <c r="C323" s="34">
        <v>45870</v>
      </c>
      <c r="D323" s="22" t="s">
        <v>3463</v>
      </c>
      <c r="E323" s="22">
        <v>-2.84</v>
      </c>
      <c r="F323" s="28"/>
      <c r="G323" s="22" t="s">
        <v>489</v>
      </c>
      <c r="H323" s="22" t="s">
        <v>483</v>
      </c>
      <c r="I323" s="22"/>
    </row>
    <row r="324" spans="1:9" x14ac:dyDescent="0.25">
      <c r="A324" s="22" t="b">
        <v>0</v>
      </c>
      <c r="B324" s="22" t="s">
        <v>546</v>
      </c>
      <c r="C324" s="34">
        <v>45870</v>
      </c>
      <c r="D324" s="36" t="s">
        <v>3393</v>
      </c>
      <c r="E324" s="22">
        <v>-282.94</v>
      </c>
      <c r="F324" s="28"/>
      <c r="G324" s="22" t="s">
        <v>489</v>
      </c>
      <c r="H324" s="22" t="s">
        <v>483</v>
      </c>
      <c r="I324" s="22"/>
    </row>
    <row r="325" spans="1:9" x14ac:dyDescent="0.25">
      <c r="A325" s="22" t="b">
        <v>0</v>
      </c>
      <c r="B325" s="22" t="s">
        <v>534</v>
      </c>
      <c r="C325" s="34">
        <v>45870</v>
      </c>
      <c r="D325" s="22" t="s">
        <v>418</v>
      </c>
      <c r="E325" s="22">
        <v>-0.96</v>
      </c>
      <c r="F325" s="28"/>
      <c r="G325" s="22" t="s">
        <v>489</v>
      </c>
      <c r="H325" s="22" t="s">
        <v>483</v>
      </c>
      <c r="I325" s="22"/>
    </row>
    <row r="326" spans="1:9" x14ac:dyDescent="0.25">
      <c r="A326" s="22" t="b">
        <v>0</v>
      </c>
      <c r="B326" s="22" t="s">
        <v>1931</v>
      </c>
      <c r="C326" s="34">
        <v>45870</v>
      </c>
      <c r="D326" s="22" t="s">
        <v>3464</v>
      </c>
      <c r="E326" s="22">
        <v>235.87</v>
      </c>
      <c r="F326" s="28"/>
      <c r="G326" s="22" t="s">
        <v>482</v>
      </c>
      <c r="H326" s="22" t="s">
        <v>483</v>
      </c>
      <c r="I326" s="22"/>
    </row>
    <row r="327" spans="1:9" x14ac:dyDescent="0.25">
      <c r="A327" s="22" t="b">
        <v>0</v>
      </c>
      <c r="B327" s="22" t="s">
        <v>2335</v>
      </c>
      <c r="C327" s="34">
        <v>45870</v>
      </c>
      <c r="D327" s="22" t="s">
        <v>3440</v>
      </c>
      <c r="E327" s="22">
        <v>-54.25</v>
      </c>
      <c r="F327" s="28"/>
      <c r="G327" s="22" t="s">
        <v>489</v>
      </c>
      <c r="H327" s="22" t="s">
        <v>483</v>
      </c>
      <c r="I327" s="22"/>
    </row>
    <row r="328" spans="1:9" x14ac:dyDescent="0.25">
      <c r="A328" s="22" t="b">
        <v>0</v>
      </c>
      <c r="B328" s="22" t="s">
        <v>2166</v>
      </c>
      <c r="C328" s="34">
        <v>45870</v>
      </c>
      <c r="D328" s="22" t="s">
        <v>3465</v>
      </c>
      <c r="E328" s="22">
        <v>-108.5</v>
      </c>
      <c r="F328" s="28"/>
      <c r="G328" s="28" t="s">
        <v>489</v>
      </c>
      <c r="H328" s="22" t="s">
        <v>483</v>
      </c>
      <c r="I328" s="22"/>
    </row>
    <row r="329" spans="1:9" x14ac:dyDescent="0.25">
      <c r="A329" s="22" t="b">
        <v>0</v>
      </c>
      <c r="B329" s="22" t="s">
        <v>533</v>
      </c>
      <c r="C329" s="34">
        <v>45870</v>
      </c>
      <c r="D329" s="22" t="s">
        <v>3346</v>
      </c>
      <c r="E329" s="22">
        <v>-67.2</v>
      </c>
      <c r="F329" s="28"/>
      <c r="G329" s="22" t="s">
        <v>489</v>
      </c>
      <c r="H329" s="22" t="s">
        <v>483</v>
      </c>
      <c r="I329" s="22"/>
    </row>
    <row r="330" spans="1:9" x14ac:dyDescent="0.25">
      <c r="A330" s="22" t="b">
        <v>0</v>
      </c>
      <c r="B330" s="22" t="s">
        <v>536</v>
      </c>
      <c r="C330" s="34">
        <v>45870</v>
      </c>
      <c r="D330" s="22" t="s">
        <v>3466</v>
      </c>
      <c r="E330" s="22">
        <v>-5.24</v>
      </c>
      <c r="F330" s="28"/>
      <c r="G330" s="22" t="s">
        <v>489</v>
      </c>
      <c r="H330" s="22" t="s">
        <v>483</v>
      </c>
      <c r="I330" s="22"/>
    </row>
    <row r="331" spans="1:9" x14ac:dyDescent="0.25">
      <c r="A331" s="22" t="b">
        <v>0</v>
      </c>
      <c r="B331" s="22" t="s">
        <v>532</v>
      </c>
      <c r="C331" s="34">
        <v>45871</v>
      </c>
      <c r="D331" s="22" t="s">
        <v>3378</v>
      </c>
      <c r="E331" s="22">
        <v>-6.73</v>
      </c>
      <c r="F331" s="28"/>
      <c r="G331" s="22" t="s">
        <v>489</v>
      </c>
      <c r="H331" s="22" t="s">
        <v>483</v>
      </c>
      <c r="I331" s="22"/>
    </row>
    <row r="332" spans="1:9" x14ac:dyDescent="0.25">
      <c r="A332" s="22" t="b">
        <v>0</v>
      </c>
      <c r="B332" s="22" t="s">
        <v>2334</v>
      </c>
      <c r="C332" s="34">
        <v>45873</v>
      </c>
      <c r="D332" s="22" t="s">
        <v>3383</v>
      </c>
      <c r="E332" s="22">
        <v>-1.5</v>
      </c>
      <c r="F332" s="28"/>
      <c r="G332" s="22" t="s">
        <v>489</v>
      </c>
      <c r="H332" s="22" t="s">
        <v>483</v>
      </c>
      <c r="I332" s="22"/>
    </row>
    <row r="333" spans="1:9" x14ac:dyDescent="0.25">
      <c r="A333" s="22" t="b">
        <v>0</v>
      </c>
      <c r="B333" s="22" t="s">
        <v>522</v>
      </c>
      <c r="C333" s="34">
        <v>45876</v>
      </c>
      <c r="D333" s="22" t="s">
        <v>3467</v>
      </c>
      <c r="E333" s="22">
        <v>-8.5</v>
      </c>
      <c r="F333" s="28"/>
      <c r="G333" s="22" t="s">
        <v>489</v>
      </c>
      <c r="H333" s="22" t="s">
        <v>483</v>
      </c>
      <c r="I333" s="22"/>
    </row>
    <row r="334" spans="1:9" x14ac:dyDescent="0.25">
      <c r="A334" s="22" t="b">
        <v>0</v>
      </c>
      <c r="B334" s="22" t="s">
        <v>521</v>
      </c>
      <c r="C334" s="34">
        <v>45876</v>
      </c>
      <c r="D334" s="22" t="s">
        <v>3468</v>
      </c>
      <c r="E334" s="22">
        <v>-317.88</v>
      </c>
      <c r="F334" s="28"/>
      <c r="G334" s="22" t="s">
        <v>489</v>
      </c>
      <c r="H334" s="22" t="s">
        <v>483</v>
      </c>
      <c r="I334" s="22"/>
    </row>
    <row r="335" spans="1:9" x14ac:dyDescent="0.25">
      <c r="A335" s="22" t="b">
        <v>0</v>
      </c>
      <c r="B335" s="22" t="s">
        <v>2333</v>
      </c>
      <c r="C335" s="34">
        <v>45876</v>
      </c>
      <c r="D335" s="22" t="s">
        <v>3339</v>
      </c>
      <c r="E335" s="22">
        <v>-1324.91</v>
      </c>
      <c r="F335" s="28"/>
      <c r="G335" s="22" t="s">
        <v>489</v>
      </c>
      <c r="H335" s="22" t="s">
        <v>483</v>
      </c>
      <c r="I335" s="22"/>
    </row>
    <row r="336" spans="1:9" x14ac:dyDescent="0.25">
      <c r="A336" s="22" t="b">
        <v>0</v>
      </c>
      <c r="B336" s="22" t="s">
        <v>2301</v>
      </c>
      <c r="C336" s="34">
        <v>45877</v>
      </c>
      <c r="D336" s="22" t="s">
        <v>3325</v>
      </c>
      <c r="E336" s="22">
        <v>-10</v>
      </c>
      <c r="F336" s="28"/>
      <c r="G336" s="22" t="s">
        <v>489</v>
      </c>
      <c r="H336" s="22" t="s">
        <v>483</v>
      </c>
      <c r="I336" s="22"/>
    </row>
    <row r="337" spans="1:9" x14ac:dyDescent="0.25">
      <c r="A337" s="22" t="b">
        <v>0</v>
      </c>
      <c r="B337" s="22" t="s">
        <v>519</v>
      </c>
      <c r="C337" s="34">
        <v>45877</v>
      </c>
      <c r="D337" s="22" t="s">
        <v>3373</v>
      </c>
      <c r="E337" s="22">
        <v>-1.75</v>
      </c>
      <c r="F337" s="28"/>
      <c r="G337" s="22" t="s">
        <v>489</v>
      </c>
      <c r="H337" s="22" t="s">
        <v>483</v>
      </c>
      <c r="I337" s="22"/>
    </row>
    <row r="338" spans="1:9" x14ac:dyDescent="0.25">
      <c r="A338" s="22" t="b">
        <v>0</v>
      </c>
      <c r="B338" s="22" t="s">
        <v>518</v>
      </c>
      <c r="C338" s="34">
        <v>45877</v>
      </c>
      <c r="D338" s="22" t="s">
        <v>283</v>
      </c>
      <c r="E338" s="22">
        <v>-26.31</v>
      </c>
      <c r="F338" s="28"/>
      <c r="G338" s="22" t="s">
        <v>489</v>
      </c>
      <c r="H338" s="22" t="s">
        <v>483</v>
      </c>
      <c r="I338" s="22"/>
    </row>
    <row r="339" spans="1:9" x14ac:dyDescent="0.25">
      <c r="A339" s="22" t="b">
        <v>0</v>
      </c>
      <c r="B339" s="22" t="s">
        <v>513</v>
      </c>
      <c r="C339" s="34">
        <v>45878</v>
      </c>
      <c r="D339" s="22" t="s">
        <v>3346</v>
      </c>
      <c r="E339" s="22">
        <v>-363</v>
      </c>
      <c r="F339" s="28"/>
      <c r="G339" s="22" t="s">
        <v>489</v>
      </c>
      <c r="H339" s="22" t="s">
        <v>483</v>
      </c>
      <c r="I339" s="22"/>
    </row>
    <row r="340" spans="1:9" x14ac:dyDescent="0.25">
      <c r="A340" s="22" t="b">
        <v>0</v>
      </c>
      <c r="B340" s="22" t="s">
        <v>510</v>
      </c>
      <c r="C340" s="34">
        <v>45879</v>
      </c>
      <c r="D340" s="22" t="s">
        <v>3422</v>
      </c>
      <c r="E340" s="22">
        <v>-144.96</v>
      </c>
      <c r="F340" s="28"/>
      <c r="G340" s="22" t="s">
        <v>489</v>
      </c>
      <c r="H340" s="22" t="s">
        <v>483</v>
      </c>
      <c r="I340" s="22"/>
    </row>
    <row r="341" spans="1:9" x14ac:dyDescent="0.25">
      <c r="A341" s="22" t="b">
        <v>0</v>
      </c>
      <c r="B341" s="22" t="s">
        <v>504</v>
      </c>
      <c r="C341" s="34">
        <v>45880</v>
      </c>
      <c r="D341" s="22" t="s">
        <v>3422</v>
      </c>
      <c r="E341" s="22">
        <v>-500</v>
      </c>
      <c r="F341" s="28"/>
      <c r="G341" s="22" t="s">
        <v>489</v>
      </c>
      <c r="H341" s="22" t="s">
        <v>483</v>
      </c>
      <c r="I341" s="22"/>
    </row>
    <row r="342" spans="1:9" x14ac:dyDescent="0.25">
      <c r="A342" s="22" t="b">
        <v>0</v>
      </c>
      <c r="B342" s="22" t="s">
        <v>2332</v>
      </c>
      <c r="C342" s="34">
        <v>45880</v>
      </c>
      <c r="D342" s="22" t="s">
        <v>3469</v>
      </c>
      <c r="E342" s="22">
        <v>-255</v>
      </c>
      <c r="F342" s="28">
        <v>-42.5</v>
      </c>
      <c r="G342" s="22" t="s">
        <v>489</v>
      </c>
      <c r="H342" s="22" t="s">
        <v>483</v>
      </c>
      <c r="I342" s="22"/>
    </row>
    <row r="343" spans="1:9" x14ac:dyDescent="0.25">
      <c r="A343" s="22" t="b">
        <v>0</v>
      </c>
      <c r="B343" s="22" t="s">
        <v>503</v>
      </c>
      <c r="C343" s="34">
        <v>45881</v>
      </c>
      <c r="D343" s="22" t="s">
        <v>416</v>
      </c>
      <c r="E343" s="22">
        <v>-151.66</v>
      </c>
      <c r="F343" s="28"/>
      <c r="G343" s="22" t="s">
        <v>489</v>
      </c>
      <c r="H343" s="22" t="s">
        <v>483</v>
      </c>
      <c r="I343" s="22"/>
    </row>
    <row r="344" spans="1:9" x14ac:dyDescent="0.25">
      <c r="A344" s="22" t="b">
        <v>0</v>
      </c>
      <c r="B344" s="22" t="s">
        <v>495</v>
      </c>
      <c r="C344" s="34">
        <v>45884</v>
      </c>
      <c r="D344" s="22" t="s">
        <v>3434</v>
      </c>
      <c r="E344" s="22">
        <v>-19.899999999999999</v>
      </c>
      <c r="F344" s="28"/>
      <c r="G344" s="22" t="s">
        <v>489</v>
      </c>
      <c r="H344" s="22" t="s">
        <v>483</v>
      </c>
      <c r="I344" s="22"/>
    </row>
    <row r="345" spans="1:9" x14ac:dyDescent="0.25">
      <c r="A345" s="22" t="b">
        <v>0</v>
      </c>
      <c r="B345" s="22" t="s">
        <v>1890</v>
      </c>
      <c r="C345" s="34">
        <v>45885</v>
      </c>
      <c r="D345" s="22" t="s">
        <v>3470</v>
      </c>
      <c r="E345" s="22">
        <v>-20</v>
      </c>
      <c r="F345" s="28"/>
      <c r="G345" s="22" t="s">
        <v>489</v>
      </c>
      <c r="H345" s="22" t="s">
        <v>483</v>
      </c>
      <c r="I345" s="22"/>
    </row>
    <row r="346" spans="1:9" x14ac:dyDescent="0.25">
      <c r="A346" s="22" t="b">
        <v>0</v>
      </c>
      <c r="B346" s="22" t="s">
        <v>1893</v>
      </c>
      <c r="C346" s="34">
        <v>45885</v>
      </c>
      <c r="D346" s="22" t="s">
        <v>3471</v>
      </c>
      <c r="E346" s="22">
        <v>-7.38</v>
      </c>
      <c r="F346" s="28"/>
      <c r="G346" s="22" t="s">
        <v>489</v>
      </c>
      <c r="H346" s="22" t="s">
        <v>483</v>
      </c>
      <c r="I346" s="22"/>
    </row>
    <row r="347" spans="1:9" x14ac:dyDescent="0.25">
      <c r="A347" s="22" t="b">
        <v>0</v>
      </c>
      <c r="B347" s="22" t="s">
        <v>1882</v>
      </c>
      <c r="C347" s="34">
        <v>45887</v>
      </c>
      <c r="D347" s="22" t="s">
        <v>3294</v>
      </c>
      <c r="E347" s="22">
        <v>-25</v>
      </c>
      <c r="F347" s="28"/>
      <c r="G347" s="22" t="s">
        <v>489</v>
      </c>
      <c r="H347" s="22" t="s">
        <v>483</v>
      </c>
      <c r="I347" s="22"/>
    </row>
    <row r="348" spans="1:9" x14ac:dyDescent="0.25">
      <c r="A348" s="22" t="b">
        <v>0</v>
      </c>
      <c r="B348" s="22" t="s">
        <v>1862</v>
      </c>
      <c r="C348" s="34">
        <v>45889</v>
      </c>
      <c r="D348" s="22" t="s">
        <v>3472</v>
      </c>
      <c r="E348" s="22">
        <v>-98</v>
      </c>
      <c r="F348" s="28"/>
      <c r="G348" s="22" t="s">
        <v>489</v>
      </c>
      <c r="H348" s="22" t="s">
        <v>483</v>
      </c>
      <c r="I348" s="22"/>
    </row>
    <row r="349" spans="1:9" x14ac:dyDescent="0.25">
      <c r="A349" s="22" t="b">
        <v>0</v>
      </c>
      <c r="B349" s="22" t="s">
        <v>1870</v>
      </c>
      <c r="C349" s="34">
        <v>45889</v>
      </c>
      <c r="D349" s="22" t="s">
        <v>3473</v>
      </c>
      <c r="E349" s="22">
        <v>-13.14</v>
      </c>
      <c r="F349" s="28"/>
      <c r="G349" s="22" t="s">
        <v>489</v>
      </c>
      <c r="H349" s="22" t="s">
        <v>483</v>
      </c>
      <c r="I349" s="22"/>
    </row>
    <row r="350" spans="1:9" x14ac:dyDescent="0.25">
      <c r="A350" s="22" t="b">
        <v>0</v>
      </c>
      <c r="B350" s="22" t="s">
        <v>1866</v>
      </c>
      <c r="C350" s="34">
        <v>45889</v>
      </c>
      <c r="D350" s="22" t="s">
        <v>3474</v>
      </c>
      <c r="E350" s="22">
        <v>-50</v>
      </c>
      <c r="F350" s="28"/>
      <c r="G350" s="22" t="s">
        <v>489</v>
      </c>
      <c r="H350" s="22" t="s">
        <v>483</v>
      </c>
      <c r="I350" s="22"/>
    </row>
    <row r="351" spans="1:9" x14ac:dyDescent="0.25">
      <c r="A351" s="22" t="b">
        <v>0</v>
      </c>
      <c r="B351" s="22" t="s">
        <v>1869</v>
      </c>
      <c r="C351" s="34">
        <v>45889</v>
      </c>
      <c r="D351" s="22" t="s">
        <v>351</v>
      </c>
      <c r="E351" s="22">
        <v>-15</v>
      </c>
      <c r="F351" s="28"/>
      <c r="G351" s="22" t="s">
        <v>489</v>
      </c>
      <c r="H351" s="22" t="s">
        <v>483</v>
      </c>
      <c r="I351" s="22"/>
    </row>
    <row r="352" spans="1:9" x14ac:dyDescent="0.25">
      <c r="A352" s="22" t="b">
        <v>0</v>
      </c>
      <c r="B352" s="22" t="s">
        <v>2300</v>
      </c>
      <c r="C352" s="34">
        <v>45889</v>
      </c>
      <c r="D352" s="22" t="s">
        <v>3427</v>
      </c>
      <c r="E352" s="22">
        <v>-2550.7199999999998</v>
      </c>
      <c r="F352" s="28"/>
      <c r="G352" s="22" t="s">
        <v>489</v>
      </c>
      <c r="H352" s="22" t="s">
        <v>483</v>
      </c>
      <c r="I352" s="22"/>
    </row>
    <row r="353" spans="1:9" x14ac:dyDescent="0.25">
      <c r="A353" s="22" t="b">
        <v>0</v>
      </c>
      <c r="B353" s="22" t="s">
        <v>1865</v>
      </c>
      <c r="C353" s="34">
        <v>45889</v>
      </c>
      <c r="D353" s="22" t="s">
        <v>3475</v>
      </c>
      <c r="E353" s="22">
        <v>-50</v>
      </c>
      <c r="F353" s="28"/>
      <c r="G353" s="22" t="s">
        <v>489</v>
      </c>
      <c r="H353" s="22" t="s">
        <v>483</v>
      </c>
      <c r="I353" s="22"/>
    </row>
    <row r="354" spans="1:9" x14ac:dyDescent="0.25">
      <c r="A354" s="22" t="b">
        <v>0</v>
      </c>
      <c r="B354" s="22" t="s">
        <v>1858</v>
      </c>
      <c r="C354" s="34">
        <v>45890</v>
      </c>
      <c r="D354" s="22" t="s">
        <v>3425</v>
      </c>
      <c r="E354" s="22">
        <v>-12.28</v>
      </c>
      <c r="F354" s="28"/>
      <c r="G354" s="22" t="s">
        <v>489</v>
      </c>
      <c r="H354" s="22" t="s">
        <v>483</v>
      </c>
      <c r="I354" s="22"/>
    </row>
    <row r="355" spans="1:9" x14ac:dyDescent="0.25">
      <c r="A355" s="22" t="b">
        <v>0</v>
      </c>
      <c r="B355" s="22" t="s">
        <v>1860</v>
      </c>
      <c r="C355" s="34">
        <v>45890</v>
      </c>
      <c r="D355" s="22" t="s">
        <v>3422</v>
      </c>
      <c r="E355" s="22">
        <v>-500</v>
      </c>
      <c r="F355" s="28"/>
      <c r="G355" s="22" t="s">
        <v>489</v>
      </c>
      <c r="H355" s="22" t="s">
        <v>483</v>
      </c>
      <c r="I355" s="22"/>
    </row>
    <row r="356" spans="1:9" x14ac:dyDescent="0.25">
      <c r="A356" s="22" t="b">
        <v>0</v>
      </c>
      <c r="B356" s="22" t="s">
        <v>2443</v>
      </c>
      <c r="C356" s="34">
        <v>45890</v>
      </c>
      <c r="D356" s="22" t="s">
        <v>3476</v>
      </c>
      <c r="E356" s="22">
        <v>-54.25</v>
      </c>
      <c r="F356" s="28"/>
      <c r="G356" s="22" t="s">
        <v>489</v>
      </c>
      <c r="H356" s="22" t="s">
        <v>483</v>
      </c>
      <c r="I356" s="22"/>
    </row>
    <row r="357" spans="1:9" x14ac:dyDescent="0.25">
      <c r="A357" s="22" t="b">
        <v>0</v>
      </c>
      <c r="B357" s="22" t="s">
        <v>1854</v>
      </c>
      <c r="C357" s="34">
        <v>45891</v>
      </c>
      <c r="D357" s="22" t="s">
        <v>3477</v>
      </c>
      <c r="E357" s="22">
        <v>-44.99</v>
      </c>
      <c r="F357" s="28"/>
      <c r="G357" s="22" t="s">
        <v>489</v>
      </c>
      <c r="H357" s="22" t="s">
        <v>483</v>
      </c>
      <c r="I357" s="22"/>
    </row>
    <row r="358" spans="1:9" x14ac:dyDescent="0.25">
      <c r="A358" s="22" t="b">
        <v>0</v>
      </c>
      <c r="B358" s="22" t="s">
        <v>1852</v>
      </c>
      <c r="C358" s="34">
        <v>45891</v>
      </c>
      <c r="D358" s="22" t="s">
        <v>3455</v>
      </c>
      <c r="E358" s="22">
        <v>-67.8</v>
      </c>
      <c r="F358" s="28"/>
      <c r="G358" s="22" t="s">
        <v>489</v>
      </c>
      <c r="H358" s="22" t="s">
        <v>483</v>
      </c>
      <c r="I358" s="22"/>
    </row>
    <row r="359" spans="1:9" x14ac:dyDescent="0.25">
      <c r="A359" s="22" t="b">
        <v>0</v>
      </c>
      <c r="B359" s="22" t="s">
        <v>1853</v>
      </c>
      <c r="C359" s="34">
        <v>45891</v>
      </c>
      <c r="D359" s="22" t="s">
        <v>3455</v>
      </c>
      <c r="E359" s="22">
        <v>-67.8</v>
      </c>
      <c r="F359" s="28"/>
      <c r="G359" s="22" t="s">
        <v>489</v>
      </c>
      <c r="H359" s="22" t="s">
        <v>483</v>
      </c>
      <c r="I359" s="22"/>
    </row>
    <row r="360" spans="1:9" x14ac:dyDescent="0.25">
      <c r="A360" s="22" t="b">
        <v>0</v>
      </c>
      <c r="B360" s="22" t="s">
        <v>1842</v>
      </c>
      <c r="C360" s="34">
        <v>45894</v>
      </c>
      <c r="D360" s="22" t="s">
        <v>3478</v>
      </c>
      <c r="E360" s="22">
        <v>-3.1</v>
      </c>
      <c r="F360" s="28"/>
      <c r="G360" s="22" t="s">
        <v>489</v>
      </c>
      <c r="H360" s="22" t="s">
        <v>483</v>
      </c>
      <c r="I360" s="22"/>
    </row>
    <row r="361" spans="1:9" x14ac:dyDescent="0.25">
      <c r="A361" s="22" t="b">
        <v>0</v>
      </c>
      <c r="B361" s="22" t="s">
        <v>1846</v>
      </c>
      <c r="C361" s="34">
        <v>45894</v>
      </c>
      <c r="D361" s="22" t="s">
        <v>3479</v>
      </c>
      <c r="E361" s="22">
        <v>-13.98</v>
      </c>
      <c r="F361" s="28"/>
      <c r="G361" s="22" t="s">
        <v>489</v>
      </c>
      <c r="H361" s="22" t="s">
        <v>483</v>
      </c>
      <c r="I361" s="22"/>
    </row>
    <row r="362" spans="1:9" x14ac:dyDescent="0.25">
      <c r="A362" s="22" t="b">
        <v>0</v>
      </c>
      <c r="B362" s="22" t="s">
        <v>1843</v>
      </c>
      <c r="C362" s="34">
        <v>45894</v>
      </c>
      <c r="D362" s="22" t="s">
        <v>3480</v>
      </c>
      <c r="E362" s="22">
        <v>-7.95</v>
      </c>
      <c r="F362" s="28"/>
      <c r="G362" s="22" t="s">
        <v>489</v>
      </c>
      <c r="H362" s="22" t="s">
        <v>483</v>
      </c>
      <c r="I362" s="22"/>
    </row>
    <row r="363" spans="1:9" x14ac:dyDescent="0.25">
      <c r="A363" s="22" t="b">
        <v>0</v>
      </c>
      <c r="B363" s="22" t="s">
        <v>1834</v>
      </c>
      <c r="C363" s="34">
        <v>45895</v>
      </c>
      <c r="D363" s="22" t="s">
        <v>47</v>
      </c>
      <c r="E363" s="22">
        <v>-12</v>
      </c>
      <c r="F363" s="28"/>
      <c r="G363" s="22" t="s">
        <v>489</v>
      </c>
      <c r="H363" s="22" t="s">
        <v>483</v>
      </c>
      <c r="I363" s="22"/>
    </row>
    <row r="364" spans="1:9" x14ac:dyDescent="0.25">
      <c r="A364" s="22" t="b">
        <v>0</v>
      </c>
      <c r="B364" s="22" t="s">
        <v>1839</v>
      </c>
      <c r="C364" s="34">
        <v>45895</v>
      </c>
      <c r="D364" s="22" t="s">
        <v>351</v>
      </c>
      <c r="E364" s="22">
        <v>-8</v>
      </c>
      <c r="F364" s="28"/>
      <c r="G364" s="22" t="s">
        <v>489</v>
      </c>
      <c r="H364" s="22" t="s">
        <v>483</v>
      </c>
      <c r="I364" s="22"/>
    </row>
    <row r="365" spans="1:9" x14ac:dyDescent="0.25">
      <c r="A365" s="22" t="b">
        <v>0</v>
      </c>
      <c r="B365" s="22" t="s">
        <v>2427</v>
      </c>
      <c r="C365" s="34">
        <v>45895</v>
      </c>
      <c r="D365" s="22" t="s">
        <v>3481</v>
      </c>
      <c r="E365" s="22">
        <v>-263.2</v>
      </c>
      <c r="F365" s="28"/>
      <c r="G365" s="22" t="s">
        <v>489</v>
      </c>
      <c r="H365" s="22" t="s">
        <v>483</v>
      </c>
      <c r="I365" s="22"/>
    </row>
    <row r="366" spans="1:9" x14ac:dyDescent="0.25">
      <c r="A366" s="22" t="b">
        <v>0</v>
      </c>
      <c r="B366" s="22" t="s">
        <v>1835</v>
      </c>
      <c r="C366" s="34">
        <v>45895</v>
      </c>
      <c r="D366" s="22" t="s">
        <v>3432</v>
      </c>
      <c r="E366" s="22">
        <v>-40.4</v>
      </c>
      <c r="F366" s="28"/>
      <c r="G366" s="22" t="s">
        <v>489</v>
      </c>
      <c r="H366" s="22" t="s">
        <v>483</v>
      </c>
      <c r="I366" s="22"/>
    </row>
    <row r="367" spans="1:9" x14ac:dyDescent="0.25">
      <c r="A367" s="22" t="b">
        <v>0</v>
      </c>
      <c r="B367" s="22" t="s">
        <v>1830</v>
      </c>
      <c r="C367" s="34">
        <v>45896</v>
      </c>
      <c r="D367" s="22" t="s">
        <v>3425</v>
      </c>
      <c r="E367" s="22">
        <v>-16.489999999999998</v>
      </c>
      <c r="F367" s="28"/>
      <c r="G367" s="22" t="s">
        <v>489</v>
      </c>
      <c r="H367" s="22" t="s">
        <v>483</v>
      </c>
      <c r="I367" s="22"/>
    </row>
    <row r="368" spans="1:9" x14ac:dyDescent="0.25">
      <c r="A368" s="22" t="b">
        <v>0</v>
      </c>
      <c r="B368" s="22" t="s">
        <v>2348</v>
      </c>
      <c r="C368" s="34">
        <v>45897</v>
      </c>
      <c r="D368" s="22" t="s">
        <v>3320</v>
      </c>
      <c r="E368" s="22">
        <v>-41.99</v>
      </c>
      <c r="F368" s="28">
        <v>-7</v>
      </c>
      <c r="G368" s="22" t="s">
        <v>489</v>
      </c>
      <c r="H368" s="22" t="s">
        <v>483</v>
      </c>
      <c r="I368" s="22"/>
    </row>
    <row r="369" spans="1:9" x14ac:dyDescent="0.25">
      <c r="A369" s="22" t="b">
        <v>0</v>
      </c>
      <c r="B369" s="22" t="s">
        <v>2442</v>
      </c>
      <c r="C369" s="34">
        <v>45897</v>
      </c>
      <c r="D369" s="22" t="s">
        <v>3482</v>
      </c>
      <c r="E369" s="22">
        <v>-47.54</v>
      </c>
      <c r="F369" s="28"/>
      <c r="G369" s="22" t="s">
        <v>489</v>
      </c>
      <c r="H369" s="22" t="s">
        <v>483</v>
      </c>
      <c r="I369" s="22"/>
    </row>
    <row r="370" spans="1:9" x14ac:dyDescent="0.25">
      <c r="A370" s="22" t="b">
        <v>0</v>
      </c>
      <c r="B370" s="22" t="s">
        <v>1822</v>
      </c>
      <c r="C370" s="34">
        <v>45897</v>
      </c>
      <c r="D370" s="22" t="s">
        <v>3346</v>
      </c>
      <c r="E370" s="22">
        <v>-770.2</v>
      </c>
      <c r="F370" s="28"/>
      <c r="G370" s="22" t="s">
        <v>489</v>
      </c>
      <c r="H370" s="22" t="s">
        <v>483</v>
      </c>
      <c r="I370" s="22"/>
    </row>
    <row r="371" spans="1:9" x14ac:dyDescent="0.25">
      <c r="A371" s="22" t="b">
        <v>0</v>
      </c>
      <c r="B371" s="22" t="s">
        <v>1815</v>
      </c>
      <c r="C371" s="34">
        <v>45898</v>
      </c>
      <c r="D371" s="22" t="s">
        <v>3483</v>
      </c>
      <c r="E371" s="22">
        <v>-80</v>
      </c>
      <c r="F371" s="28"/>
      <c r="G371" s="22" t="s">
        <v>489</v>
      </c>
      <c r="H371" s="22" t="s">
        <v>483</v>
      </c>
      <c r="I371" s="22"/>
    </row>
    <row r="372" spans="1:9" x14ac:dyDescent="0.25">
      <c r="A372" s="22" t="b">
        <v>0</v>
      </c>
      <c r="B372" s="22" t="s">
        <v>1821</v>
      </c>
      <c r="C372" s="34">
        <v>45898</v>
      </c>
      <c r="D372" s="22" t="s">
        <v>351</v>
      </c>
      <c r="E372" s="22">
        <v>-32.5</v>
      </c>
      <c r="F372" s="28"/>
      <c r="G372" s="22" t="s">
        <v>489</v>
      </c>
      <c r="H372" s="22" t="s">
        <v>483</v>
      </c>
      <c r="I372" s="22"/>
    </row>
    <row r="373" spans="1:9" x14ac:dyDescent="0.25">
      <c r="A373" s="22" t="b">
        <v>0</v>
      </c>
      <c r="B373" s="22" t="s">
        <v>1811</v>
      </c>
      <c r="C373" s="34">
        <v>45899</v>
      </c>
      <c r="D373" s="36" t="s">
        <v>3435</v>
      </c>
      <c r="E373" s="22">
        <v>-94.99</v>
      </c>
      <c r="F373" s="28"/>
      <c r="G373" s="22" t="s">
        <v>489</v>
      </c>
      <c r="H373" s="22" t="s">
        <v>483</v>
      </c>
      <c r="I373" s="22"/>
    </row>
    <row r="374" spans="1:9" x14ac:dyDescent="0.25">
      <c r="A374" s="22" t="b">
        <v>0</v>
      </c>
      <c r="B374" s="22" t="s">
        <v>1810</v>
      </c>
      <c r="C374" s="34">
        <v>45899</v>
      </c>
      <c r="D374" s="22" t="s">
        <v>3335</v>
      </c>
      <c r="E374" s="22">
        <v>-9.5</v>
      </c>
      <c r="F374" s="28"/>
      <c r="G374" s="22" t="s">
        <v>489</v>
      </c>
      <c r="H374" s="22" t="s">
        <v>483</v>
      </c>
      <c r="I374" s="22"/>
    </row>
    <row r="375" spans="1:9" x14ac:dyDescent="0.25">
      <c r="A375" s="22" t="b">
        <v>0</v>
      </c>
      <c r="B375" s="22" t="s">
        <v>1809</v>
      </c>
      <c r="C375" s="34">
        <v>45900</v>
      </c>
      <c r="D375" s="22" t="s">
        <v>3484</v>
      </c>
      <c r="E375" s="22">
        <v>-4.8499999999999996</v>
      </c>
      <c r="F375" s="28"/>
      <c r="G375" s="22" t="s">
        <v>489</v>
      </c>
      <c r="H375" s="22" t="s">
        <v>483</v>
      </c>
      <c r="I375" s="22"/>
    </row>
    <row r="376" spans="1:9" x14ac:dyDescent="0.25">
      <c r="A376" s="22" t="b">
        <v>0</v>
      </c>
      <c r="B376" s="22" t="s">
        <v>1806</v>
      </c>
      <c r="C376" s="34">
        <v>45900</v>
      </c>
      <c r="D376" s="22" t="s">
        <v>3335</v>
      </c>
      <c r="E376" s="22">
        <v>-9.5</v>
      </c>
      <c r="F376" s="28"/>
      <c r="G376" s="22" t="s">
        <v>489</v>
      </c>
      <c r="H376" s="22" t="s">
        <v>483</v>
      </c>
      <c r="I376" s="22"/>
    </row>
    <row r="377" spans="1:9" x14ac:dyDescent="0.25">
      <c r="A377" s="22" t="b">
        <v>0</v>
      </c>
      <c r="B377" s="22" t="s">
        <v>1803</v>
      </c>
      <c r="C377" s="34">
        <v>45901</v>
      </c>
      <c r="D377" s="22" t="s">
        <v>3361</v>
      </c>
      <c r="E377" s="22">
        <v>-13</v>
      </c>
      <c r="F377" s="28"/>
      <c r="G377" s="22" t="s">
        <v>489</v>
      </c>
      <c r="H377" s="22" t="s">
        <v>483</v>
      </c>
      <c r="I377" s="22"/>
    </row>
    <row r="378" spans="1:9" x14ac:dyDescent="0.25">
      <c r="A378" s="22" t="b">
        <v>0</v>
      </c>
      <c r="B378" s="22" t="s">
        <v>2441</v>
      </c>
      <c r="C378" s="34">
        <v>45901</v>
      </c>
      <c r="D378" s="22" t="s">
        <v>3440</v>
      </c>
      <c r="E378" s="22">
        <v>-54.25</v>
      </c>
      <c r="F378" s="28"/>
      <c r="G378" s="22" t="s">
        <v>489</v>
      </c>
      <c r="H378" s="22" t="s">
        <v>483</v>
      </c>
      <c r="I378" s="22"/>
    </row>
    <row r="379" spans="1:9" x14ac:dyDescent="0.25">
      <c r="A379" s="22" t="b">
        <v>0</v>
      </c>
      <c r="B379" s="22" t="s">
        <v>2440</v>
      </c>
      <c r="C379" s="34">
        <v>45901</v>
      </c>
      <c r="D379" s="22" t="s">
        <v>3476</v>
      </c>
      <c r="E379" s="22">
        <v>-54.25</v>
      </c>
      <c r="F379" s="28"/>
      <c r="G379" s="22" t="s">
        <v>489</v>
      </c>
      <c r="H379" s="22" t="s">
        <v>483</v>
      </c>
      <c r="I379" s="22"/>
    </row>
    <row r="380" spans="1:9" x14ac:dyDescent="0.25">
      <c r="A380" s="22" t="b">
        <v>0</v>
      </c>
      <c r="B380" s="22" t="s">
        <v>2183</v>
      </c>
      <c r="C380" s="34">
        <v>45901</v>
      </c>
      <c r="D380" s="22" t="s">
        <v>3465</v>
      </c>
      <c r="E380" s="22">
        <v>-54.25</v>
      </c>
      <c r="F380" s="28"/>
      <c r="G380" s="28" t="s">
        <v>489</v>
      </c>
      <c r="H380" s="22" t="s">
        <v>483</v>
      </c>
      <c r="I380" s="22"/>
    </row>
    <row r="381" spans="1:9" x14ac:dyDescent="0.25">
      <c r="A381" s="22" t="b">
        <v>0</v>
      </c>
      <c r="B381" s="22" t="s">
        <v>1792</v>
      </c>
      <c r="C381" s="34">
        <v>45902</v>
      </c>
      <c r="D381" s="22" t="s">
        <v>94</v>
      </c>
      <c r="E381" s="22">
        <v>-56.67</v>
      </c>
      <c r="F381" s="28"/>
      <c r="G381" s="22" t="s">
        <v>489</v>
      </c>
      <c r="H381" s="22" t="s">
        <v>483</v>
      </c>
      <c r="I381" s="22"/>
    </row>
    <row r="382" spans="1:9" x14ac:dyDescent="0.25">
      <c r="A382" s="22" t="b">
        <v>0</v>
      </c>
      <c r="B382" s="22" t="s">
        <v>1797</v>
      </c>
      <c r="C382" s="34">
        <v>45902</v>
      </c>
      <c r="D382" s="22" t="s">
        <v>3422</v>
      </c>
      <c r="E382" s="22">
        <v>-278.93</v>
      </c>
      <c r="F382" s="28"/>
      <c r="G382" s="22" t="s">
        <v>489</v>
      </c>
      <c r="H382" s="22" t="s">
        <v>483</v>
      </c>
      <c r="I382" s="22"/>
    </row>
    <row r="383" spans="1:9" x14ac:dyDescent="0.25">
      <c r="A383" s="22" t="b">
        <v>0</v>
      </c>
      <c r="B383" s="22" t="s">
        <v>1798</v>
      </c>
      <c r="C383" s="34">
        <v>45902</v>
      </c>
      <c r="D383" s="22" t="s">
        <v>3378</v>
      </c>
      <c r="E383" s="22">
        <v>-7</v>
      </c>
      <c r="F383" s="28"/>
      <c r="G383" s="22" t="s">
        <v>489</v>
      </c>
      <c r="H383" s="22" t="s">
        <v>483</v>
      </c>
      <c r="I383" s="22"/>
    </row>
    <row r="384" spans="1:9" x14ac:dyDescent="0.25">
      <c r="A384" s="22" t="b">
        <v>0</v>
      </c>
      <c r="B384" s="22" t="s">
        <v>1796</v>
      </c>
      <c r="C384" s="34">
        <v>45902</v>
      </c>
      <c r="D384" s="22" t="s">
        <v>382</v>
      </c>
      <c r="E384" s="22">
        <v>-20</v>
      </c>
      <c r="F384" s="28">
        <v>-3.33</v>
      </c>
      <c r="G384" s="22" t="s">
        <v>489</v>
      </c>
      <c r="H384" s="22" t="s">
        <v>483</v>
      </c>
      <c r="I384" s="22"/>
    </row>
    <row r="385" spans="1:9" x14ac:dyDescent="0.25">
      <c r="A385" s="22" t="b">
        <v>0</v>
      </c>
      <c r="B385" s="22" t="s">
        <v>1799</v>
      </c>
      <c r="C385" s="34">
        <v>45902</v>
      </c>
      <c r="D385" s="22" t="s">
        <v>351</v>
      </c>
      <c r="E385" s="22">
        <v>-8</v>
      </c>
      <c r="F385" s="28"/>
      <c r="G385" s="22" t="s">
        <v>489</v>
      </c>
      <c r="H385" s="22" t="s">
        <v>483</v>
      </c>
      <c r="I385" s="22"/>
    </row>
    <row r="386" spans="1:9" x14ac:dyDescent="0.25">
      <c r="A386" s="22" t="b">
        <v>0</v>
      </c>
      <c r="B386" s="22" t="s">
        <v>2418</v>
      </c>
      <c r="C386" s="34">
        <v>45902</v>
      </c>
      <c r="D386" s="22" t="s">
        <v>3383</v>
      </c>
      <c r="E386" s="22">
        <v>-45</v>
      </c>
      <c r="F386" s="28"/>
      <c r="G386" s="22" t="s">
        <v>489</v>
      </c>
      <c r="H386" s="22" t="s">
        <v>483</v>
      </c>
      <c r="I386" s="22"/>
    </row>
    <row r="387" spans="1:9" x14ac:dyDescent="0.25">
      <c r="A387" s="22" t="b">
        <v>0</v>
      </c>
      <c r="B387" s="22" t="s">
        <v>1795</v>
      </c>
      <c r="C387" s="34">
        <v>45902</v>
      </c>
      <c r="D387" s="22" t="s">
        <v>3485</v>
      </c>
      <c r="E387" s="22">
        <v>-44.45</v>
      </c>
      <c r="F387" s="28"/>
      <c r="G387" s="22" t="s">
        <v>489</v>
      </c>
      <c r="H387" s="22" t="s">
        <v>483</v>
      </c>
      <c r="I387" s="22"/>
    </row>
    <row r="388" spans="1:9" x14ac:dyDescent="0.25">
      <c r="A388" s="22" t="b">
        <v>0</v>
      </c>
      <c r="B388" s="22" t="s">
        <v>1790</v>
      </c>
      <c r="C388" s="34">
        <v>45904</v>
      </c>
      <c r="D388" s="36" t="s">
        <v>3395</v>
      </c>
      <c r="E388" s="22">
        <v>-119.05</v>
      </c>
      <c r="F388" s="28"/>
      <c r="G388" s="22" t="s">
        <v>489</v>
      </c>
      <c r="H388" s="22" t="s">
        <v>483</v>
      </c>
      <c r="I388" s="22"/>
    </row>
    <row r="389" spans="1:9" x14ac:dyDescent="0.25">
      <c r="A389" s="22" t="b">
        <v>0</v>
      </c>
      <c r="B389" s="22" t="s">
        <v>1791</v>
      </c>
      <c r="C389" s="34">
        <v>45904</v>
      </c>
      <c r="D389" s="36" t="s">
        <v>3486</v>
      </c>
      <c r="E389" s="22">
        <v>-12.99</v>
      </c>
      <c r="F389" s="28"/>
      <c r="G389" s="22" t="s">
        <v>489</v>
      </c>
      <c r="H389" s="22" t="s">
        <v>483</v>
      </c>
      <c r="I389" s="22"/>
    </row>
    <row r="390" spans="1:9" x14ac:dyDescent="0.25">
      <c r="A390" s="22" t="b">
        <v>0</v>
      </c>
      <c r="B390" s="22" t="s">
        <v>1787</v>
      </c>
      <c r="C390" s="34">
        <v>45904</v>
      </c>
      <c r="D390" s="36" t="s">
        <v>3487</v>
      </c>
      <c r="E390" s="22">
        <v>-52</v>
      </c>
      <c r="F390" s="28"/>
      <c r="G390" s="22" t="s">
        <v>489</v>
      </c>
      <c r="H390" s="22" t="s">
        <v>483</v>
      </c>
      <c r="I390" s="22"/>
    </row>
    <row r="391" spans="1:9" x14ac:dyDescent="0.25">
      <c r="A391" s="22" t="b">
        <v>0</v>
      </c>
      <c r="B391" s="22" t="s">
        <v>1788</v>
      </c>
      <c r="C391" s="34">
        <v>45904</v>
      </c>
      <c r="D391" s="36" t="s">
        <v>3460</v>
      </c>
      <c r="E391" s="22">
        <v>-10</v>
      </c>
      <c r="F391" s="28"/>
      <c r="G391" s="22" t="s">
        <v>489</v>
      </c>
      <c r="H391" s="22" t="s">
        <v>483</v>
      </c>
      <c r="I391" s="22"/>
    </row>
    <row r="392" spans="1:9" x14ac:dyDescent="0.25">
      <c r="A392" s="22" t="b">
        <v>0</v>
      </c>
      <c r="B392" s="22" t="s">
        <v>1778</v>
      </c>
      <c r="C392" s="34">
        <v>45905</v>
      </c>
      <c r="D392" s="22" t="s">
        <v>3488</v>
      </c>
      <c r="E392" s="22">
        <v>-60</v>
      </c>
      <c r="F392" s="28"/>
      <c r="G392" s="22" t="s">
        <v>489</v>
      </c>
      <c r="H392" s="22" t="s">
        <v>483</v>
      </c>
      <c r="I392" s="22"/>
    </row>
    <row r="393" spans="1:9" x14ac:dyDescent="0.25">
      <c r="A393" s="22" t="b">
        <v>0</v>
      </c>
      <c r="B393" s="22" t="s">
        <v>1781</v>
      </c>
      <c r="C393" s="34">
        <v>45905</v>
      </c>
      <c r="D393" s="22" t="s">
        <v>3418</v>
      </c>
      <c r="E393" s="22">
        <v>-75.08</v>
      </c>
      <c r="F393" s="28"/>
      <c r="G393" s="22" t="s">
        <v>489</v>
      </c>
      <c r="H393" s="22" t="s">
        <v>483</v>
      </c>
      <c r="I393" s="22"/>
    </row>
    <row r="394" spans="1:9" x14ac:dyDescent="0.25">
      <c r="A394" s="22" t="b">
        <v>0</v>
      </c>
      <c r="B394" s="22" t="s">
        <v>1783</v>
      </c>
      <c r="C394" s="34">
        <v>45905</v>
      </c>
      <c r="D394" s="22" t="s">
        <v>382</v>
      </c>
      <c r="E394" s="22">
        <v>-54</v>
      </c>
      <c r="F394" s="28">
        <v>-9</v>
      </c>
      <c r="G394" s="22" t="s">
        <v>489</v>
      </c>
      <c r="H394" s="22" t="s">
        <v>483</v>
      </c>
      <c r="I394" s="22"/>
    </row>
    <row r="395" spans="1:9" x14ac:dyDescent="0.25">
      <c r="A395" s="22" t="b">
        <v>0</v>
      </c>
      <c r="B395" s="22" t="s">
        <v>1784</v>
      </c>
      <c r="C395" s="34">
        <v>45905</v>
      </c>
      <c r="D395" s="22" t="s">
        <v>416</v>
      </c>
      <c r="E395" s="22">
        <v>-151.66</v>
      </c>
      <c r="F395" s="28"/>
      <c r="G395" s="22" t="s">
        <v>489</v>
      </c>
      <c r="H395" s="22" t="s">
        <v>483</v>
      </c>
      <c r="I395" s="22"/>
    </row>
    <row r="396" spans="1:9" x14ac:dyDescent="0.25">
      <c r="A396" s="22" t="b">
        <v>0</v>
      </c>
      <c r="B396" s="22" t="s">
        <v>1782</v>
      </c>
      <c r="C396" s="34">
        <v>45905</v>
      </c>
      <c r="D396" s="22" t="s">
        <v>3489</v>
      </c>
      <c r="E396" s="22">
        <v>-1746</v>
      </c>
      <c r="F396" s="28"/>
      <c r="G396" s="22" t="s">
        <v>489</v>
      </c>
      <c r="H396" s="22" t="s">
        <v>483</v>
      </c>
      <c r="I396" s="22"/>
    </row>
    <row r="397" spans="1:9" x14ac:dyDescent="0.25">
      <c r="A397" s="22" t="b">
        <v>0</v>
      </c>
      <c r="B397" s="22" t="s">
        <v>1786</v>
      </c>
      <c r="C397" s="34">
        <v>45905</v>
      </c>
      <c r="D397" s="22" t="s">
        <v>3369</v>
      </c>
      <c r="E397" s="22">
        <v>-80</v>
      </c>
      <c r="F397" s="28"/>
      <c r="G397" s="22" t="s">
        <v>489</v>
      </c>
      <c r="H397" s="22" t="s">
        <v>483</v>
      </c>
      <c r="I397" s="22"/>
    </row>
    <row r="398" spans="1:9" x14ac:dyDescent="0.25">
      <c r="A398" s="22" t="b">
        <v>0</v>
      </c>
      <c r="B398" s="22" t="s">
        <v>1776</v>
      </c>
      <c r="C398" s="34">
        <v>45906</v>
      </c>
      <c r="D398" s="22" t="s">
        <v>3490</v>
      </c>
      <c r="E398" s="22">
        <v>-162.08000000000001</v>
      </c>
      <c r="F398" s="28"/>
      <c r="G398" s="22" t="s">
        <v>489</v>
      </c>
      <c r="H398" s="22" t="s">
        <v>483</v>
      </c>
      <c r="I398" s="22"/>
    </row>
    <row r="399" spans="1:9" x14ac:dyDescent="0.25">
      <c r="A399" s="22" t="b">
        <v>0</v>
      </c>
      <c r="B399" s="22" t="s">
        <v>1768</v>
      </c>
      <c r="C399" s="34">
        <v>45906</v>
      </c>
      <c r="D399" s="22" t="s">
        <v>3491</v>
      </c>
      <c r="E399" s="22">
        <v>-164.06</v>
      </c>
      <c r="F399" s="28"/>
      <c r="G399" s="22" t="s">
        <v>489</v>
      </c>
      <c r="H399" s="22" t="s">
        <v>483</v>
      </c>
      <c r="I399" s="22"/>
    </row>
    <row r="400" spans="1:9" x14ac:dyDescent="0.25">
      <c r="A400" s="22" t="b">
        <v>0</v>
      </c>
      <c r="B400" s="22" t="s">
        <v>1764</v>
      </c>
      <c r="C400" s="34">
        <v>45908</v>
      </c>
      <c r="D400" s="22" t="s">
        <v>3492</v>
      </c>
      <c r="E400" s="22">
        <v>-4.4000000000000004</v>
      </c>
      <c r="F400" s="28"/>
      <c r="G400" s="22" t="s">
        <v>489</v>
      </c>
      <c r="H400" s="22" t="s">
        <v>483</v>
      </c>
      <c r="I400" s="22"/>
    </row>
    <row r="401" spans="1:9" x14ac:dyDescent="0.25">
      <c r="A401" s="22" t="b">
        <v>0</v>
      </c>
      <c r="B401" s="22" t="s">
        <v>2322</v>
      </c>
      <c r="C401" s="34">
        <v>45908</v>
      </c>
      <c r="D401" s="22" t="s">
        <v>3325</v>
      </c>
      <c r="E401" s="22">
        <v>-10</v>
      </c>
      <c r="F401" s="28"/>
      <c r="G401" s="22" t="s">
        <v>489</v>
      </c>
      <c r="H401" s="22" t="s">
        <v>483</v>
      </c>
      <c r="I401" s="22"/>
    </row>
    <row r="402" spans="1:9" x14ac:dyDescent="0.25">
      <c r="A402" s="22" t="b">
        <v>0</v>
      </c>
      <c r="B402" s="22" t="s">
        <v>1756</v>
      </c>
      <c r="C402" s="34">
        <v>45909</v>
      </c>
      <c r="D402" s="22" t="s">
        <v>3493</v>
      </c>
      <c r="E402" s="22">
        <v>-539</v>
      </c>
      <c r="F402" s="28"/>
      <c r="G402" s="22" t="s">
        <v>489</v>
      </c>
      <c r="H402" s="22" t="s">
        <v>483</v>
      </c>
      <c r="I402" s="22"/>
    </row>
    <row r="403" spans="1:9" x14ac:dyDescent="0.25">
      <c r="A403" s="22" t="b">
        <v>0</v>
      </c>
      <c r="B403" s="22" t="s">
        <v>1751</v>
      </c>
      <c r="C403" s="34">
        <v>45910</v>
      </c>
      <c r="D403" s="36" t="s">
        <v>3435</v>
      </c>
      <c r="E403" s="22">
        <v>-74.989999999999995</v>
      </c>
      <c r="F403" s="28"/>
      <c r="G403" s="22" t="s">
        <v>489</v>
      </c>
      <c r="H403" s="22" t="s">
        <v>483</v>
      </c>
      <c r="I403" s="22"/>
    </row>
    <row r="404" spans="1:9" x14ac:dyDescent="0.25">
      <c r="A404" s="22" t="b">
        <v>0</v>
      </c>
      <c r="B404" s="22" t="s">
        <v>1749</v>
      </c>
      <c r="C404" s="34">
        <v>45911</v>
      </c>
      <c r="D404" s="22" t="s">
        <v>3494</v>
      </c>
      <c r="E404" s="22">
        <v>-63.15</v>
      </c>
      <c r="F404" s="28">
        <v>-10.52</v>
      </c>
      <c r="G404" s="22" t="s">
        <v>489</v>
      </c>
      <c r="H404" s="22" t="s">
        <v>483</v>
      </c>
      <c r="I404" s="22"/>
    </row>
    <row r="405" spans="1:9" x14ac:dyDescent="0.25">
      <c r="A405" s="22" t="b">
        <v>0</v>
      </c>
      <c r="B405" s="22" t="s">
        <v>1741</v>
      </c>
      <c r="C405" s="34">
        <v>45912</v>
      </c>
      <c r="D405" s="22" t="s">
        <v>3352</v>
      </c>
      <c r="E405" s="22">
        <v>-16</v>
      </c>
      <c r="F405" s="28"/>
      <c r="G405" s="22" t="s">
        <v>489</v>
      </c>
      <c r="H405" s="22" t="s">
        <v>483</v>
      </c>
      <c r="I405" s="22"/>
    </row>
    <row r="406" spans="1:9" x14ac:dyDescent="0.25">
      <c r="A406" s="22" t="b">
        <v>0</v>
      </c>
      <c r="B406" s="22" t="s">
        <v>2287</v>
      </c>
      <c r="C406" s="34">
        <v>45912</v>
      </c>
      <c r="D406" s="22" t="s">
        <v>3495</v>
      </c>
      <c r="E406" s="22">
        <v>-374.2</v>
      </c>
      <c r="F406" s="28"/>
      <c r="G406" s="22" t="s">
        <v>489</v>
      </c>
      <c r="H406" s="22" t="s">
        <v>483</v>
      </c>
      <c r="I406" s="22"/>
    </row>
    <row r="407" spans="1:9" x14ac:dyDescent="0.25">
      <c r="A407" s="22" t="b">
        <v>0</v>
      </c>
      <c r="B407" s="22" t="s">
        <v>1743</v>
      </c>
      <c r="C407" s="34">
        <v>45912</v>
      </c>
      <c r="D407" s="22" t="s">
        <v>3337</v>
      </c>
      <c r="E407" s="22">
        <v>-112.72</v>
      </c>
      <c r="F407" s="28">
        <v>-18.79</v>
      </c>
      <c r="G407" s="22" t="s">
        <v>489</v>
      </c>
      <c r="H407" s="22" t="s">
        <v>483</v>
      </c>
      <c r="I407" s="22"/>
    </row>
    <row r="408" spans="1:9" x14ac:dyDescent="0.25">
      <c r="A408" s="22" t="b">
        <v>0</v>
      </c>
      <c r="B408" s="22" t="s">
        <v>1737</v>
      </c>
      <c r="C408" s="34">
        <v>45913</v>
      </c>
      <c r="D408" s="36" t="s">
        <v>3393</v>
      </c>
      <c r="E408" s="22">
        <v>-17.79</v>
      </c>
      <c r="F408" s="28"/>
      <c r="G408" s="22" t="s">
        <v>489</v>
      </c>
      <c r="H408" s="22" t="s">
        <v>483</v>
      </c>
      <c r="I408" s="22"/>
    </row>
    <row r="409" spans="1:9" x14ac:dyDescent="0.25">
      <c r="A409" s="22" t="b">
        <v>0</v>
      </c>
      <c r="B409" s="22" t="s">
        <v>2439</v>
      </c>
      <c r="C409" s="34">
        <v>45913</v>
      </c>
      <c r="D409" s="22" t="s">
        <v>3496</v>
      </c>
      <c r="E409" s="22">
        <v>-2000.2</v>
      </c>
      <c r="F409" s="28"/>
      <c r="G409" s="22" t="s">
        <v>489</v>
      </c>
      <c r="H409" s="22" t="s">
        <v>483</v>
      </c>
      <c r="I409" s="22"/>
    </row>
    <row r="410" spans="1:9" x14ac:dyDescent="0.25">
      <c r="A410" s="22" t="b">
        <v>0</v>
      </c>
      <c r="B410" s="22" t="s">
        <v>1722</v>
      </c>
      <c r="C410" s="34">
        <v>45914</v>
      </c>
      <c r="D410" s="36" t="s">
        <v>3497</v>
      </c>
      <c r="E410" s="22">
        <v>-79</v>
      </c>
      <c r="F410" s="28">
        <v>-13.17</v>
      </c>
      <c r="G410" s="22" t="s">
        <v>489</v>
      </c>
      <c r="H410" s="22" t="s">
        <v>483</v>
      </c>
      <c r="I410" s="22"/>
    </row>
    <row r="411" spans="1:9" x14ac:dyDescent="0.25">
      <c r="A411" s="22" t="b">
        <v>0</v>
      </c>
      <c r="B411" s="22" t="s">
        <v>1727</v>
      </c>
      <c r="C411" s="34">
        <v>45914</v>
      </c>
      <c r="D411" s="22" t="s">
        <v>3337</v>
      </c>
      <c r="E411" s="22">
        <v>-33.979999999999997</v>
      </c>
      <c r="F411" s="28">
        <v>-5.66</v>
      </c>
      <c r="G411" s="22" t="s">
        <v>489</v>
      </c>
      <c r="H411" s="22" t="s">
        <v>483</v>
      </c>
      <c r="I411" s="22"/>
    </row>
    <row r="412" spans="1:9" x14ac:dyDescent="0.25">
      <c r="A412" s="22" t="b">
        <v>0</v>
      </c>
      <c r="B412" s="22" t="s">
        <v>1729</v>
      </c>
      <c r="C412" s="34">
        <v>45914</v>
      </c>
      <c r="D412" s="22" t="s">
        <v>3337</v>
      </c>
      <c r="E412" s="22">
        <v>-183.34</v>
      </c>
      <c r="F412" s="28">
        <v>-30.56</v>
      </c>
      <c r="G412" s="22" t="s">
        <v>489</v>
      </c>
      <c r="H412" s="22" t="s">
        <v>483</v>
      </c>
      <c r="I412" s="22"/>
    </row>
    <row r="413" spans="1:9" x14ac:dyDescent="0.25">
      <c r="A413" s="22" t="b">
        <v>0</v>
      </c>
      <c r="B413" s="22" t="s">
        <v>1719</v>
      </c>
      <c r="C413" s="34">
        <v>45915</v>
      </c>
      <c r="D413" s="22" t="s">
        <v>3473</v>
      </c>
      <c r="E413" s="22">
        <v>-14.76</v>
      </c>
      <c r="F413" s="28"/>
      <c r="G413" s="22" t="s">
        <v>489</v>
      </c>
      <c r="H413" s="22" t="s">
        <v>483</v>
      </c>
      <c r="I413" s="22"/>
    </row>
    <row r="414" spans="1:9" x14ac:dyDescent="0.25">
      <c r="A414" s="22" t="b">
        <v>0</v>
      </c>
      <c r="B414" s="22" t="s">
        <v>1718</v>
      </c>
      <c r="C414" s="34">
        <v>45915</v>
      </c>
      <c r="D414" s="22" t="s">
        <v>152</v>
      </c>
      <c r="E414" s="22">
        <v>-3.23</v>
      </c>
      <c r="F414" s="28"/>
      <c r="G414" s="22" t="s">
        <v>489</v>
      </c>
      <c r="H414" s="22" t="s">
        <v>483</v>
      </c>
      <c r="I414" s="22"/>
    </row>
    <row r="415" spans="1:9" x14ac:dyDescent="0.25">
      <c r="A415" s="22" t="b">
        <v>0</v>
      </c>
      <c r="B415" s="22" t="s">
        <v>1709</v>
      </c>
      <c r="C415" s="34">
        <v>45915</v>
      </c>
      <c r="D415" s="22" t="s">
        <v>3498</v>
      </c>
      <c r="E415" s="22">
        <v>-31.18</v>
      </c>
      <c r="F415" s="28"/>
      <c r="G415" s="22" t="s">
        <v>489</v>
      </c>
      <c r="H415" s="22" t="s">
        <v>483</v>
      </c>
      <c r="I415" s="22"/>
    </row>
    <row r="416" spans="1:9" x14ac:dyDescent="0.25">
      <c r="A416" s="22" t="b">
        <v>0</v>
      </c>
      <c r="B416" s="22" t="s">
        <v>1708</v>
      </c>
      <c r="C416" s="34">
        <v>45915</v>
      </c>
      <c r="D416" s="22" t="s">
        <v>47</v>
      </c>
      <c r="E416" s="22">
        <v>-9</v>
      </c>
      <c r="F416" s="28"/>
      <c r="G416" s="22" t="s">
        <v>489</v>
      </c>
      <c r="H416" s="22" t="s">
        <v>483</v>
      </c>
      <c r="I416" s="22"/>
    </row>
    <row r="417" spans="1:9" x14ac:dyDescent="0.25">
      <c r="A417" s="22" t="b">
        <v>0</v>
      </c>
      <c r="B417" s="22" t="s">
        <v>1717</v>
      </c>
      <c r="C417" s="34">
        <v>45915</v>
      </c>
      <c r="D417" s="22" t="s">
        <v>3499</v>
      </c>
      <c r="E417" s="22">
        <v>-3.6</v>
      </c>
      <c r="F417" s="28"/>
      <c r="G417" s="22" t="s">
        <v>489</v>
      </c>
      <c r="H417" s="22" t="s">
        <v>483</v>
      </c>
      <c r="I417" s="22"/>
    </row>
    <row r="418" spans="1:9" x14ac:dyDescent="0.25">
      <c r="A418" s="22" t="b">
        <v>0</v>
      </c>
      <c r="B418" s="22" t="s">
        <v>1712</v>
      </c>
      <c r="C418" s="34">
        <v>45915</v>
      </c>
      <c r="D418" s="22" t="s">
        <v>3349</v>
      </c>
      <c r="E418" s="22">
        <v>-17.3</v>
      </c>
      <c r="F418" s="28"/>
      <c r="G418" s="22" t="s">
        <v>489</v>
      </c>
      <c r="H418" s="22" t="s">
        <v>483</v>
      </c>
      <c r="I418" s="22"/>
    </row>
    <row r="419" spans="1:9" x14ac:dyDescent="0.25">
      <c r="A419" s="22" t="b">
        <v>0</v>
      </c>
      <c r="B419" s="22" t="s">
        <v>2361</v>
      </c>
      <c r="C419" s="34">
        <v>45915</v>
      </c>
      <c r="D419" s="22" t="s">
        <v>3500</v>
      </c>
      <c r="E419" s="22">
        <v>-103.99</v>
      </c>
      <c r="F419" s="28"/>
      <c r="G419" s="22" t="s">
        <v>489</v>
      </c>
      <c r="H419" s="22" t="s">
        <v>483</v>
      </c>
      <c r="I419" s="22"/>
    </row>
    <row r="420" spans="1:9" x14ac:dyDescent="0.25">
      <c r="A420" s="22" t="b">
        <v>0</v>
      </c>
      <c r="B420" s="22" t="s">
        <v>1702</v>
      </c>
      <c r="C420" s="34">
        <v>45916</v>
      </c>
      <c r="D420" s="36" t="s">
        <v>3501</v>
      </c>
      <c r="E420" s="22">
        <v>-1</v>
      </c>
      <c r="F420" s="28"/>
      <c r="G420" s="22" t="s">
        <v>489</v>
      </c>
      <c r="H420" s="22" t="s">
        <v>483</v>
      </c>
      <c r="I420" s="22"/>
    </row>
    <row r="421" spans="1:9" x14ac:dyDescent="0.25">
      <c r="A421" s="22" t="b">
        <v>0</v>
      </c>
      <c r="B421" s="22" t="s">
        <v>1696</v>
      </c>
      <c r="C421" s="34">
        <v>45917</v>
      </c>
      <c r="D421" s="22" t="s">
        <v>3502</v>
      </c>
      <c r="E421" s="22">
        <v>-1.23</v>
      </c>
      <c r="F421" s="28"/>
      <c r="G421" s="22" t="s">
        <v>489</v>
      </c>
      <c r="H421" s="22" t="s">
        <v>483</v>
      </c>
      <c r="I421" s="22"/>
    </row>
    <row r="422" spans="1:9" x14ac:dyDescent="0.25">
      <c r="A422" s="22" t="b">
        <v>0</v>
      </c>
      <c r="B422" s="22" t="s">
        <v>1697</v>
      </c>
      <c r="C422" s="34">
        <v>45917</v>
      </c>
      <c r="D422" s="22" t="s">
        <v>3502</v>
      </c>
      <c r="E422" s="22">
        <v>-2.34</v>
      </c>
      <c r="F422" s="28"/>
      <c r="G422" s="22" t="s">
        <v>489</v>
      </c>
      <c r="H422" s="22" t="s">
        <v>483</v>
      </c>
      <c r="I422" s="22"/>
    </row>
    <row r="423" spans="1:9" x14ac:dyDescent="0.25">
      <c r="A423" s="22" t="b">
        <v>0</v>
      </c>
      <c r="B423" s="22" t="s">
        <v>1698</v>
      </c>
      <c r="C423" s="34">
        <v>45917</v>
      </c>
      <c r="D423" s="22" t="s">
        <v>3502</v>
      </c>
      <c r="E423" s="22">
        <v>-1.85</v>
      </c>
      <c r="F423" s="28"/>
      <c r="G423" s="22" t="s">
        <v>489</v>
      </c>
      <c r="H423" s="22" t="s">
        <v>483</v>
      </c>
      <c r="I423" s="22"/>
    </row>
    <row r="424" spans="1:9" x14ac:dyDescent="0.25">
      <c r="A424" s="22" t="b">
        <v>0</v>
      </c>
      <c r="B424" s="22" t="s">
        <v>1700</v>
      </c>
      <c r="C424" s="34">
        <v>45917</v>
      </c>
      <c r="D424" s="22" t="s">
        <v>3455</v>
      </c>
      <c r="E424" s="22">
        <v>-67.8</v>
      </c>
      <c r="F424" s="28"/>
      <c r="G424" s="22" t="s">
        <v>489</v>
      </c>
      <c r="H424" s="22" t="s">
        <v>483</v>
      </c>
      <c r="I424" s="22"/>
    </row>
    <row r="425" spans="1:9" x14ac:dyDescent="0.25">
      <c r="A425" s="22" t="b">
        <v>0</v>
      </c>
      <c r="B425" s="22" t="s">
        <v>1685</v>
      </c>
      <c r="C425" s="34">
        <v>45920</v>
      </c>
      <c r="D425" s="22" t="s">
        <v>3422</v>
      </c>
      <c r="E425" s="22">
        <v>-500</v>
      </c>
      <c r="F425" s="28"/>
      <c r="G425" s="22" t="s">
        <v>489</v>
      </c>
      <c r="H425" s="22" t="s">
        <v>483</v>
      </c>
      <c r="I425" s="22"/>
    </row>
    <row r="426" spans="1:9" x14ac:dyDescent="0.25">
      <c r="A426" s="22" t="b">
        <v>0</v>
      </c>
      <c r="B426" s="22" t="s">
        <v>1681</v>
      </c>
      <c r="C426" s="34">
        <v>45920</v>
      </c>
      <c r="D426" s="22" t="s">
        <v>3475</v>
      </c>
      <c r="E426" s="22">
        <v>-60</v>
      </c>
      <c r="F426" s="28"/>
      <c r="G426" s="22" t="s">
        <v>489</v>
      </c>
      <c r="H426" s="22" t="s">
        <v>483</v>
      </c>
      <c r="I426" s="22"/>
    </row>
    <row r="427" spans="1:9" x14ac:dyDescent="0.25">
      <c r="A427" s="22" t="b">
        <v>0</v>
      </c>
      <c r="B427" s="22" t="s">
        <v>1680</v>
      </c>
      <c r="C427" s="34">
        <v>45921</v>
      </c>
      <c r="D427" s="36" t="s">
        <v>3300</v>
      </c>
      <c r="E427" s="22">
        <v>-10</v>
      </c>
      <c r="F427" s="28"/>
      <c r="G427" s="22" t="s">
        <v>489</v>
      </c>
      <c r="H427" s="22" t="s">
        <v>483</v>
      </c>
      <c r="I427" s="22"/>
    </row>
    <row r="428" spans="1:9" x14ac:dyDescent="0.25">
      <c r="A428" s="22" t="b">
        <v>0</v>
      </c>
      <c r="B428" s="22" t="s">
        <v>1677</v>
      </c>
      <c r="C428" s="34">
        <v>45922</v>
      </c>
      <c r="D428" s="22" t="s">
        <v>3345</v>
      </c>
      <c r="E428" s="22">
        <v>-1.6</v>
      </c>
      <c r="F428" s="28"/>
      <c r="G428" s="22" t="s">
        <v>489</v>
      </c>
      <c r="H428" s="22" t="s">
        <v>483</v>
      </c>
      <c r="I428" s="22"/>
    </row>
    <row r="429" spans="1:9" x14ac:dyDescent="0.25">
      <c r="A429" s="22" t="b">
        <v>0</v>
      </c>
      <c r="B429" s="22" t="s">
        <v>2299</v>
      </c>
      <c r="C429" s="34">
        <v>45922</v>
      </c>
      <c r="D429" s="22" t="s">
        <v>3427</v>
      </c>
      <c r="E429" s="22">
        <v>-2550.7199999999998</v>
      </c>
      <c r="F429" s="28"/>
      <c r="G429" s="22" t="s">
        <v>489</v>
      </c>
      <c r="H429" s="22" t="s">
        <v>483</v>
      </c>
      <c r="I429" s="22"/>
    </row>
    <row r="430" spans="1:9" x14ac:dyDescent="0.25">
      <c r="A430" s="22" t="b">
        <v>0</v>
      </c>
      <c r="B430" s="22" t="s">
        <v>1657</v>
      </c>
      <c r="C430" s="34">
        <v>45925</v>
      </c>
      <c r="D430" s="36" t="s">
        <v>3497</v>
      </c>
      <c r="E430" s="22">
        <v>-1399</v>
      </c>
      <c r="F430" s="28">
        <v>-233.17</v>
      </c>
      <c r="G430" s="22" t="s">
        <v>489</v>
      </c>
      <c r="H430" s="22" t="s">
        <v>483</v>
      </c>
      <c r="I430" s="22"/>
    </row>
    <row r="431" spans="1:9" x14ac:dyDescent="0.25">
      <c r="A431" s="22" t="b">
        <v>0</v>
      </c>
      <c r="B431" s="22" t="s">
        <v>1658</v>
      </c>
      <c r="C431" s="34">
        <v>45925</v>
      </c>
      <c r="D431" s="22" t="s">
        <v>3468</v>
      </c>
      <c r="E431" s="22">
        <v>-56.76</v>
      </c>
      <c r="F431" s="28"/>
      <c r="G431" s="22" t="s">
        <v>489</v>
      </c>
      <c r="H431" s="22" t="s">
        <v>483</v>
      </c>
      <c r="I431" s="22"/>
    </row>
    <row r="432" spans="1:9" x14ac:dyDescent="0.25">
      <c r="A432" s="22" t="b">
        <v>0</v>
      </c>
      <c r="B432" s="22" t="s">
        <v>1663</v>
      </c>
      <c r="C432" s="34">
        <v>45925</v>
      </c>
      <c r="D432" s="22" t="s">
        <v>3503</v>
      </c>
      <c r="E432" s="22">
        <v>-950.45</v>
      </c>
      <c r="F432" s="28"/>
      <c r="G432" s="22" t="s">
        <v>489</v>
      </c>
      <c r="H432" s="22" t="s">
        <v>483</v>
      </c>
      <c r="I432" s="22"/>
    </row>
    <row r="433" spans="1:9" x14ac:dyDescent="0.25">
      <c r="A433" s="22" t="b">
        <v>0</v>
      </c>
      <c r="B433" s="22" t="s">
        <v>1660</v>
      </c>
      <c r="C433" s="34">
        <v>45925</v>
      </c>
      <c r="D433" s="22" t="s">
        <v>3504</v>
      </c>
      <c r="E433" s="22">
        <v>-2</v>
      </c>
      <c r="F433" s="28"/>
      <c r="G433" s="22" t="s">
        <v>489</v>
      </c>
      <c r="H433" s="22" t="s">
        <v>483</v>
      </c>
      <c r="I433" s="22"/>
    </row>
    <row r="434" spans="1:9" x14ac:dyDescent="0.25">
      <c r="A434" s="22" t="b">
        <v>0</v>
      </c>
      <c r="B434" s="22" t="s">
        <v>1661</v>
      </c>
      <c r="C434" s="34">
        <v>45925</v>
      </c>
      <c r="D434" s="22" t="s">
        <v>3504</v>
      </c>
      <c r="E434" s="22">
        <v>-4.2</v>
      </c>
      <c r="F434" s="28"/>
      <c r="G434" s="22" t="s">
        <v>489</v>
      </c>
      <c r="H434" s="22" t="s">
        <v>483</v>
      </c>
      <c r="I434" s="22"/>
    </row>
    <row r="435" spans="1:9" x14ac:dyDescent="0.25">
      <c r="A435" s="22" t="b">
        <v>0</v>
      </c>
      <c r="B435" s="22" t="s">
        <v>1662</v>
      </c>
      <c r="C435" s="34">
        <v>45925</v>
      </c>
      <c r="D435" s="22" t="s">
        <v>3504</v>
      </c>
      <c r="E435" s="22">
        <v>-4.2</v>
      </c>
      <c r="F435" s="28"/>
      <c r="G435" s="22" t="s">
        <v>489</v>
      </c>
      <c r="H435" s="22" t="s">
        <v>483</v>
      </c>
      <c r="I435" s="22"/>
    </row>
    <row r="436" spans="1:9" x14ac:dyDescent="0.25">
      <c r="A436" s="22" t="b">
        <v>0</v>
      </c>
      <c r="B436" s="22" t="s">
        <v>1655</v>
      </c>
      <c r="C436" s="34">
        <v>45925</v>
      </c>
      <c r="D436" s="22" t="s">
        <v>3505</v>
      </c>
      <c r="E436" s="22">
        <v>-759.2</v>
      </c>
      <c r="F436" s="28"/>
      <c r="G436" s="22" t="s">
        <v>489</v>
      </c>
      <c r="H436" s="22" t="s">
        <v>483</v>
      </c>
      <c r="I436" s="22"/>
    </row>
    <row r="437" spans="1:9" x14ac:dyDescent="0.25">
      <c r="A437" s="22" t="b">
        <v>0</v>
      </c>
      <c r="B437" s="22" t="s">
        <v>2438</v>
      </c>
      <c r="C437" s="34">
        <v>45925</v>
      </c>
      <c r="D437" s="22" t="s">
        <v>3506</v>
      </c>
      <c r="E437" s="22">
        <v>-36.31</v>
      </c>
      <c r="F437" s="28"/>
      <c r="G437" s="22" t="s">
        <v>489</v>
      </c>
      <c r="H437" s="22" t="s">
        <v>483</v>
      </c>
      <c r="I437" s="22"/>
    </row>
    <row r="438" spans="1:9" x14ac:dyDescent="0.25">
      <c r="A438" s="22" t="b">
        <v>0</v>
      </c>
      <c r="B438" s="22" t="s">
        <v>1649</v>
      </c>
      <c r="C438" s="34">
        <v>45926</v>
      </c>
      <c r="D438" s="22" t="s">
        <v>3507</v>
      </c>
      <c r="E438" s="22">
        <v>-21.5</v>
      </c>
      <c r="F438" s="28"/>
      <c r="G438" s="22" t="s">
        <v>489</v>
      </c>
      <c r="H438" s="22" t="s">
        <v>483</v>
      </c>
      <c r="I438" s="22"/>
    </row>
    <row r="439" spans="1:9" x14ac:dyDescent="0.25">
      <c r="A439" s="22" t="b">
        <v>0</v>
      </c>
      <c r="B439" s="22" t="s">
        <v>1654</v>
      </c>
      <c r="C439" s="34">
        <v>45926</v>
      </c>
      <c r="D439" s="22" t="s">
        <v>3508</v>
      </c>
      <c r="E439" s="22">
        <v>-25</v>
      </c>
      <c r="F439" s="28"/>
      <c r="G439" s="22" t="s">
        <v>489</v>
      </c>
      <c r="H439" s="22" t="s">
        <v>483</v>
      </c>
      <c r="I439" s="22"/>
    </row>
    <row r="440" spans="1:9" x14ac:dyDescent="0.25">
      <c r="A440" s="22" t="b">
        <v>0</v>
      </c>
      <c r="B440" s="22" t="s">
        <v>1652</v>
      </c>
      <c r="C440" s="34">
        <v>45926</v>
      </c>
      <c r="D440" s="22" t="s">
        <v>3509</v>
      </c>
      <c r="E440" s="22">
        <v>-60</v>
      </c>
      <c r="F440" s="28"/>
      <c r="G440" s="22" t="s">
        <v>489</v>
      </c>
      <c r="H440" s="22" t="s">
        <v>483</v>
      </c>
      <c r="I440" s="22"/>
    </row>
    <row r="441" spans="1:9" x14ac:dyDescent="0.25">
      <c r="A441" s="22" t="b">
        <v>0</v>
      </c>
      <c r="B441" s="22" t="s">
        <v>1653</v>
      </c>
      <c r="C441" s="34">
        <v>45926</v>
      </c>
      <c r="D441" s="22" t="s">
        <v>3509</v>
      </c>
      <c r="E441" s="22">
        <v>-115</v>
      </c>
      <c r="F441" s="28"/>
      <c r="G441" s="22" t="s">
        <v>489</v>
      </c>
      <c r="H441" s="22" t="s">
        <v>483</v>
      </c>
      <c r="I441" s="22"/>
    </row>
    <row r="442" spans="1:9" x14ac:dyDescent="0.25">
      <c r="A442" s="22" t="b">
        <v>0</v>
      </c>
      <c r="B442" s="22" t="s">
        <v>1648</v>
      </c>
      <c r="C442" s="34">
        <v>45926</v>
      </c>
      <c r="D442" s="22" t="s">
        <v>3468</v>
      </c>
      <c r="E442" s="22">
        <v>-39.99</v>
      </c>
      <c r="F442" s="28"/>
      <c r="G442" s="22" t="s">
        <v>489</v>
      </c>
      <c r="H442" s="22" t="s">
        <v>483</v>
      </c>
      <c r="I442" s="22"/>
    </row>
    <row r="443" spans="1:9" x14ac:dyDescent="0.25">
      <c r="A443" s="22" t="b">
        <v>0</v>
      </c>
      <c r="B443" s="22" t="s">
        <v>1650</v>
      </c>
      <c r="C443" s="34">
        <v>45926</v>
      </c>
      <c r="D443" s="22" t="s">
        <v>3494</v>
      </c>
      <c r="E443" s="22">
        <v>-26.16</v>
      </c>
      <c r="F443" s="28">
        <v>-4.3600000000000003</v>
      </c>
      <c r="G443" s="22" t="s">
        <v>489</v>
      </c>
      <c r="H443" s="22" t="s">
        <v>483</v>
      </c>
      <c r="I443" s="22"/>
    </row>
    <row r="444" spans="1:9" x14ac:dyDescent="0.25">
      <c r="A444" s="22" t="b">
        <v>0</v>
      </c>
      <c r="B444" s="22" t="s">
        <v>1643</v>
      </c>
      <c r="C444" s="34">
        <v>45927</v>
      </c>
      <c r="D444" s="22" t="s">
        <v>3510</v>
      </c>
      <c r="E444" s="22">
        <v>-82.8</v>
      </c>
      <c r="F444" s="28"/>
      <c r="G444" s="22" t="s">
        <v>489</v>
      </c>
      <c r="H444" s="22" t="s">
        <v>483</v>
      </c>
      <c r="I444" s="22"/>
    </row>
    <row r="445" spans="1:9" x14ac:dyDescent="0.25">
      <c r="A445" s="22" t="b">
        <v>0</v>
      </c>
      <c r="B445" s="22" t="s">
        <v>1635</v>
      </c>
      <c r="C445" s="34">
        <v>45928</v>
      </c>
      <c r="D445" s="22" t="s">
        <v>3511</v>
      </c>
      <c r="E445" s="22">
        <v>-36</v>
      </c>
      <c r="F445" s="28"/>
      <c r="G445" s="22" t="s">
        <v>489</v>
      </c>
      <c r="H445" s="22" t="s">
        <v>483</v>
      </c>
      <c r="I445" s="22"/>
    </row>
    <row r="446" spans="1:9" x14ac:dyDescent="0.25">
      <c r="A446" s="22" t="b">
        <v>0</v>
      </c>
      <c r="B446" s="22" t="s">
        <v>1634</v>
      </c>
      <c r="C446" s="34">
        <v>45928</v>
      </c>
      <c r="D446" s="22" t="s">
        <v>3512</v>
      </c>
      <c r="E446" s="22">
        <v>-150</v>
      </c>
      <c r="F446" s="28"/>
      <c r="G446" s="22" t="s">
        <v>489</v>
      </c>
      <c r="H446" s="22" t="s">
        <v>483</v>
      </c>
      <c r="I446" s="22"/>
    </row>
    <row r="447" spans="1:9" x14ac:dyDescent="0.25">
      <c r="A447" s="22" t="b">
        <v>0</v>
      </c>
      <c r="B447" s="22" t="s">
        <v>1639</v>
      </c>
      <c r="C447" s="34">
        <v>45928</v>
      </c>
      <c r="D447" s="22" t="s">
        <v>47</v>
      </c>
      <c r="E447" s="22">
        <v>-9</v>
      </c>
      <c r="F447" s="28"/>
      <c r="G447" s="22" t="s">
        <v>489</v>
      </c>
      <c r="H447" s="22" t="s">
        <v>483</v>
      </c>
      <c r="I447" s="22"/>
    </row>
    <row r="448" spans="1:9" x14ac:dyDescent="0.25">
      <c r="A448" s="22" t="b">
        <v>0</v>
      </c>
      <c r="B448" s="22" t="s">
        <v>2321</v>
      </c>
      <c r="C448" s="34">
        <v>45929</v>
      </c>
      <c r="D448" s="22" t="s">
        <v>3513</v>
      </c>
      <c r="E448" s="22">
        <v>-41.99</v>
      </c>
      <c r="F448" s="28">
        <v>-7</v>
      </c>
      <c r="G448" s="22" t="s">
        <v>489</v>
      </c>
      <c r="H448" s="22" t="s">
        <v>483</v>
      </c>
      <c r="I448" s="22"/>
    </row>
    <row r="449" spans="1:9" x14ac:dyDescent="0.25">
      <c r="A449" s="22" t="b">
        <v>0</v>
      </c>
      <c r="B449" s="22" t="s">
        <v>1625</v>
      </c>
      <c r="C449" s="34">
        <v>45930</v>
      </c>
      <c r="D449" s="22" t="s">
        <v>3295</v>
      </c>
      <c r="E449" s="22">
        <v>-1538.4</v>
      </c>
      <c r="F449" s="28"/>
      <c r="G449" s="22" t="s">
        <v>489</v>
      </c>
      <c r="H449" s="22" t="s">
        <v>483</v>
      </c>
      <c r="I449" s="22"/>
    </row>
    <row r="450" spans="1:9" x14ac:dyDescent="0.25">
      <c r="A450" s="22" t="b">
        <v>0</v>
      </c>
      <c r="B450" s="22" t="s">
        <v>1622</v>
      </c>
      <c r="C450" s="34">
        <v>45930</v>
      </c>
      <c r="D450" s="22" t="s">
        <v>418</v>
      </c>
      <c r="E450" s="22">
        <v>-2.62</v>
      </c>
      <c r="F450" s="28"/>
      <c r="G450" s="22" t="s">
        <v>489</v>
      </c>
      <c r="H450" s="22" t="s">
        <v>483</v>
      </c>
      <c r="I450" s="22"/>
    </row>
    <row r="451" spans="1:9" x14ac:dyDescent="0.25">
      <c r="A451" s="22" t="b">
        <v>0</v>
      </c>
      <c r="B451" s="22" t="s">
        <v>1623</v>
      </c>
      <c r="C451" s="34">
        <v>45930</v>
      </c>
      <c r="D451" s="22" t="s">
        <v>418</v>
      </c>
      <c r="E451" s="22">
        <v>-1.33</v>
      </c>
      <c r="F451" s="28"/>
      <c r="G451" s="22" t="s">
        <v>489</v>
      </c>
      <c r="H451" s="22" t="s">
        <v>483</v>
      </c>
      <c r="I451" s="22"/>
    </row>
    <row r="452" spans="1:9" x14ac:dyDescent="0.25">
      <c r="A452" s="22" t="b">
        <v>0</v>
      </c>
      <c r="B452" s="22" t="s">
        <v>1626</v>
      </c>
      <c r="C452" s="34">
        <v>45930</v>
      </c>
      <c r="D452" s="22" t="s">
        <v>3337</v>
      </c>
      <c r="E452" s="22">
        <v>-26.44</v>
      </c>
      <c r="F452" s="28">
        <v>-4.41</v>
      </c>
      <c r="G452" s="22" t="s">
        <v>489</v>
      </c>
      <c r="H452" s="22" t="s">
        <v>483</v>
      </c>
      <c r="I452" s="22"/>
    </row>
    <row r="453" spans="1:9" x14ac:dyDescent="0.25">
      <c r="A453" s="22" t="b">
        <v>0</v>
      </c>
      <c r="B453" s="22" t="s">
        <v>2320</v>
      </c>
      <c r="C453" s="34">
        <v>45931</v>
      </c>
      <c r="D453" s="22" t="s">
        <v>3514</v>
      </c>
      <c r="E453" s="22">
        <v>-54.25</v>
      </c>
      <c r="F453" s="28"/>
      <c r="G453" s="22" t="s">
        <v>489</v>
      </c>
      <c r="H453" s="22" t="s">
        <v>483</v>
      </c>
      <c r="I453" s="22"/>
    </row>
    <row r="454" spans="1:9" x14ac:dyDescent="0.25">
      <c r="A454" s="22" t="b">
        <v>0</v>
      </c>
      <c r="B454" s="22" t="s">
        <v>2319</v>
      </c>
      <c r="C454" s="34">
        <v>45931</v>
      </c>
      <c r="D454" s="22" t="s">
        <v>3515</v>
      </c>
      <c r="E454" s="22">
        <v>-54.25</v>
      </c>
      <c r="F454" s="28"/>
      <c r="G454" s="22" t="s">
        <v>489</v>
      </c>
      <c r="H454" s="22" t="s">
        <v>483</v>
      </c>
      <c r="I454" s="22"/>
    </row>
    <row r="455" spans="1:9" x14ac:dyDescent="0.25">
      <c r="A455" s="22" t="b">
        <v>0</v>
      </c>
      <c r="B455" s="22" t="s">
        <v>2179</v>
      </c>
      <c r="C455" s="34">
        <v>45931</v>
      </c>
      <c r="D455" s="22" t="s">
        <v>3516</v>
      </c>
      <c r="E455" s="22">
        <v>-54.25</v>
      </c>
      <c r="F455" s="28"/>
      <c r="G455" s="28" t="s">
        <v>489</v>
      </c>
      <c r="H455" s="22" t="s">
        <v>483</v>
      </c>
      <c r="I455" s="22"/>
    </row>
    <row r="456" spans="1:9" x14ac:dyDescent="0.25">
      <c r="A456" s="22" t="b">
        <v>0</v>
      </c>
      <c r="B456" s="22" t="s">
        <v>1619</v>
      </c>
      <c r="C456" s="34">
        <v>45931</v>
      </c>
      <c r="D456" s="22" t="s">
        <v>3517</v>
      </c>
      <c r="E456" s="22">
        <v>-760.2</v>
      </c>
      <c r="F456" s="28"/>
      <c r="G456" s="22" t="s">
        <v>489</v>
      </c>
      <c r="H456" s="22" t="s">
        <v>483</v>
      </c>
      <c r="I456" s="22"/>
    </row>
    <row r="457" spans="1:9" x14ac:dyDescent="0.25">
      <c r="A457" s="22" t="b">
        <v>0</v>
      </c>
      <c r="B457" s="22" t="s">
        <v>1607</v>
      </c>
      <c r="C457" s="34">
        <v>45932</v>
      </c>
      <c r="D457" s="22" t="s">
        <v>94</v>
      </c>
      <c r="E457" s="22">
        <v>-56.67</v>
      </c>
      <c r="F457" s="28"/>
      <c r="G457" s="22" t="s">
        <v>489</v>
      </c>
      <c r="H457" s="22" t="s">
        <v>483</v>
      </c>
      <c r="I457" s="22"/>
    </row>
    <row r="458" spans="1:9" x14ac:dyDescent="0.25">
      <c r="A458" s="22" t="b">
        <v>0</v>
      </c>
      <c r="B458" s="22" t="s">
        <v>1616</v>
      </c>
      <c r="C458" s="34">
        <v>45932</v>
      </c>
      <c r="D458" s="22" t="s">
        <v>3422</v>
      </c>
      <c r="E458" s="22">
        <v>-266.27999999999997</v>
      </c>
      <c r="F458" s="28"/>
      <c r="G458" s="22" t="s">
        <v>489</v>
      </c>
      <c r="H458" s="22" t="s">
        <v>483</v>
      </c>
      <c r="I458" s="22"/>
    </row>
    <row r="459" spans="1:9" x14ac:dyDescent="0.25">
      <c r="A459" s="22" t="b">
        <v>0</v>
      </c>
      <c r="B459" s="22" t="s">
        <v>1617</v>
      </c>
      <c r="C459" s="34">
        <v>45932</v>
      </c>
      <c r="D459" s="22" t="s">
        <v>3378</v>
      </c>
      <c r="E459" s="22">
        <v>-7</v>
      </c>
      <c r="F459" s="28"/>
      <c r="G459" s="22" t="s">
        <v>489</v>
      </c>
      <c r="H459" s="22" t="s">
        <v>483</v>
      </c>
      <c r="I459" s="22"/>
    </row>
    <row r="460" spans="1:9" x14ac:dyDescent="0.25">
      <c r="A460" s="22" t="b">
        <v>0</v>
      </c>
      <c r="B460" s="22" t="s">
        <v>1613</v>
      </c>
      <c r="C460" s="34">
        <v>45932</v>
      </c>
      <c r="D460" s="22" t="s">
        <v>3453</v>
      </c>
      <c r="E460" s="22">
        <v>-90</v>
      </c>
      <c r="F460" s="28"/>
      <c r="G460" s="22" t="s">
        <v>489</v>
      </c>
      <c r="H460" s="22" t="s">
        <v>483</v>
      </c>
      <c r="I460" s="22"/>
    </row>
    <row r="461" spans="1:9" x14ac:dyDescent="0.25">
      <c r="A461" s="22" t="b">
        <v>0</v>
      </c>
      <c r="B461" s="22" t="s">
        <v>1614</v>
      </c>
      <c r="C461" s="34">
        <v>45932</v>
      </c>
      <c r="D461" s="22" t="s">
        <v>3518</v>
      </c>
      <c r="E461" s="22">
        <v>-379</v>
      </c>
      <c r="F461" s="28"/>
      <c r="G461" s="22" t="s">
        <v>489</v>
      </c>
      <c r="H461" s="22" t="s">
        <v>483</v>
      </c>
      <c r="I461" s="22"/>
    </row>
    <row r="462" spans="1:9" x14ac:dyDescent="0.25">
      <c r="A462" s="22" t="b">
        <v>0</v>
      </c>
      <c r="B462" s="22" t="s">
        <v>1612</v>
      </c>
      <c r="C462" s="34">
        <v>45932</v>
      </c>
      <c r="D462" s="22" t="s">
        <v>3485</v>
      </c>
      <c r="E462" s="22">
        <v>-44.45</v>
      </c>
      <c r="F462" s="28"/>
      <c r="G462" s="22" t="s">
        <v>489</v>
      </c>
      <c r="H462" s="22" t="s">
        <v>483</v>
      </c>
      <c r="I462" s="22"/>
    </row>
    <row r="463" spans="1:9" x14ac:dyDescent="0.25">
      <c r="A463" s="22" t="b">
        <v>0</v>
      </c>
      <c r="B463" s="22" t="s">
        <v>2318</v>
      </c>
      <c r="C463" s="34">
        <v>45933</v>
      </c>
      <c r="D463" s="22" t="s">
        <v>3519</v>
      </c>
      <c r="E463" s="22">
        <v>-30</v>
      </c>
      <c r="F463" s="28"/>
      <c r="G463" s="22" t="s">
        <v>489</v>
      </c>
      <c r="H463" s="22" t="s">
        <v>483</v>
      </c>
      <c r="I463" s="22"/>
    </row>
    <row r="464" spans="1:9" x14ac:dyDescent="0.25">
      <c r="A464" s="22" t="b">
        <v>0</v>
      </c>
      <c r="B464" s="22" t="s">
        <v>1602</v>
      </c>
      <c r="C464" s="34">
        <v>45934</v>
      </c>
      <c r="D464" s="22" t="s">
        <v>3334</v>
      </c>
      <c r="E464" s="22">
        <v>-10</v>
      </c>
      <c r="F464" s="28"/>
      <c r="G464" s="22" t="s">
        <v>489</v>
      </c>
      <c r="H464" s="22" t="s">
        <v>483</v>
      </c>
      <c r="I464" s="22"/>
    </row>
    <row r="465" spans="1:9" x14ac:dyDescent="0.25">
      <c r="A465" s="22" t="b">
        <v>0</v>
      </c>
      <c r="B465" s="22" t="s">
        <v>1598</v>
      </c>
      <c r="C465" s="34">
        <v>45935</v>
      </c>
      <c r="D465" s="22" t="s">
        <v>3520</v>
      </c>
      <c r="E465" s="22">
        <v>-95.5</v>
      </c>
      <c r="F465" s="28"/>
      <c r="G465" s="22" t="s">
        <v>489</v>
      </c>
      <c r="H465" s="22" t="s">
        <v>483</v>
      </c>
      <c r="I465" s="22"/>
    </row>
    <row r="466" spans="1:9" x14ac:dyDescent="0.25">
      <c r="A466" s="22" t="b">
        <v>0</v>
      </c>
      <c r="B466" s="22" t="s">
        <v>1595</v>
      </c>
      <c r="C466" s="34">
        <v>45935</v>
      </c>
      <c r="D466" s="22" t="s">
        <v>47</v>
      </c>
      <c r="E466" s="22">
        <v>-12</v>
      </c>
      <c r="F466" s="28"/>
      <c r="G466" s="22" t="s">
        <v>489</v>
      </c>
      <c r="H466" s="22" t="s">
        <v>483</v>
      </c>
      <c r="I466" s="22"/>
    </row>
    <row r="467" spans="1:9" x14ac:dyDescent="0.25">
      <c r="A467" s="22" t="b">
        <v>0</v>
      </c>
      <c r="B467" s="22" t="s">
        <v>1599</v>
      </c>
      <c r="C467" s="34">
        <v>45935</v>
      </c>
      <c r="D467" s="22" t="s">
        <v>416</v>
      </c>
      <c r="E467" s="22">
        <v>-151.66</v>
      </c>
      <c r="F467" s="28"/>
      <c r="G467" s="22" t="s">
        <v>489</v>
      </c>
      <c r="H467" s="22" t="s">
        <v>483</v>
      </c>
      <c r="I467" s="22"/>
    </row>
    <row r="468" spans="1:9" x14ac:dyDescent="0.25">
      <c r="A468" s="22" t="b">
        <v>0</v>
      </c>
      <c r="B468" s="22" t="s">
        <v>1587</v>
      </c>
      <c r="C468" s="34">
        <v>45935</v>
      </c>
      <c r="D468" s="22" t="s">
        <v>3521</v>
      </c>
      <c r="E468" s="22">
        <v>-261.2</v>
      </c>
      <c r="F468" s="28"/>
      <c r="G468" s="22" t="s">
        <v>489</v>
      </c>
      <c r="H468" s="22" t="s">
        <v>483</v>
      </c>
      <c r="I468" s="22"/>
    </row>
    <row r="469" spans="1:9" x14ac:dyDescent="0.25">
      <c r="A469" s="22" t="b">
        <v>0</v>
      </c>
      <c r="B469" s="22" t="s">
        <v>1580</v>
      </c>
      <c r="C469" s="34">
        <v>45936</v>
      </c>
      <c r="D469" s="22" t="s">
        <v>3402</v>
      </c>
      <c r="E469" s="22">
        <v>-20.27</v>
      </c>
      <c r="F469" s="28"/>
      <c r="G469" s="22" t="s">
        <v>489</v>
      </c>
      <c r="H469" s="22" t="s">
        <v>483</v>
      </c>
      <c r="I469" s="22"/>
    </row>
    <row r="470" spans="1:9" x14ac:dyDescent="0.25">
      <c r="A470" s="22" t="b">
        <v>0</v>
      </c>
      <c r="B470" s="22" t="s">
        <v>2317</v>
      </c>
      <c r="C470" s="34">
        <v>45938</v>
      </c>
      <c r="D470" s="22" t="s">
        <v>3325</v>
      </c>
      <c r="E470" s="22">
        <v>-10</v>
      </c>
      <c r="F470" s="28"/>
      <c r="G470" s="22" t="s">
        <v>489</v>
      </c>
      <c r="H470" s="22" t="s">
        <v>483</v>
      </c>
      <c r="I470" s="22"/>
    </row>
    <row r="471" spans="1:9" x14ac:dyDescent="0.25">
      <c r="A471" s="22" t="b">
        <v>0</v>
      </c>
      <c r="B471" s="22" t="s">
        <v>1578</v>
      </c>
      <c r="C471" s="34">
        <v>45940</v>
      </c>
      <c r="D471" s="22" t="s">
        <v>152</v>
      </c>
      <c r="E471" s="22">
        <v>-4.5199999999999996</v>
      </c>
      <c r="F471" s="28"/>
      <c r="G471" s="22" t="s">
        <v>489</v>
      </c>
      <c r="H471" s="22" t="s">
        <v>483</v>
      </c>
      <c r="I471" s="22"/>
    </row>
    <row r="472" spans="1:9" x14ac:dyDescent="0.25">
      <c r="A472" s="22" t="b">
        <v>0</v>
      </c>
      <c r="B472" s="22" t="s">
        <v>1942</v>
      </c>
      <c r="C472" s="34">
        <v>45942</v>
      </c>
      <c r="D472" s="22" t="s">
        <v>3522</v>
      </c>
      <c r="E472" s="22">
        <v>162.08000000000001</v>
      </c>
      <c r="F472" s="28"/>
      <c r="G472" s="22" t="s">
        <v>482</v>
      </c>
      <c r="H472" s="22" t="s">
        <v>483</v>
      </c>
      <c r="I472" s="22"/>
    </row>
    <row r="473" spans="1:9" x14ac:dyDescent="0.25">
      <c r="A473" s="22" t="b">
        <v>0</v>
      </c>
      <c r="B473" s="22" t="s">
        <v>1572</v>
      </c>
      <c r="C473" s="34">
        <v>45944</v>
      </c>
      <c r="D473" s="22" t="s">
        <v>3377</v>
      </c>
      <c r="E473" s="22">
        <v>-27.96</v>
      </c>
      <c r="F473" s="28">
        <v>-4.66</v>
      </c>
      <c r="G473" s="22" t="s">
        <v>489</v>
      </c>
      <c r="H473" s="22" t="s">
        <v>483</v>
      </c>
      <c r="I473" s="22"/>
    </row>
    <row r="474" spans="1:9" x14ac:dyDescent="0.25">
      <c r="A474" s="22" t="b">
        <v>0</v>
      </c>
      <c r="B474" s="22" t="s">
        <v>1571</v>
      </c>
      <c r="C474" s="34">
        <v>45944</v>
      </c>
      <c r="D474" s="22" t="s">
        <v>3346</v>
      </c>
      <c r="E474" s="22">
        <v>-550</v>
      </c>
      <c r="F474" s="28"/>
      <c r="G474" s="22" t="s">
        <v>489</v>
      </c>
      <c r="H474" s="22" t="s">
        <v>483</v>
      </c>
      <c r="I474" s="22"/>
    </row>
    <row r="475" spans="1:9" x14ac:dyDescent="0.25">
      <c r="A475" s="22" t="b">
        <v>0</v>
      </c>
      <c r="B475" s="22" t="s">
        <v>2360</v>
      </c>
      <c r="C475" s="34">
        <v>45945</v>
      </c>
      <c r="D475" s="22" t="s">
        <v>3523</v>
      </c>
      <c r="E475" s="22">
        <v>-52</v>
      </c>
      <c r="F475" s="28"/>
      <c r="G475" s="22" t="s">
        <v>489</v>
      </c>
      <c r="H475" s="22" t="s">
        <v>483</v>
      </c>
      <c r="I475" s="22"/>
    </row>
    <row r="476" spans="1:9" x14ac:dyDescent="0.25">
      <c r="A476" s="22" t="b">
        <v>0</v>
      </c>
      <c r="B476" s="22" t="s">
        <v>2298</v>
      </c>
      <c r="C476" s="34">
        <v>45950</v>
      </c>
      <c r="D476" s="22" t="s">
        <v>3524</v>
      </c>
      <c r="E476" s="22">
        <v>-2550.7199999999998</v>
      </c>
      <c r="F476" s="28"/>
      <c r="G476" s="22" t="s">
        <v>489</v>
      </c>
      <c r="H476" s="22" t="s">
        <v>483</v>
      </c>
      <c r="I476" s="22"/>
    </row>
    <row r="477" spans="1:9" x14ac:dyDescent="0.25">
      <c r="A477" s="22" t="b">
        <v>0</v>
      </c>
      <c r="B477" s="22" t="s">
        <v>1558</v>
      </c>
      <c r="C477" s="34">
        <v>45950</v>
      </c>
      <c r="D477" s="22" t="s">
        <v>3475</v>
      </c>
      <c r="E477" s="22">
        <v>-60</v>
      </c>
      <c r="F477" s="28"/>
      <c r="G477" s="22" t="s">
        <v>489</v>
      </c>
      <c r="H477" s="22" t="s">
        <v>483</v>
      </c>
      <c r="I477" s="22"/>
    </row>
    <row r="478" spans="1:9" x14ac:dyDescent="0.25">
      <c r="A478" s="22" t="b">
        <v>0</v>
      </c>
      <c r="B478" s="22" t="s">
        <v>1556</v>
      </c>
      <c r="C478" s="34">
        <v>45951</v>
      </c>
      <c r="D478" s="22" t="s">
        <v>351</v>
      </c>
      <c r="E478" s="22">
        <v>-67.5</v>
      </c>
      <c r="F478" s="28"/>
      <c r="G478" s="22" t="s">
        <v>489</v>
      </c>
      <c r="H478" s="22" t="s">
        <v>483</v>
      </c>
      <c r="I478" s="22"/>
    </row>
    <row r="479" spans="1:9" x14ac:dyDescent="0.25">
      <c r="A479" s="22" t="b">
        <v>0</v>
      </c>
      <c r="B479" s="22" t="s">
        <v>1555</v>
      </c>
      <c r="C479" s="34">
        <v>45952</v>
      </c>
      <c r="D479" s="22" t="s">
        <v>3447</v>
      </c>
      <c r="E479" s="22">
        <v>-9.5</v>
      </c>
      <c r="F479" s="28"/>
      <c r="G479" s="22" t="s">
        <v>489</v>
      </c>
      <c r="H479" s="22" t="s">
        <v>483</v>
      </c>
      <c r="I479" s="22"/>
    </row>
    <row r="480" spans="1:9" x14ac:dyDescent="0.25">
      <c r="A480" s="22" t="b">
        <v>0</v>
      </c>
      <c r="B480" s="22" t="s">
        <v>1554</v>
      </c>
      <c r="C480" s="34">
        <v>45954</v>
      </c>
      <c r="D480" s="22" t="s">
        <v>3453</v>
      </c>
      <c r="E480" s="22">
        <v>-90</v>
      </c>
      <c r="F480" s="28"/>
      <c r="G480" s="22" t="s">
        <v>489</v>
      </c>
      <c r="H480" s="22" t="s">
        <v>483</v>
      </c>
      <c r="I480" s="22"/>
    </row>
    <row r="481" spans="1:9" x14ac:dyDescent="0.25">
      <c r="A481" s="22" t="b">
        <v>0</v>
      </c>
      <c r="B481" s="22" t="s">
        <v>1547</v>
      </c>
      <c r="C481" s="34">
        <v>45955</v>
      </c>
      <c r="D481" s="22" t="s">
        <v>382</v>
      </c>
      <c r="E481" s="22">
        <v>-40</v>
      </c>
      <c r="F481" s="28">
        <v>-6.67</v>
      </c>
      <c r="G481" s="22" t="s">
        <v>489</v>
      </c>
      <c r="H481" s="22" t="s">
        <v>483</v>
      </c>
      <c r="I481" s="22"/>
    </row>
    <row r="482" spans="1:9" x14ac:dyDescent="0.25">
      <c r="A482" s="22" t="b">
        <v>0</v>
      </c>
      <c r="B482" s="22" t="s">
        <v>2437</v>
      </c>
      <c r="C482" s="34">
        <v>45957</v>
      </c>
      <c r="D482" s="22" t="s">
        <v>3506</v>
      </c>
      <c r="E482" s="22">
        <v>-88.28</v>
      </c>
      <c r="F482" s="28"/>
      <c r="G482" s="22" t="s">
        <v>489</v>
      </c>
      <c r="H482" s="22" t="s">
        <v>483</v>
      </c>
      <c r="I482" s="22"/>
    </row>
    <row r="483" spans="1:9" x14ac:dyDescent="0.25">
      <c r="A483" s="22" t="b">
        <v>0</v>
      </c>
      <c r="B483" s="22" t="s">
        <v>1540</v>
      </c>
      <c r="C483" s="34">
        <v>45957</v>
      </c>
      <c r="D483" s="36" t="s">
        <v>3460</v>
      </c>
      <c r="E483" s="22">
        <v>-77</v>
      </c>
      <c r="F483" s="28"/>
      <c r="G483" s="22" t="s">
        <v>489</v>
      </c>
      <c r="H483" s="22" t="s">
        <v>483</v>
      </c>
      <c r="I483" s="22"/>
    </row>
    <row r="484" spans="1:9" x14ac:dyDescent="0.25">
      <c r="A484" s="22" t="b">
        <v>0</v>
      </c>
      <c r="B484" s="22" t="s">
        <v>2316</v>
      </c>
      <c r="C484" s="34">
        <v>45960</v>
      </c>
      <c r="D484" s="22" t="s">
        <v>3513</v>
      </c>
      <c r="E484" s="22">
        <v>-41.99</v>
      </c>
      <c r="F484" s="28">
        <v>-7</v>
      </c>
      <c r="G484" s="22" t="s">
        <v>489</v>
      </c>
      <c r="H484" s="22" t="s">
        <v>483</v>
      </c>
      <c r="I484" s="22"/>
    </row>
    <row r="485" spans="1:9" x14ac:dyDescent="0.25">
      <c r="A485" s="22" t="b">
        <v>0</v>
      </c>
      <c r="B485" s="22" t="s">
        <v>1531</v>
      </c>
      <c r="C485" s="34">
        <v>45960</v>
      </c>
      <c r="D485" s="22" t="s">
        <v>3525</v>
      </c>
      <c r="E485" s="22">
        <v>-4.79</v>
      </c>
      <c r="F485" s="28"/>
      <c r="G485" s="22" t="s">
        <v>489</v>
      </c>
      <c r="H485" s="22" t="s">
        <v>483</v>
      </c>
      <c r="I485" s="22"/>
    </row>
    <row r="486" spans="1:9" x14ac:dyDescent="0.25">
      <c r="A486" s="22" t="b">
        <v>0</v>
      </c>
      <c r="B486" s="22" t="s">
        <v>1532</v>
      </c>
      <c r="C486" s="34">
        <v>45960</v>
      </c>
      <c r="D486" s="22" t="s">
        <v>3526</v>
      </c>
      <c r="E486" s="22">
        <v>-1</v>
      </c>
      <c r="F486" s="28"/>
      <c r="G486" s="22" t="s">
        <v>489</v>
      </c>
      <c r="H486" s="22" t="s">
        <v>483</v>
      </c>
      <c r="I486" s="22"/>
    </row>
    <row r="487" spans="1:9" x14ac:dyDescent="0.25">
      <c r="A487" s="22" t="b">
        <v>0</v>
      </c>
      <c r="B487" s="22" t="s">
        <v>1533</v>
      </c>
      <c r="C487" s="34">
        <v>45960</v>
      </c>
      <c r="D487" s="22" t="s">
        <v>3526</v>
      </c>
      <c r="E487" s="22">
        <v>-1</v>
      </c>
      <c r="F487" s="28"/>
      <c r="G487" s="22" t="s">
        <v>489</v>
      </c>
      <c r="H487" s="22" t="s">
        <v>483</v>
      </c>
      <c r="I487" s="22"/>
    </row>
    <row r="488" spans="1:9" x14ac:dyDescent="0.25">
      <c r="A488" s="22" t="b">
        <v>0</v>
      </c>
      <c r="B488" s="22" t="s">
        <v>1534</v>
      </c>
      <c r="C488" s="34">
        <v>45960</v>
      </c>
      <c r="D488" s="22" t="s">
        <v>3527</v>
      </c>
      <c r="E488" s="22">
        <v>-83.16</v>
      </c>
      <c r="F488" s="28"/>
      <c r="G488" s="22" t="s">
        <v>489</v>
      </c>
      <c r="H488" s="22" t="s">
        <v>483</v>
      </c>
      <c r="I488" s="22"/>
    </row>
    <row r="489" spans="1:9" x14ac:dyDescent="0.25">
      <c r="A489" s="22" t="b">
        <v>0</v>
      </c>
      <c r="B489" s="22" t="s">
        <v>1530</v>
      </c>
      <c r="C489" s="34">
        <v>45961</v>
      </c>
      <c r="D489" s="22" t="s">
        <v>374</v>
      </c>
      <c r="E489" s="22">
        <v>-5.15</v>
      </c>
      <c r="F489" s="28"/>
      <c r="G489" s="22" t="s">
        <v>489</v>
      </c>
      <c r="H489" s="22" t="s">
        <v>483</v>
      </c>
      <c r="I489" s="22"/>
    </row>
    <row r="490" spans="1:9" x14ac:dyDescent="0.25">
      <c r="A490" s="22" t="b">
        <v>0</v>
      </c>
      <c r="B490" s="22" t="s">
        <v>1519</v>
      </c>
      <c r="C490" s="34">
        <v>45963</v>
      </c>
      <c r="D490" s="22" t="s">
        <v>94</v>
      </c>
      <c r="E490" s="22">
        <v>-56.66</v>
      </c>
      <c r="F490" s="28"/>
      <c r="G490" s="22" t="s">
        <v>489</v>
      </c>
      <c r="H490" s="22" t="s">
        <v>483</v>
      </c>
      <c r="I490" s="22"/>
    </row>
    <row r="491" spans="1:9" x14ac:dyDescent="0.25">
      <c r="A491" s="22" t="b">
        <v>0</v>
      </c>
      <c r="B491" s="22" t="s">
        <v>1524</v>
      </c>
      <c r="C491" s="34">
        <v>45963</v>
      </c>
      <c r="D491" s="22" t="s">
        <v>3422</v>
      </c>
      <c r="E491" s="22">
        <v>-131.06</v>
      </c>
      <c r="F491" s="28"/>
      <c r="G491" s="22" t="s">
        <v>489</v>
      </c>
      <c r="H491" s="22" t="s">
        <v>483</v>
      </c>
      <c r="I491" s="22"/>
    </row>
    <row r="492" spans="1:9" x14ac:dyDescent="0.25">
      <c r="A492" s="22" t="b">
        <v>0</v>
      </c>
      <c r="B492" s="22" t="s">
        <v>1525</v>
      </c>
      <c r="C492" s="34">
        <v>45963</v>
      </c>
      <c r="D492" s="22" t="s">
        <v>3378</v>
      </c>
      <c r="E492" s="22">
        <v>-7</v>
      </c>
      <c r="F492" s="28"/>
      <c r="G492" s="22" t="s">
        <v>489</v>
      </c>
      <c r="H492" s="22" t="s">
        <v>483</v>
      </c>
      <c r="I492" s="22"/>
    </row>
    <row r="493" spans="1:9" x14ac:dyDescent="0.25">
      <c r="A493" s="22" t="b">
        <v>0</v>
      </c>
      <c r="B493" s="22" t="s">
        <v>1520</v>
      </c>
      <c r="C493" s="34">
        <v>45963</v>
      </c>
      <c r="D493" s="22" t="s">
        <v>3447</v>
      </c>
      <c r="E493" s="22">
        <v>-9.75</v>
      </c>
      <c r="F493" s="28"/>
      <c r="G493" s="22" t="s">
        <v>489</v>
      </c>
      <c r="H493" s="22" t="s">
        <v>483</v>
      </c>
      <c r="I493" s="22"/>
    </row>
    <row r="494" spans="1:9" x14ac:dyDescent="0.25">
      <c r="A494" s="22" t="b">
        <v>0</v>
      </c>
      <c r="B494" s="22" t="s">
        <v>2315</v>
      </c>
      <c r="C494" s="34">
        <v>45964</v>
      </c>
      <c r="D494" s="22" t="s">
        <v>3514</v>
      </c>
      <c r="E494" s="22">
        <v>-54.25</v>
      </c>
      <c r="F494" s="28"/>
      <c r="G494" s="22" t="s">
        <v>489</v>
      </c>
      <c r="H494" s="22" t="s">
        <v>483</v>
      </c>
      <c r="I494" s="22"/>
    </row>
    <row r="495" spans="1:9" x14ac:dyDescent="0.25">
      <c r="A495" s="22" t="b">
        <v>0</v>
      </c>
      <c r="B495" s="22" t="s">
        <v>2313</v>
      </c>
      <c r="C495" s="34">
        <v>45964</v>
      </c>
      <c r="D495" s="22" t="s">
        <v>3515</v>
      </c>
      <c r="E495" s="22">
        <v>-54.25</v>
      </c>
      <c r="F495" s="28"/>
      <c r="G495" s="22" t="s">
        <v>489</v>
      </c>
      <c r="H495" s="22" t="s">
        <v>483</v>
      </c>
      <c r="I495" s="22"/>
    </row>
    <row r="496" spans="1:9" x14ac:dyDescent="0.25">
      <c r="A496" s="22" t="b">
        <v>0</v>
      </c>
      <c r="B496" s="22" t="s">
        <v>2178</v>
      </c>
      <c r="C496" s="34">
        <v>45964</v>
      </c>
      <c r="D496" s="22" t="s">
        <v>3528</v>
      </c>
      <c r="E496" s="22">
        <v>-54.25</v>
      </c>
      <c r="F496" s="28"/>
      <c r="G496" s="28" t="s">
        <v>489</v>
      </c>
      <c r="H496" s="22" t="s">
        <v>483</v>
      </c>
      <c r="I496" s="22"/>
    </row>
    <row r="497" spans="1:9" x14ac:dyDescent="0.25">
      <c r="A497" s="22" t="b">
        <v>0</v>
      </c>
      <c r="B497" s="22" t="s">
        <v>2314</v>
      </c>
      <c r="C497" s="34">
        <v>45964</v>
      </c>
      <c r="D497" s="22" t="s">
        <v>3519</v>
      </c>
      <c r="E497" s="22">
        <v>-30</v>
      </c>
      <c r="F497" s="28"/>
      <c r="G497" s="22" t="s">
        <v>489</v>
      </c>
      <c r="H497" s="22" t="s">
        <v>483</v>
      </c>
      <c r="I497" s="22"/>
    </row>
    <row r="498" spans="1:9" x14ac:dyDescent="0.25">
      <c r="A498" s="22" t="b">
        <v>0</v>
      </c>
      <c r="B498" s="22" t="s">
        <v>1514</v>
      </c>
      <c r="C498" s="34">
        <v>45965</v>
      </c>
      <c r="D498" s="22" t="s">
        <v>3485</v>
      </c>
      <c r="E498" s="22">
        <v>-44.45</v>
      </c>
      <c r="F498" s="28"/>
      <c r="G498" s="22" t="s">
        <v>489</v>
      </c>
      <c r="H498" s="22" t="s">
        <v>483</v>
      </c>
      <c r="I498" s="22"/>
    </row>
    <row r="499" spans="1:9" x14ac:dyDescent="0.25">
      <c r="A499" s="22" t="b">
        <v>0</v>
      </c>
      <c r="B499" s="22" t="s">
        <v>1513</v>
      </c>
      <c r="C499" s="34">
        <v>45966</v>
      </c>
      <c r="D499" s="22" t="s">
        <v>416</v>
      </c>
      <c r="E499" s="22">
        <v>-151.66</v>
      </c>
      <c r="F499" s="28"/>
      <c r="G499" s="22" t="s">
        <v>489</v>
      </c>
      <c r="H499" s="22" t="s">
        <v>483</v>
      </c>
      <c r="I499" s="22"/>
    </row>
    <row r="500" spans="1:9" x14ac:dyDescent="0.25">
      <c r="A500" s="22" t="b">
        <v>0</v>
      </c>
      <c r="B500" s="22" t="s">
        <v>1503</v>
      </c>
      <c r="C500" s="34">
        <v>45968</v>
      </c>
      <c r="D500" s="22" t="s">
        <v>3529</v>
      </c>
      <c r="E500" s="22">
        <v>-8</v>
      </c>
      <c r="F500" s="28"/>
      <c r="G500" s="22" t="s">
        <v>489</v>
      </c>
      <c r="H500" s="22" t="s">
        <v>483</v>
      </c>
      <c r="I500" s="22"/>
    </row>
    <row r="501" spans="1:9" x14ac:dyDescent="0.25">
      <c r="A501" s="22" t="b">
        <v>0</v>
      </c>
      <c r="B501" s="22" t="s">
        <v>1495</v>
      </c>
      <c r="C501" s="34">
        <v>45969</v>
      </c>
      <c r="D501" s="36" t="s">
        <v>3435</v>
      </c>
      <c r="E501" s="22">
        <v>-224.96</v>
      </c>
      <c r="F501" s="28"/>
      <c r="G501" s="22" t="s">
        <v>489</v>
      </c>
      <c r="H501" s="22" t="s">
        <v>483</v>
      </c>
      <c r="I501" s="22"/>
    </row>
    <row r="502" spans="1:9" x14ac:dyDescent="0.25">
      <c r="A502" s="22" t="b">
        <v>0</v>
      </c>
      <c r="B502" s="22" t="s">
        <v>1496</v>
      </c>
      <c r="C502" s="34">
        <v>45969</v>
      </c>
      <c r="D502" s="22" t="s">
        <v>3529</v>
      </c>
      <c r="E502" s="22">
        <v>-8</v>
      </c>
      <c r="F502" s="28"/>
      <c r="G502" s="22" t="s">
        <v>489</v>
      </c>
      <c r="H502" s="22" t="s">
        <v>483</v>
      </c>
      <c r="I502" s="22"/>
    </row>
    <row r="503" spans="1:9" x14ac:dyDescent="0.25">
      <c r="A503" s="22" t="b">
        <v>0</v>
      </c>
      <c r="B503" s="22" t="s">
        <v>2312</v>
      </c>
      <c r="C503" s="34">
        <v>45969</v>
      </c>
      <c r="D503" s="22" t="s">
        <v>3325</v>
      </c>
      <c r="E503" s="22">
        <v>-10</v>
      </c>
      <c r="F503" s="28"/>
      <c r="G503" s="22" t="s">
        <v>489</v>
      </c>
      <c r="H503" s="22" t="s">
        <v>483</v>
      </c>
      <c r="I503" s="22"/>
    </row>
    <row r="504" spans="1:9" x14ac:dyDescent="0.25">
      <c r="A504" s="22" t="b">
        <v>0</v>
      </c>
      <c r="B504" s="22" t="s">
        <v>1488</v>
      </c>
      <c r="C504" s="34">
        <v>45971</v>
      </c>
      <c r="D504" s="22" t="s">
        <v>152</v>
      </c>
      <c r="E504" s="22">
        <v>-3.8</v>
      </c>
      <c r="F504" s="28"/>
      <c r="G504" s="22" t="s">
        <v>489</v>
      </c>
      <c r="H504" s="22" t="s">
        <v>483</v>
      </c>
      <c r="I504" s="22"/>
    </row>
    <row r="505" spans="1:9" x14ac:dyDescent="0.25">
      <c r="A505" s="22" t="b">
        <v>0</v>
      </c>
      <c r="B505" s="22" t="s">
        <v>1491</v>
      </c>
      <c r="C505" s="34">
        <v>45971</v>
      </c>
      <c r="D505" s="22" t="s">
        <v>3530</v>
      </c>
      <c r="E505" s="22">
        <v>-55</v>
      </c>
      <c r="F505" s="28">
        <v>-9.17</v>
      </c>
      <c r="G505" s="22" t="s">
        <v>489</v>
      </c>
      <c r="H505" s="22" t="s">
        <v>483</v>
      </c>
      <c r="I505" s="22"/>
    </row>
    <row r="506" spans="1:9" x14ac:dyDescent="0.25">
      <c r="A506" s="22" t="b">
        <v>0</v>
      </c>
      <c r="B506" s="22" t="s">
        <v>1490</v>
      </c>
      <c r="C506" s="34">
        <v>45971</v>
      </c>
      <c r="D506" s="22" t="s">
        <v>3531</v>
      </c>
      <c r="E506" s="22">
        <v>-80</v>
      </c>
      <c r="F506" s="28"/>
      <c r="G506" s="22" t="s">
        <v>489</v>
      </c>
      <c r="H506" s="22" t="s">
        <v>483</v>
      </c>
      <c r="I506" s="22"/>
    </row>
    <row r="507" spans="1:9" x14ac:dyDescent="0.25">
      <c r="A507" s="22" t="b">
        <v>0</v>
      </c>
      <c r="B507" s="22" t="s">
        <v>1481</v>
      </c>
      <c r="C507" s="34">
        <v>45974</v>
      </c>
      <c r="D507" s="22" t="s">
        <v>3532</v>
      </c>
      <c r="E507" s="22">
        <v>-109</v>
      </c>
      <c r="F507" s="28"/>
      <c r="G507" s="22" t="s">
        <v>489</v>
      </c>
      <c r="H507" s="22" t="s">
        <v>483</v>
      </c>
      <c r="I507" s="22"/>
    </row>
    <row r="508" spans="1:9" x14ac:dyDescent="0.25">
      <c r="A508" s="22" t="b">
        <v>0</v>
      </c>
      <c r="B508" s="22" t="s">
        <v>1484</v>
      </c>
      <c r="C508" s="34">
        <v>45974</v>
      </c>
      <c r="D508" s="22" t="s">
        <v>3533</v>
      </c>
      <c r="E508" s="22">
        <v>-10</v>
      </c>
      <c r="F508" s="28"/>
      <c r="G508" s="22" t="s">
        <v>489</v>
      </c>
      <c r="H508" s="22" t="s">
        <v>483</v>
      </c>
      <c r="I508" s="22"/>
    </row>
    <row r="509" spans="1:9" x14ac:dyDescent="0.25">
      <c r="A509" s="22" t="b">
        <v>0</v>
      </c>
      <c r="B509" s="22" t="s">
        <v>2436</v>
      </c>
      <c r="C509" s="34">
        <v>45974</v>
      </c>
      <c r="D509" s="22" t="s">
        <v>3534</v>
      </c>
      <c r="E509" s="22">
        <v>-108</v>
      </c>
      <c r="F509" s="28"/>
      <c r="G509" s="22" t="s">
        <v>489</v>
      </c>
      <c r="H509" s="22" t="s">
        <v>483</v>
      </c>
      <c r="I509" s="22"/>
    </row>
    <row r="510" spans="1:9" x14ac:dyDescent="0.25">
      <c r="A510" s="22" t="b">
        <v>0</v>
      </c>
      <c r="B510" s="22" t="s">
        <v>1475</v>
      </c>
      <c r="C510" s="34">
        <v>45975</v>
      </c>
      <c r="D510" s="22" t="s">
        <v>94</v>
      </c>
      <c r="E510" s="22">
        <v>-42.5</v>
      </c>
      <c r="F510" s="28"/>
      <c r="G510" s="22" t="s">
        <v>489</v>
      </c>
      <c r="H510" s="22" t="s">
        <v>483</v>
      </c>
      <c r="I510" s="22"/>
    </row>
    <row r="511" spans="1:9" x14ac:dyDescent="0.25">
      <c r="A511" s="22" t="b">
        <v>0</v>
      </c>
      <c r="B511" s="22" t="s">
        <v>1476</v>
      </c>
      <c r="C511" s="34">
        <v>45975</v>
      </c>
      <c r="D511" s="22" t="s">
        <v>191</v>
      </c>
      <c r="E511" s="22">
        <v>-140</v>
      </c>
      <c r="F511" s="28"/>
      <c r="G511" s="22" t="s">
        <v>489</v>
      </c>
      <c r="H511" s="22" t="s">
        <v>483</v>
      </c>
      <c r="I511" s="22"/>
    </row>
    <row r="512" spans="1:9" x14ac:dyDescent="0.25">
      <c r="A512" s="22" t="b">
        <v>0</v>
      </c>
      <c r="B512" s="22" t="s">
        <v>2359</v>
      </c>
      <c r="C512" s="34">
        <v>45978</v>
      </c>
      <c r="D512" s="22" t="s">
        <v>3523</v>
      </c>
      <c r="E512" s="22">
        <v>-52</v>
      </c>
      <c r="F512" s="28"/>
      <c r="G512" s="22" t="s">
        <v>489</v>
      </c>
      <c r="H512" s="22" t="s">
        <v>483</v>
      </c>
      <c r="I512" s="22"/>
    </row>
    <row r="513" spans="1:9" x14ac:dyDescent="0.25">
      <c r="A513" s="22" t="b">
        <v>0</v>
      </c>
      <c r="B513" s="22" t="s">
        <v>1466</v>
      </c>
      <c r="C513" s="34">
        <v>45979</v>
      </c>
      <c r="D513" s="22" t="s">
        <v>3535</v>
      </c>
      <c r="E513" s="22">
        <v>-114.42</v>
      </c>
      <c r="F513" s="28"/>
      <c r="G513" s="22" t="s">
        <v>489</v>
      </c>
      <c r="H513" s="22" t="s">
        <v>483</v>
      </c>
      <c r="I513" s="22"/>
    </row>
    <row r="514" spans="1:9" x14ac:dyDescent="0.25">
      <c r="A514" s="22" t="b">
        <v>0</v>
      </c>
      <c r="B514" s="22" t="s">
        <v>1461</v>
      </c>
      <c r="C514" s="34">
        <v>45980</v>
      </c>
      <c r="D514" s="22" t="s">
        <v>3536</v>
      </c>
      <c r="E514" s="22">
        <v>-14.18</v>
      </c>
      <c r="F514" s="28"/>
      <c r="G514" s="22" t="s">
        <v>489</v>
      </c>
      <c r="H514" s="22" t="s">
        <v>483</v>
      </c>
      <c r="I514" s="22"/>
    </row>
    <row r="515" spans="1:9" x14ac:dyDescent="0.25">
      <c r="A515" s="22" t="b">
        <v>0</v>
      </c>
      <c r="B515" s="22" t="s">
        <v>2297</v>
      </c>
      <c r="C515" s="34">
        <v>45981</v>
      </c>
      <c r="D515" s="22" t="s">
        <v>3524</v>
      </c>
      <c r="E515" s="22">
        <v>-2550.7199999999998</v>
      </c>
      <c r="F515" s="28"/>
      <c r="G515" s="22" t="s">
        <v>489</v>
      </c>
      <c r="H515" s="22" t="s">
        <v>483</v>
      </c>
      <c r="I515" s="22"/>
    </row>
    <row r="516" spans="1:9" x14ac:dyDescent="0.25">
      <c r="A516" s="22" t="b">
        <v>0</v>
      </c>
      <c r="B516" s="22" t="s">
        <v>1458</v>
      </c>
      <c r="C516" s="34">
        <v>45981</v>
      </c>
      <c r="D516" s="22" t="s">
        <v>3447</v>
      </c>
      <c r="E516" s="22">
        <v>-8.1</v>
      </c>
      <c r="F516" s="28"/>
      <c r="G516" s="22" t="s">
        <v>489</v>
      </c>
      <c r="H516" s="22" t="s">
        <v>483</v>
      </c>
      <c r="I516" s="22"/>
    </row>
    <row r="517" spans="1:9" x14ac:dyDescent="0.25">
      <c r="A517" s="22" t="b">
        <v>0</v>
      </c>
      <c r="B517" s="22" t="s">
        <v>1448</v>
      </c>
      <c r="C517" s="34">
        <v>45983</v>
      </c>
      <c r="D517" s="22" t="s">
        <v>3537</v>
      </c>
      <c r="E517" s="22">
        <v>-5</v>
      </c>
      <c r="F517" s="28"/>
      <c r="G517" s="22" t="s">
        <v>489</v>
      </c>
      <c r="H517" s="22" t="s">
        <v>483</v>
      </c>
      <c r="I517" s="22"/>
    </row>
    <row r="518" spans="1:9" x14ac:dyDescent="0.25">
      <c r="A518" s="22" t="b">
        <v>0</v>
      </c>
      <c r="B518" s="22" t="s">
        <v>1450</v>
      </c>
      <c r="C518" s="34">
        <v>45983</v>
      </c>
      <c r="D518" s="22" t="s">
        <v>3538</v>
      </c>
      <c r="E518" s="22">
        <v>-21.62</v>
      </c>
      <c r="F518" s="28"/>
      <c r="G518" s="22" t="s">
        <v>489</v>
      </c>
      <c r="H518" s="22" t="s">
        <v>483</v>
      </c>
      <c r="I518" s="22"/>
    </row>
    <row r="519" spans="1:9" x14ac:dyDescent="0.25">
      <c r="A519" s="22" t="b">
        <v>0</v>
      </c>
      <c r="B519" s="22" t="s">
        <v>1446</v>
      </c>
      <c r="C519" s="34">
        <v>45984</v>
      </c>
      <c r="D519" s="22" t="s">
        <v>3539</v>
      </c>
      <c r="E519" s="22">
        <v>-9.1999999999999993</v>
      </c>
      <c r="F519" s="28"/>
      <c r="G519" s="22" t="s">
        <v>489</v>
      </c>
      <c r="H519" s="22" t="s">
        <v>483</v>
      </c>
      <c r="I519" s="22"/>
    </row>
    <row r="520" spans="1:9" x14ac:dyDescent="0.25">
      <c r="A520" s="22" t="b">
        <v>0</v>
      </c>
      <c r="B520" s="22" t="s">
        <v>1445</v>
      </c>
      <c r="C520" s="34">
        <v>45985</v>
      </c>
      <c r="D520" s="22" t="s">
        <v>3540</v>
      </c>
      <c r="E520" s="22">
        <v>-71.7</v>
      </c>
      <c r="F520" s="28"/>
      <c r="G520" s="22" t="s">
        <v>489</v>
      </c>
      <c r="H520" s="22" t="s">
        <v>483</v>
      </c>
      <c r="I520" s="22"/>
    </row>
    <row r="521" spans="1:9" x14ac:dyDescent="0.25">
      <c r="A521" s="22" t="b">
        <v>0</v>
      </c>
      <c r="B521" s="22" t="s">
        <v>1435</v>
      </c>
      <c r="C521" s="34">
        <v>45986</v>
      </c>
      <c r="D521" s="22" t="s">
        <v>3484</v>
      </c>
      <c r="E521" s="22">
        <v>-4.7</v>
      </c>
      <c r="F521" s="28"/>
      <c r="G521" s="22" t="s">
        <v>489</v>
      </c>
      <c r="H521" s="22" t="s">
        <v>483</v>
      </c>
      <c r="I521" s="22"/>
    </row>
    <row r="522" spans="1:9" x14ac:dyDescent="0.25">
      <c r="A522" s="22" t="b">
        <v>0</v>
      </c>
      <c r="B522" s="22" t="s">
        <v>2435</v>
      </c>
      <c r="C522" s="34">
        <v>45986</v>
      </c>
      <c r="D522" s="22" t="s">
        <v>3541</v>
      </c>
      <c r="E522" s="22">
        <v>-250.2</v>
      </c>
      <c r="F522" s="28"/>
      <c r="G522" s="22" t="s">
        <v>489</v>
      </c>
      <c r="H522" s="22" t="s">
        <v>483</v>
      </c>
      <c r="I522" s="22"/>
    </row>
    <row r="523" spans="1:9" x14ac:dyDescent="0.25">
      <c r="A523" s="22" t="b">
        <v>0</v>
      </c>
      <c r="B523" s="22" t="s">
        <v>1434</v>
      </c>
      <c r="C523" s="34">
        <v>45986</v>
      </c>
      <c r="D523" s="22" t="s">
        <v>3334</v>
      </c>
      <c r="E523" s="22">
        <v>-5</v>
      </c>
      <c r="F523" s="28"/>
      <c r="G523" s="22" t="s">
        <v>489</v>
      </c>
      <c r="H523" s="22" t="s">
        <v>483</v>
      </c>
      <c r="I523" s="22"/>
    </row>
    <row r="524" spans="1:9" x14ac:dyDescent="0.25">
      <c r="A524" s="22" t="b">
        <v>0</v>
      </c>
      <c r="B524" s="22" t="s">
        <v>1429</v>
      </c>
      <c r="C524" s="34">
        <v>45987</v>
      </c>
      <c r="D524" s="22" t="s">
        <v>3377</v>
      </c>
      <c r="E524" s="22">
        <v>-22.87</v>
      </c>
      <c r="F524" s="28">
        <v>-3.81</v>
      </c>
      <c r="G524" s="22" t="s">
        <v>489</v>
      </c>
      <c r="H524" s="22" t="s">
        <v>483</v>
      </c>
      <c r="I524" s="22"/>
    </row>
    <row r="525" spans="1:9" x14ac:dyDescent="0.25">
      <c r="A525" s="22" t="b">
        <v>0</v>
      </c>
      <c r="B525" s="22" t="s">
        <v>2434</v>
      </c>
      <c r="C525" s="34">
        <v>45987</v>
      </c>
      <c r="D525" s="22" t="s">
        <v>3506</v>
      </c>
      <c r="E525" s="22">
        <v>-21.31</v>
      </c>
      <c r="F525" s="28"/>
      <c r="G525" s="22" t="s">
        <v>489</v>
      </c>
      <c r="H525" s="22" t="s">
        <v>483</v>
      </c>
      <c r="I525" s="22"/>
    </row>
    <row r="526" spans="1:9" x14ac:dyDescent="0.25">
      <c r="A526" s="22" t="b">
        <v>0</v>
      </c>
      <c r="B526" s="22" t="s">
        <v>2311</v>
      </c>
      <c r="C526" s="34">
        <v>45988</v>
      </c>
      <c r="D526" s="22" t="s">
        <v>3513</v>
      </c>
      <c r="E526" s="22">
        <v>-41.99</v>
      </c>
      <c r="F526" s="28">
        <v>-7</v>
      </c>
      <c r="G526" s="22" t="s">
        <v>489</v>
      </c>
      <c r="H526" s="22" t="s">
        <v>483</v>
      </c>
      <c r="I526" s="22"/>
    </row>
    <row r="527" spans="1:9" x14ac:dyDescent="0.25">
      <c r="A527" s="22" t="b">
        <v>0</v>
      </c>
      <c r="B527" s="22" t="s">
        <v>1424</v>
      </c>
      <c r="C527" s="34">
        <v>45988</v>
      </c>
      <c r="D527" s="22" t="s">
        <v>3346</v>
      </c>
      <c r="E527" s="22">
        <v>-700.2</v>
      </c>
      <c r="F527" s="28"/>
      <c r="G527" s="22" t="s">
        <v>489</v>
      </c>
      <c r="H527" s="22" t="s">
        <v>483</v>
      </c>
      <c r="I527" s="22"/>
    </row>
    <row r="528" spans="1:9" x14ac:dyDescent="0.25">
      <c r="A528" s="22" t="b">
        <v>0</v>
      </c>
      <c r="B528" s="22" t="s">
        <v>1420</v>
      </c>
      <c r="C528" s="34">
        <v>45989</v>
      </c>
      <c r="D528" s="22" t="s">
        <v>3334</v>
      </c>
      <c r="E528" s="22">
        <v>-5</v>
      </c>
      <c r="F528" s="28"/>
      <c r="G528" s="22" t="s">
        <v>489</v>
      </c>
      <c r="H528" s="22" t="s">
        <v>483</v>
      </c>
      <c r="I528" s="22"/>
    </row>
    <row r="529" spans="1:9" x14ac:dyDescent="0.25">
      <c r="A529" s="22" t="b">
        <v>0</v>
      </c>
      <c r="B529" s="22" t="s">
        <v>1419</v>
      </c>
      <c r="C529" s="34">
        <v>45989</v>
      </c>
      <c r="D529" s="36" t="s">
        <v>3542</v>
      </c>
      <c r="E529" s="22">
        <v>-385</v>
      </c>
      <c r="F529" s="28"/>
      <c r="G529" s="22" t="s">
        <v>489</v>
      </c>
      <c r="H529" s="22" t="s">
        <v>483</v>
      </c>
      <c r="I529" s="22"/>
    </row>
    <row r="530" spans="1:9" x14ac:dyDescent="0.25">
      <c r="A530" s="22" t="b">
        <v>0</v>
      </c>
      <c r="B530" s="22" t="s">
        <v>1416</v>
      </c>
      <c r="C530" s="34">
        <v>45990</v>
      </c>
      <c r="D530" s="22" t="s">
        <v>3532</v>
      </c>
      <c r="E530" s="22">
        <v>-109</v>
      </c>
      <c r="F530" s="28"/>
      <c r="G530" s="22" t="s">
        <v>489</v>
      </c>
      <c r="H530" s="22" t="s">
        <v>483</v>
      </c>
      <c r="I530" s="22"/>
    </row>
    <row r="531" spans="1:9" x14ac:dyDescent="0.25">
      <c r="A531" s="22" t="b">
        <v>0</v>
      </c>
      <c r="B531" s="22" t="s">
        <v>2309</v>
      </c>
      <c r="C531" s="34">
        <v>45992</v>
      </c>
      <c r="D531" s="22" t="s">
        <v>3514</v>
      </c>
      <c r="E531" s="22">
        <v>-54.25</v>
      </c>
      <c r="F531" s="28"/>
      <c r="G531" s="22" t="s">
        <v>489</v>
      </c>
      <c r="H531" s="22" t="s">
        <v>483</v>
      </c>
      <c r="I531" s="22"/>
    </row>
    <row r="532" spans="1:9" x14ac:dyDescent="0.25">
      <c r="A532" s="22" t="b">
        <v>0</v>
      </c>
      <c r="B532" s="22" t="s">
        <v>2310</v>
      </c>
      <c r="C532" s="34">
        <v>45992</v>
      </c>
      <c r="D532" s="22" t="s">
        <v>3515</v>
      </c>
      <c r="E532" s="22">
        <v>-54.25</v>
      </c>
      <c r="F532" s="28"/>
      <c r="G532" s="22" t="s">
        <v>489</v>
      </c>
      <c r="H532" s="22" t="s">
        <v>483</v>
      </c>
      <c r="I532" s="22"/>
    </row>
    <row r="533" spans="1:9" x14ac:dyDescent="0.25">
      <c r="A533" s="22" t="b">
        <v>0</v>
      </c>
      <c r="B533" s="22" t="s">
        <v>2173</v>
      </c>
      <c r="C533" s="34">
        <v>45992</v>
      </c>
      <c r="D533" s="22" t="s">
        <v>3516</v>
      </c>
      <c r="E533" s="22">
        <v>-54.25</v>
      </c>
      <c r="F533" s="28"/>
      <c r="G533" s="28" t="s">
        <v>489</v>
      </c>
      <c r="H533" s="22" t="s">
        <v>483</v>
      </c>
      <c r="I533" s="22"/>
    </row>
    <row r="534" spans="1:9" x14ac:dyDescent="0.25">
      <c r="A534" s="22" t="b">
        <v>0</v>
      </c>
      <c r="B534" s="22" t="s">
        <v>1407</v>
      </c>
      <c r="C534" s="34">
        <v>45993</v>
      </c>
      <c r="D534" s="22" t="s">
        <v>3378</v>
      </c>
      <c r="E534" s="22">
        <v>-7</v>
      </c>
      <c r="F534" s="28"/>
      <c r="G534" s="22" t="s">
        <v>489</v>
      </c>
      <c r="H534" s="22" t="s">
        <v>483</v>
      </c>
      <c r="I534" s="22"/>
    </row>
    <row r="535" spans="1:9" x14ac:dyDescent="0.25">
      <c r="A535" s="22" t="b">
        <v>0</v>
      </c>
      <c r="B535" s="22" t="s">
        <v>1406</v>
      </c>
      <c r="C535" s="34">
        <v>45993</v>
      </c>
      <c r="D535" s="22" t="s">
        <v>3441</v>
      </c>
      <c r="E535" s="22">
        <v>-14.41</v>
      </c>
      <c r="F535" s="28"/>
      <c r="G535" s="22" t="s">
        <v>489</v>
      </c>
      <c r="H535" s="22" t="s">
        <v>483</v>
      </c>
      <c r="I535" s="22"/>
    </row>
    <row r="536" spans="1:9" x14ac:dyDescent="0.25">
      <c r="A536" s="22" t="b">
        <v>0</v>
      </c>
      <c r="B536" s="22" t="s">
        <v>1405</v>
      </c>
      <c r="C536" s="34">
        <v>45993</v>
      </c>
      <c r="D536" s="22" t="s">
        <v>3485</v>
      </c>
      <c r="E536" s="22">
        <v>-44.45</v>
      </c>
      <c r="F536" s="28"/>
      <c r="G536" s="22" t="s">
        <v>489</v>
      </c>
      <c r="H536" s="22" t="s">
        <v>483</v>
      </c>
      <c r="I536" s="22"/>
    </row>
    <row r="537" spans="1:9" x14ac:dyDescent="0.25">
      <c r="A537" s="22" t="b">
        <v>0</v>
      </c>
      <c r="B537" s="22" t="s">
        <v>1391</v>
      </c>
      <c r="C537" s="34">
        <v>45994</v>
      </c>
      <c r="D537" s="22" t="s">
        <v>3543</v>
      </c>
      <c r="E537" s="22">
        <v>-19.13</v>
      </c>
      <c r="F537" s="28"/>
      <c r="G537" s="22" t="s">
        <v>489</v>
      </c>
      <c r="H537" s="22" t="s">
        <v>483</v>
      </c>
      <c r="I537" s="22"/>
    </row>
    <row r="538" spans="1:9" x14ac:dyDescent="0.25">
      <c r="A538" s="22" t="b">
        <v>0</v>
      </c>
      <c r="B538" s="22" t="s">
        <v>1397</v>
      </c>
      <c r="C538" s="34">
        <v>45994</v>
      </c>
      <c r="D538" s="22" t="s">
        <v>3392</v>
      </c>
      <c r="E538" s="22">
        <v>-46.42</v>
      </c>
      <c r="F538" s="28">
        <v>-7.74</v>
      </c>
      <c r="G538" s="22" t="s">
        <v>489</v>
      </c>
      <c r="H538" s="22" t="s">
        <v>483</v>
      </c>
      <c r="I538" s="22"/>
    </row>
    <row r="539" spans="1:9" x14ac:dyDescent="0.25">
      <c r="A539" s="22" t="b">
        <v>0</v>
      </c>
      <c r="B539" s="22" t="s">
        <v>1398</v>
      </c>
      <c r="C539" s="34">
        <v>45994</v>
      </c>
      <c r="D539" s="22" t="s">
        <v>3544</v>
      </c>
      <c r="E539" s="22">
        <v>-5</v>
      </c>
      <c r="F539" s="28"/>
      <c r="G539" s="22" t="s">
        <v>489</v>
      </c>
      <c r="H539" s="22" t="s">
        <v>483</v>
      </c>
      <c r="I539" s="22"/>
    </row>
    <row r="540" spans="1:9" x14ac:dyDescent="0.25">
      <c r="A540" s="22" t="b">
        <v>0</v>
      </c>
      <c r="B540" s="22" t="s">
        <v>1396</v>
      </c>
      <c r="C540" s="34">
        <v>45994</v>
      </c>
      <c r="D540" s="22" t="s">
        <v>191</v>
      </c>
      <c r="E540" s="22">
        <v>-84</v>
      </c>
      <c r="F540" s="28"/>
      <c r="G540" s="22" t="s">
        <v>489</v>
      </c>
      <c r="H540" s="22" t="s">
        <v>483</v>
      </c>
      <c r="I540" s="22"/>
    </row>
    <row r="541" spans="1:9" x14ac:dyDescent="0.25">
      <c r="A541" s="22" t="b">
        <v>0</v>
      </c>
      <c r="B541" s="22" t="s">
        <v>2308</v>
      </c>
      <c r="C541" s="34">
        <v>45994</v>
      </c>
      <c r="D541" s="22" t="s">
        <v>3519</v>
      </c>
      <c r="E541" s="22">
        <v>-105</v>
      </c>
      <c r="F541" s="28"/>
      <c r="G541" s="22" t="s">
        <v>489</v>
      </c>
      <c r="H541" s="22" t="s">
        <v>483</v>
      </c>
      <c r="I541" s="22"/>
    </row>
    <row r="542" spans="1:9" x14ac:dyDescent="0.25">
      <c r="A542" s="22" t="b">
        <v>0</v>
      </c>
      <c r="B542" s="22" t="s">
        <v>1385</v>
      </c>
      <c r="C542" s="34">
        <v>45994</v>
      </c>
      <c r="D542" s="22" t="s">
        <v>3545</v>
      </c>
      <c r="E542" s="22">
        <v>-27.2</v>
      </c>
      <c r="F542" s="28"/>
      <c r="G542" s="22" t="s">
        <v>489</v>
      </c>
      <c r="H542" s="22" t="s">
        <v>483</v>
      </c>
      <c r="I542" s="22"/>
    </row>
    <row r="543" spans="1:9" x14ac:dyDescent="0.25">
      <c r="A543" s="22" t="b">
        <v>0</v>
      </c>
      <c r="B543" s="22" t="s">
        <v>1386</v>
      </c>
      <c r="C543" s="34">
        <v>45994</v>
      </c>
      <c r="D543" s="22" t="s">
        <v>3545</v>
      </c>
      <c r="E543" s="22">
        <v>-322.2</v>
      </c>
      <c r="F543" s="28"/>
      <c r="G543" s="22" t="s">
        <v>489</v>
      </c>
      <c r="H543" s="22" t="s">
        <v>483</v>
      </c>
      <c r="I543" s="22"/>
    </row>
    <row r="544" spans="1:9" x14ac:dyDescent="0.25">
      <c r="A544" s="22" t="b">
        <v>0</v>
      </c>
      <c r="B544" s="22" t="s">
        <v>1387</v>
      </c>
      <c r="C544" s="34">
        <v>45994</v>
      </c>
      <c r="D544" s="22" t="s">
        <v>3545</v>
      </c>
      <c r="E544" s="22">
        <v>-350.2</v>
      </c>
      <c r="F544" s="28"/>
      <c r="G544" s="22" t="s">
        <v>489</v>
      </c>
      <c r="H544" s="22" t="s">
        <v>483</v>
      </c>
      <c r="I544" s="22"/>
    </row>
    <row r="545" spans="1:9" x14ac:dyDescent="0.25">
      <c r="A545" s="22" t="b">
        <v>0</v>
      </c>
      <c r="B545" s="22" t="s">
        <v>1380</v>
      </c>
      <c r="C545" s="34">
        <v>45995</v>
      </c>
      <c r="D545" s="22" t="s">
        <v>3546</v>
      </c>
      <c r="E545" s="22">
        <v>-0.5</v>
      </c>
      <c r="F545" s="28"/>
      <c r="G545" s="22" t="s">
        <v>489</v>
      </c>
      <c r="H545" s="22" t="s">
        <v>483</v>
      </c>
      <c r="I545" s="22"/>
    </row>
    <row r="546" spans="1:9" x14ac:dyDescent="0.25">
      <c r="A546" s="22" t="b">
        <v>0</v>
      </c>
      <c r="B546" s="22" t="s">
        <v>2432</v>
      </c>
      <c r="C546" s="34">
        <v>45995</v>
      </c>
      <c r="D546" s="22" t="s">
        <v>3547</v>
      </c>
      <c r="E546" s="22">
        <v>-1200.2</v>
      </c>
      <c r="F546" s="28">
        <v>-200.03</v>
      </c>
      <c r="G546" s="22" t="s">
        <v>489</v>
      </c>
      <c r="H546" s="22" t="s">
        <v>483</v>
      </c>
      <c r="I546" s="22"/>
    </row>
    <row r="547" spans="1:9" x14ac:dyDescent="0.25">
      <c r="A547" s="22" t="b">
        <v>0</v>
      </c>
      <c r="B547" s="22" t="s">
        <v>1373</v>
      </c>
      <c r="C547" s="34">
        <v>45996</v>
      </c>
      <c r="D547" s="22" t="s">
        <v>3401</v>
      </c>
      <c r="E547" s="22">
        <v>-4.9000000000000004</v>
      </c>
      <c r="F547" s="28"/>
      <c r="G547" s="22" t="s">
        <v>489</v>
      </c>
      <c r="H547" s="22" t="s">
        <v>483</v>
      </c>
      <c r="I547" s="22"/>
    </row>
    <row r="548" spans="1:9" x14ac:dyDescent="0.25">
      <c r="A548" s="22" t="b">
        <v>0</v>
      </c>
      <c r="B548" s="22" t="s">
        <v>1378</v>
      </c>
      <c r="C548" s="34">
        <v>45996</v>
      </c>
      <c r="D548" s="22" t="s">
        <v>416</v>
      </c>
      <c r="E548" s="22">
        <v>-151.66</v>
      </c>
      <c r="F548" s="28"/>
      <c r="G548" s="22" t="s">
        <v>489</v>
      </c>
      <c r="H548" s="22" t="s">
        <v>483</v>
      </c>
      <c r="I548" s="22"/>
    </row>
    <row r="549" spans="1:9" x14ac:dyDescent="0.25">
      <c r="A549" s="22" t="b">
        <v>0</v>
      </c>
      <c r="B549" s="22" t="s">
        <v>1361</v>
      </c>
      <c r="C549" s="34">
        <v>45999</v>
      </c>
      <c r="D549" s="36" t="s">
        <v>3548</v>
      </c>
      <c r="E549" s="22">
        <v>-2.52</v>
      </c>
      <c r="F549" s="28"/>
      <c r="G549" s="22" t="s">
        <v>489</v>
      </c>
      <c r="H549" s="22" t="s">
        <v>483</v>
      </c>
      <c r="I549" s="22"/>
    </row>
    <row r="550" spans="1:9" x14ac:dyDescent="0.25">
      <c r="A550" s="22" t="b">
        <v>0</v>
      </c>
      <c r="B550" s="22" t="s">
        <v>1360</v>
      </c>
      <c r="C550" s="34">
        <v>45999</v>
      </c>
      <c r="D550" s="36" t="s">
        <v>423</v>
      </c>
      <c r="E550" s="22">
        <v>-18.989999999999998</v>
      </c>
      <c r="F550" s="28"/>
      <c r="G550" s="22" t="s">
        <v>489</v>
      </c>
      <c r="H550" s="22" t="s">
        <v>483</v>
      </c>
      <c r="I550" s="22"/>
    </row>
    <row r="551" spans="1:9" x14ac:dyDescent="0.25">
      <c r="A551" s="22" t="b">
        <v>0</v>
      </c>
      <c r="B551" s="22" t="s">
        <v>2307</v>
      </c>
      <c r="C551" s="34">
        <v>45999</v>
      </c>
      <c r="D551" s="22" t="s">
        <v>3325</v>
      </c>
      <c r="E551" s="22">
        <v>-10</v>
      </c>
      <c r="F551" s="28"/>
      <c r="G551" s="22" t="s">
        <v>489</v>
      </c>
      <c r="H551" s="22" t="s">
        <v>483</v>
      </c>
      <c r="I551" s="22"/>
    </row>
    <row r="552" spans="1:9" x14ac:dyDescent="0.25">
      <c r="A552" s="22" t="b">
        <v>0</v>
      </c>
      <c r="B552" s="22" t="s">
        <v>1359</v>
      </c>
      <c r="C552" s="34">
        <v>45999</v>
      </c>
      <c r="D552" s="22" t="s">
        <v>191</v>
      </c>
      <c r="E552" s="22">
        <v>-84</v>
      </c>
      <c r="F552" s="28"/>
      <c r="G552" s="22" t="s">
        <v>489</v>
      </c>
      <c r="H552" s="22" t="s">
        <v>483</v>
      </c>
      <c r="I552" s="22"/>
    </row>
    <row r="553" spans="1:9" x14ac:dyDescent="0.25">
      <c r="A553" s="22" t="b">
        <v>0</v>
      </c>
      <c r="B553" s="22" t="s">
        <v>1350</v>
      </c>
      <c r="C553" s="34">
        <v>46001</v>
      </c>
      <c r="D553" s="22" t="s">
        <v>152</v>
      </c>
      <c r="E553" s="22">
        <v>-4.51</v>
      </c>
      <c r="F553" s="28"/>
      <c r="G553" s="22" t="s">
        <v>489</v>
      </c>
      <c r="H553" s="22" t="s">
        <v>483</v>
      </c>
      <c r="I553" s="22"/>
    </row>
    <row r="554" spans="1:9" x14ac:dyDescent="0.25">
      <c r="A554" s="22" t="b">
        <v>0</v>
      </c>
      <c r="B554" s="22" t="s">
        <v>1355</v>
      </c>
      <c r="C554" s="34">
        <v>46001</v>
      </c>
      <c r="D554" s="22" t="s">
        <v>3549</v>
      </c>
      <c r="E554" s="22">
        <v>-37.979999999999997</v>
      </c>
      <c r="F554" s="28"/>
      <c r="G554" s="22" t="s">
        <v>489</v>
      </c>
      <c r="H554" s="22" t="s">
        <v>483</v>
      </c>
      <c r="I554" s="22"/>
    </row>
    <row r="555" spans="1:9" x14ac:dyDescent="0.25">
      <c r="A555" s="22" t="b">
        <v>0</v>
      </c>
      <c r="B555" s="22" t="s">
        <v>2306</v>
      </c>
      <c r="C555" s="34">
        <v>46001</v>
      </c>
      <c r="D555" s="22" t="s">
        <v>3550</v>
      </c>
      <c r="E555" s="22">
        <v>-1405.36</v>
      </c>
      <c r="F555" s="28"/>
      <c r="G555" s="22" t="s">
        <v>489</v>
      </c>
      <c r="H555" s="22" t="s">
        <v>483</v>
      </c>
      <c r="I555" s="22"/>
    </row>
    <row r="556" spans="1:9" x14ac:dyDescent="0.25">
      <c r="A556" s="22" t="b">
        <v>0</v>
      </c>
      <c r="B556" s="22" t="s">
        <v>1349</v>
      </c>
      <c r="C556" s="34">
        <v>46002</v>
      </c>
      <c r="D556" s="22" t="s">
        <v>3551</v>
      </c>
      <c r="E556" s="22">
        <v>-35</v>
      </c>
      <c r="F556" s="28"/>
      <c r="G556" s="22" t="s">
        <v>489</v>
      </c>
      <c r="H556" s="22" t="s">
        <v>483</v>
      </c>
      <c r="I556" s="22"/>
    </row>
    <row r="557" spans="1:9" x14ac:dyDescent="0.25">
      <c r="A557" s="22" t="b">
        <v>0</v>
      </c>
      <c r="B557" s="22" t="s">
        <v>1342</v>
      </c>
      <c r="C557" s="34">
        <v>46003</v>
      </c>
      <c r="D557" s="22" t="s">
        <v>3552</v>
      </c>
      <c r="E557" s="22">
        <v>-265</v>
      </c>
      <c r="F557" s="28"/>
      <c r="G557" s="22" t="s">
        <v>489</v>
      </c>
      <c r="H557" s="22" t="s">
        <v>483</v>
      </c>
      <c r="I557" s="22"/>
    </row>
    <row r="558" spans="1:9" x14ac:dyDescent="0.25">
      <c r="A558" s="22" t="b">
        <v>0</v>
      </c>
      <c r="B558" s="22" t="s">
        <v>1336</v>
      </c>
      <c r="C558" s="34">
        <v>46005</v>
      </c>
      <c r="D558" s="22" t="s">
        <v>94</v>
      </c>
      <c r="E558" s="22">
        <v>-42.5</v>
      </c>
      <c r="F558" s="28"/>
      <c r="G558" s="22" t="s">
        <v>489</v>
      </c>
      <c r="H558" s="22" t="s">
        <v>483</v>
      </c>
      <c r="I558" s="22"/>
    </row>
    <row r="559" spans="1:9" x14ac:dyDescent="0.25">
      <c r="A559" s="22" t="b">
        <v>0</v>
      </c>
      <c r="B559" s="22" t="s">
        <v>1337</v>
      </c>
      <c r="C559" s="34">
        <v>46005</v>
      </c>
      <c r="D559" s="22" t="s">
        <v>3281</v>
      </c>
      <c r="E559" s="22">
        <v>-18</v>
      </c>
      <c r="F559" s="28"/>
      <c r="G559" s="22" t="s">
        <v>489</v>
      </c>
      <c r="H559" s="22" t="s">
        <v>483</v>
      </c>
      <c r="I559" s="22"/>
    </row>
    <row r="560" spans="1:9" x14ac:dyDescent="0.25">
      <c r="A560" s="22" t="b">
        <v>0</v>
      </c>
      <c r="B560" s="22" t="s">
        <v>2357</v>
      </c>
      <c r="C560" s="34">
        <v>46006</v>
      </c>
      <c r="D560" s="22" t="s">
        <v>3523</v>
      </c>
      <c r="E560" s="22">
        <v>-52</v>
      </c>
      <c r="F560" s="28"/>
      <c r="G560" s="22" t="s">
        <v>489</v>
      </c>
      <c r="H560" s="22" t="s">
        <v>483</v>
      </c>
      <c r="I560" s="22"/>
    </row>
    <row r="561" spans="1:9" x14ac:dyDescent="0.25">
      <c r="A561" s="22" t="b">
        <v>0</v>
      </c>
      <c r="B561" s="22" t="s">
        <v>2358</v>
      </c>
      <c r="C561" s="34">
        <v>46006</v>
      </c>
      <c r="D561" s="22" t="s">
        <v>3553</v>
      </c>
      <c r="E561" s="22">
        <v>-199.99</v>
      </c>
      <c r="F561" s="28"/>
      <c r="G561" s="22" t="s">
        <v>489</v>
      </c>
      <c r="H561" s="22" t="s">
        <v>483</v>
      </c>
      <c r="I561" s="22"/>
    </row>
    <row r="562" spans="1:9" x14ac:dyDescent="0.25">
      <c r="A562" s="22" t="b">
        <v>0</v>
      </c>
      <c r="B562" s="22" t="s">
        <v>1330</v>
      </c>
      <c r="C562" s="34">
        <v>46007</v>
      </c>
      <c r="D562" s="22" t="s">
        <v>3554</v>
      </c>
      <c r="E562" s="22">
        <v>-10</v>
      </c>
      <c r="F562" s="28"/>
      <c r="G562" s="22" t="s">
        <v>489</v>
      </c>
      <c r="H562" s="22" t="s">
        <v>483</v>
      </c>
      <c r="I562" s="22"/>
    </row>
    <row r="563" spans="1:9" x14ac:dyDescent="0.25">
      <c r="A563" s="22" t="b">
        <v>0</v>
      </c>
      <c r="B563" s="22" t="s">
        <v>1331</v>
      </c>
      <c r="C563" s="34">
        <v>46007</v>
      </c>
      <c r="D563" s="22" t="s">
        <v>191</v>
      </c>
      <c r="E563" s="22">
        <v>-16</v>
      </c>
      <c r="F563" s="28"/>
      <c r="G563" s="22" t="s">
        <v>489</v>
      </c>
      <c r="H563" s="22" t="s">
        <v>483</v>
      </c>
      <c r="I563" s="22"/>
    </row>
    <row r="564" spans="1:9" x14ac:dyDescent="0.25">
      <c r="A564" s="22" t="b">
        <v>0</v>
      </c>
      <c r="B564" s="22" t="s">
        <v>434</v>
      </c>
      <c r="C564" s="34">
        <v>46024</v>
      </c>
      <c r="D564" s="22" t="s">
        <v>3516</v>
      </c>
      <c r="E564" s="22">
        <v>-54.25</v>
      </c>
      <c r="F564" s="22" t="s">
        <v>489</v>
      </c>
      <c r="G564" s="22" t="s">
        <v>483</v>
      </c>
      <c r="H564" s="22"/>
      <c r="I564" s="22">
        <v>208</v>
      </c>
    </row>
    <row r="565" spans="1:9" x14ac:dyDescent="0.25">
      <c r="A565" s="22" t="b">
        <v>0</v>
      </c>
      <c r="B565" s="22" t="s">
        <v>435</v>
      </c>
      <c r="C565" s="34">
        <v>46024</v>
      </c>
      <c r="D565" s="22" t="s">
        <v>3515</v>
      </c>
      <c r="E565" s="22">
        <v>-54.25</v>
      </c>
      <c r="F565" s="22" t="s">
        <v>489</v>
      </c>
      <c r="G565" s="22" t="s">
        <v>483</v>
      </c>
      <c r="H565" s="22"/>
      <c r="I565" s="22">
        <v>209</v>
      </c>
    </row>
    <row r="566" spans="1:9" x14ac:dyDescent="0.25">
      <c r="A566" s="22" t="b">
        <v>0</v>
      </c>
      <c r="B566" s="22" t="s">
        <v>437</v>
      </c>
      <c r="C566" s="34">
        <v>46024</v>
      </c>
      <c r="D566" s="22" t="s">
        <v>3514</v>
      </c>
      <c r="E566" s="22">
        <v>-54.25</v>
      </c>
      <c r="F566" s="22" t="s">
        <v>489</v>
      </c>
      <c r="G566" s="22" t="s">
        <v>483</v>
      </c>
      <c r="H566" s="22"/>
      <c r="I566" s="22">
        <v>211</v>
      </c>
    </row>
    <row r="567" spans="1:9" x14ac:dyDescent="0.25">
      <c r="A567" s="22" t="b">
        <v>0</v>
      </c>
      <c r="B567" s="22" t="s">
        <v>422</v>
      </c>
      <c r="C567" s="34">
        <v>46026</v>
      </c>
      <c r="D567" s="36" t="s">
        <v>423</v>
      </c>
      <c r="E567" s="22">
        <v>-18.989999999999998</v>
      </c>
      <c r="F567" s="22" t="s">
        <v>489</v>
      </c>
      <c r="G567" s="22" t="s">
        <v>483</v>
      </c>
      <c r="H567" s="22"/>
      <c r="I567" s="22">
        <v>201</v>
      </c>
    </row>
    <row r="568" spans="1:9" x14ac:dyDescent="0.25">
      <c r="A568" s="22" t="b">
        <v>0</v>
      </c>
      <c r="B568" s="22" t="s">
        <v>407</v>
      </c>
      <c r="C568" s="34">
        <v>46028</v>
      </c>
      <c r="D568" s="22" t="s">
        <v>3555</v>
      </c>
      <c r="E568" s="22">
        <v>-375</v>
      </c>
      <c r="F568" s="22" t="s">
        <v>489</v>
      </c>
      <c r="G568" s="22" t="s">
        <v>483</v>
      </c>
      <c r="H568" s="22"/>
      <c r="I568" s="22">
        <v>190</v>
      </c>
    </row>
    <row r="569" spans="1:9" x14ac:dyDescent="0.25">
      <c r="A569" s="22" t="b">
        <v>0</v>
      </c>
      <c r="B569" s="22" t="s">
        <v>400</v>
      </c>
      <c r="C569" s="34">
        <v>46030</v>
      </c>
      <c r="D569" s="22" t="s">
        <v>401</v>
      </c>
      <c r="E569" s="22">
        <v>-80</v>
      </c>
      <c r="F569" s="22" t="s">
        <v>489</v>
      </c>
      <c r="G569" s="22" t="s">
        <v>483</v>
      </c>
      <c r="H569" s="22"/>
      <c r="I569" s="22">
        <v>184</v>
      </c>
    </row>
    <row r="570" spans="1:9" x14ac:dyDescent="0.25">
      <c r="A570" s="22" t="b">
        <v>0</v>
      </c>
      <c r="B570" s="22" t="s">
        <v>399</v>
      </c>
      <c r="C570" s="34">
        <v>46030</v>
      </c>
      <c r="D570" s="22" t="s">
        <v>3325</v>
      </c>
      <c r="E570" s="22">
        <v>-10</v>
      </c>
      <c r="F570" s="22" t="s">
        <v>489</v>
      </c>
      <c r="G570" s="22" t="s">
        <v>483</v>
      </c>
      <c r="H570" s="22"/>
    </row>
    <row r="571" spans="1:9" x14ac:dyDescent="0.25">
      <c r="A571" s="22" t="b">
        <v>0</v>
      </c>
      <c r="B571" s="22" t="s">
        <v>388</v>
      </c>
      <c r="C571" s="34">
        <v>46031</v>
      </c>
      <c r="D571" s="22" t="s">
        <v>3556</v>
      </c>
      <c r="E571" s="22">
        <v>-185.2</v>
      </c>
      <c r="F571" s="22" t="s">
        <v>489</v>
      </c>
      <c r="G571" s="22" t="s">
        <v>483</v>
      </c>
      <c r="H571" s="22"/>
      <c r="I571" s="22">
        <v>178</v>
      </c>
    </row>
    <row r="572" spans="1:9" x14ac:dyDescent="0.25">
      <c r="A572" s="22" t="b">
        <v>0</v>
      </c>
      <c r="B572" s="22" t="s">
        <v>387</v>
      </c>
      <c r="C572" s="34">
        <v>46032</v>
      </c>
      <c r="D572" s="22" t="s">
        <v>152</v>
      </c>
      <c r="E572" s="22">
        <v>-4.53</v>
      </c>
      <c r="F572" s="22" t="s">
        <v>489</v>
      </c>
      <c r="G572" s="22" t="s">
        <v>483</v>
      </c>
      <c r="H572" s="22"/>
      <c r="I572" s="22">
        <v>177</v>
      </c>
    </row>
    <row r="573" spans="1:9" x14ac:dyDescent="0.25">
      <c r="A573" s="22" t="b">
        <v>0</v>
      </c>
      <c r="B573" s="22" t="s">
        <v>384</v>
      </c>
      <c r="C573" s="34">
        <v>46034</v>
      </c>
      <c r="D573" s="22" t="s">
        <v>3557</v>
      </c>
      <c r="E573" s="22">
        <v>-1405.36</v>
      </c>
      <c r="F573" s="22" t="s">
        <v>489</v>
      </c>
      <c r="G573" s="22" t="s">
        <v>483</v>
      </c>
      <c r="H573" s="22"/>
      <c r="I573" s="22">
        <v>174</v>
      </c>
    </row>
    <row r="574" spans="1:9" x14ac:dyDescent="0.25">
      <c r="A574" s="22" t="b">
        <v>0</v>
      </c>
      <c r="B574" s="22" t="s">
        <v>376</v>
      </c>
      <c r="C574" s="34">
        <v>46035</v>
      </c>
      <c r="D574" s="22" t="s">
        <v>3558</v>
      </c>
      <c r="E574" s="22">
        <v>-110</v>
      </c>
      <c r="F574" s="22" t="s">
        <v>489</v>
      </c>
      <c r="G574" s="22" t="s">
        <v>483</v>
      </c>
      <c r="H574" s="22"/>
      <c r="I574" s="22">
        <v>169</v>
      </c>
    </row>
    <row r="575" spans="1:9" x14ac:dyDescent="0.25">
      <c r="A575" s="22" t="b">
        <v>0</v>
      </c>
      <c r="B575" s="22" t="s">
        <v>372</v>
      </c>
      <c r="C575" s="34">
        <v>46036</v>
      </c>
      <c r="D575" s="22" t="s">
        <v>94</v>
      </c>
      <c r="E575" s="22">
        <v>-42.5</v>
      </c>
      <c r="F575" s="22" t="s">
        <v>489</v>
      </c>
      <c r="G575" s="22" t="s">
        <v>483</v>
      </c>
      <c r="H575" s="22"/>
      <c r="I575" s="22">
        <v>166</v>
      </c>
    </row>
    <row r="576" spans="1:9" x14ac:dyDescent="0.25">
      <c r="A576" s="22" t="b">
        <v>0</v>
      </c>
      <c r="B576" s="22" t="s">
        <v>373</v>
      </c>
      <c r="C576" s="34">
        <v>46036</v>
      </c>
      <c r="D576" s="22" t="s">
        <v>374</v>
      </c>
      <c r="E576" s="22">
        <v>-2.2999999999999998</v>
      </c>
      <c r="F576" s="22" t="s">
        <v>489</v>
      </c>
      <c r="G576" s="22" t="s">
        <v>483</v>
      </c>
      <c r="H576" s="22"/>
      <c r="I576" s="22">
        <v>167</v>
      </c>
    </row>
    <row r="577" spans="1:9" x14ac:dyDescent="0.25">
      <c r="A577" s="22" t="b">
        <v>0</v>
      </c>
      <c r="B577" s="22" t="s">
        <v>370</v>
      </c>
      <c r="C577" s="34">
        <v>46036</v>
      </c>
      <c r="D577" s="22" t="s">
        <v>3559</v>
      </c>
      <c r="E577" s="22">
        <v>-150</v>
      </c>
      <c r="F577" s="22" t="s">
        <v>489</v>
      </c>
      <c r="G577" s="22" t="s">
        <v>483</v>
      </c>
      <c r="H577" s="22"/>
      <c r="I577" s="22">
        <v>165</v>
      </c>
    </row>
    <row r="578" spans="1:9" x14ac:dyDescent="0.25">
      <c r="A578" s="22" t="b">
        <v>0</v>
      </c>
      <c r="B578" s="22" t="s">
        <v>363</v>
      </c>
      <c r="C578" s="34">
        <v>46037</v>
      </c>
      <c r="D578" s="22" t="s">
        <v>3560</v>
      </c>
      <c r="E578" s="22">
        <v>-976</v>
      </c>
      <c r="F578" s="22" t="s">
        <v>489</v>
      </c>
      <c r="G578" s="22" t="s">
        <v>483</v>
      </c>
      <c r="H578" s="22"/>
      <c r="I578" s="22">
        <v>159</v>
      </c>
    </row>
    <row r="579" spans="1:9" x14ac:dyDescent="0.25">
      <c r="A579" s="22" t="b">
        <v>0</v>
      </c>
      <c r="B579" s="22" t="s">
        <v>352</v>
      </c>
      <c r="C579" s="34">
        <v>46037</v>
      </c>
      <c r="D579" s="22" t="s">
        <v>3561</v>
      </c>
      <c r="E579" s="22">
        <v>-750.2</v>
      </c>
      <c r="F579" s="22" t="s">
        <v>489</v>
      </c>
      <c r="G579" s="22" t="s">
        <v>483</v>
      </c>
      <c r="H579" s="22"/>
      <c r="I579" s="22">
        <v>154</v>
      </c>
    </row>
    <row r="580" spans="1:9" x14ac:dyDescent="0.25">
      <c r="A580" s="22" t="b">
        <v>0</v>
      </c>
      <c r="B580" s="22" t="s">
        <v>357</v>
      </c>
      <c r="C580" s="34">
        <v>46037</v>
      </c>
      <c r="D580" s="22" t="s">
        <v>3562</v>
      </c>
      <c r="E580" s="22">
        <v>-185</v>
      </c>
      <c r="F580" s="22" t="s">
        <v>489</v>
      </c>
      <c r="G580" s="22" t="s">
        <v>483</v>
      </c>
      <c r="H580" s="22"/>
      <c r="I580" s="22">
        <v>156</v>
      </c>
    </row>
    <row r="581" spans="1:9" x14ac:dyDescent="0.25">
      <c r="A581" s="22" t="b">
        <v>0</v>
      </c>
      <c r="B581" s="22" t="s">
        <v>359</v>
      </c>
      <c r="C581" s="34">
        <v>46037</v>
      </c>
      <c r="D581" s="22" t="s">
        <v>3563</v>
      </c>
      <c r="E581" s="22">
        <v>-620</v>
      </c>
      <c r="F581" s="22" t="s">
        <v>489</v>
      </c>
      <c r="G581" s="22" t="s">
        <v>483</v>
      </c>
      <c r="H581" s="22"/>
      <c r="I581" s="22">
        <v>157</v>
      </c>
    </row>
    <row r="582" spans="1:9" x14ac:dyDescent="0.25">
      <c r="A582" s="22" t="b">
        <v>0</v>
      </c>
      <c r="B582" s="22" t="s">
        <v>368</v>
      </c>
      <c r="C582" s="34">
        <v>46037</v>
      </c>
      <c r="D582" s="22" t="s">
        <v>3523</v>
      </c>
      <c r="E582" s="22">
        <v>-52</v>
      </c>
      <c r="F582" s="22" t="s">
        <v>489</v>
      </c>
      <c r="G582" s="22" t="s">
        <v>483</v>
      </c>
      <c r="H582" s="22"/>
      <c r="I582" s="22">
        <v>163</v>
      </c>
    </row>
    <row r="583" spans="1:9" x14ac:dyDescent="0.25">
      <c r="A583" s="22" t="b">
        <v>0</v>
      </c>
      <c r="B583" s="22" t="s">
        <v>369</v>
      </c>
      <c r="C583" s="34">
        <v>46037</v>
      </c>
      <c r="D583" s="22" t="s">
        <v>3553</v>
      </c>
      <c r="E583" s="22">
        <v>-100</v>
      </c>
      <c r="F583" s="22" t="s">
        <v>489</v>
      </c>
      <c r="G583" s="22" t="s">
        <v>483</v>
      </c>
      <c r="H583" s="22"/>
      <c r="I583" s="22">
        <v>164</v>
      </c>
    </row>
    <row r="584" spans="1:9" x14ac:dyDescent="0.25">
      <c r="A584" s="22" t="b">
        <v>0</v>
      </c>
      <c r="B584" s="22" t="s">
        <v>350</v>
      </c>
      <c r="C584" s="34">
        <v>46038</v>
      </c>
      <c r="D584" s="22" t="s">
        <v>351</v>
      </c>
      <c r="E584" s="22">
        <v>-21</v>
      </c>
      <c r="F584" s="22" t="s">
        <v>489</v>
      </c>
      <c r="G584" s="22" t="s">
        <v>483</v>
      </c>
      <c r="H584" s="22"/>
      <c r="I584" s="22">
        <v>153</v>
      </c>
    </row>
    <row r="585" spans="1:9" x14ac:dyDescent="0.25">
      <c r="A585" s="22" t="b">
        <v>0</v>
      </c>
      <c r="B585" s="22" t="s">
        <v>313</v>
      </c>
      <c r="C585" s="34">
        <v>46044</v>
      </c>
      <c r="D585" s="22" t="s">
        <v>314</v>
      </c>
      <c r="E585" s="22">
        <v>-9.99</v>
      </c>
      <c r="F585" s="22" t="s">
        <v>489</v>
      </c>
      <c r="G585" s="22" t="s">
        <v>483</v>
      </c>
      <c r="H585" s="22"/>
      <c r="I585" s="22">
        <v>136</v>
      </c>
    </row>
    <row r="586" spans="1:9" x14ac:dyDescent="0.25">
      <c r="A586" s="22" t="b">
        <v>0</v>
      </c>
      <c r="B586" s="22" t="s">
        <v>319</v>
      </c>
      <c r="C586" s="34">
        <v>46044</v>
      </c>
      <c r="D586" s="22" t="s">
        <v>320</v>
      </c>
      <c r="E586" s="22">
        <v>-8988.11</v>
      </c>
      <c r="F586" s="22" t="s">
        <v>489</v>
      </c>
      <c r="G586" s="22" t="s">
        <v>483</v>
      </c>
      <c r="H586" s="22"/>
      <c r="I586" s="22">
        <v>139</v>
      </c>
    </row>
    <row r="587" spans="1:9" x14ac:dyDescent="0.25">
      <c r="A587" s="22" t="b">
        <v>0</v>
      </c>
      <c r="B587" s="22" t="s">
        <v>297</v>
      </c>
      <c r="C587" s="34">
        <v>46046</v>
      </c>
      <c r="D587" s="22" t="s">
        <v>298</v>
      </c>
      <c r="E587" s="22">
        <v>-3.69</v>
      </c>
      <c r="F587" s="22" t="s">
        <v>489</v>
      </c>
      <c r="G587" s="22" t="s">
        <v>483</v>
      </c>
      <c r="H587" s="22"/>
      <c r="I587" s="22">
        <v>127</v>
      </c>
    </row>
    <row r="588" spans="1:9" x14ac:dyDescent="0.25">
      <c r="A588" s="22" t="b">
        <v>0</v>
      </c>
      <c r="B588" s="22" t="s">
        <v>299</v>
      </c>
      <c r="C588" s="34">
        <v>46046</v>
      </c>
      <c r="D588" s="22" t="s">
        <v>300</v>
      </c>
      <c r="E588" s="22">
        <v>-9.9499999999999993</v>
      </c>
      <c r="F588" s="22" t="s">
        <v>489</v>
      </c>
      <c r="G588" s="22" t="s">
        <v>483</v>
      </c>
      <c r="H588" s="22"/>
      <c r="I588" s="22">
        <v>128</v>
      </c>
    </row>
    <row r="589" spans="1:9" x14ac:dyDescent="0.25">
      <c r="A589" s="22" t="b">
        <v>0</v>
      </c>
      <c r="B589" s="22" t="s">
        <v>294</v>
      </c>
      <c r="C589" s="34">
        <v>46047</v>
      </c>
      <c r="D589" s="22" t="s">
        <v>295</v>
      </c>
      <c r="E589" s="22">
        <v>-15</v>
      </c>
      <c r="F589" s="22" t="s">
        <v>489</v>
      </c>
      <c r="G589" s="22" t="s">
        <v>483</v>
      </c>
      <c r="H589" s="22"/>
      <c r="I589" s="22">
        <v>125</v>
      </c>
    </row>
    <row r="590" spans="1:9" x14ac:dyDescent="0.25">
      <c r="A590" s="22" t="b">
        <v>0</v>
      </c>
      <c r="B590" s="22" t="s">
        <v>293</v>
      </c>
      <c r="C590" s="34">
        <v>46048</v>
      </c>
      <c r="D590" s="22" t="s">
        <v>91</v>
      </c>
      <c r="E590" s="22">
        <v>-8</v>
      </c>
      <c r="F590" s="22" t="s">
        <v>489</v>
      </c>
      <c r="G590" s="22" t="s">
        <v>483</v>
      </c>
      <c r="H590" s="22"/>
      <c r="I590" s="22">
        <v>124</v>
      </c>
    </row>
    <row r="591" spans="1:9" x14ac:dyDescent="0.25">
      <c r="A591" s="22" t="b">
        <v>0</v>
      </c>
      <c r="B591" s="22" t="s">
        <v>282</v>
      </c>
      <c r="C591" s="34">
        <v>46049</v>
      </c>
      <c r="D591" s="22" t="s">
        <v>3506</v>
      </c>
      <c r="E591" s="22">
        <v>-21.31</v>
      </c>
      <c r="F591" s="22" t="s">
        <v>489</v>
      </c>
      <c r="G591" s="22" t="s">
        <v>483</v>
      </c>
      <c r="H591" s="22"/>
      <c r="I591" s="22">
        <v>119</v>
      </c>
    </row>
    <row r="592" spans="1:9" x14ac:dyDescent="0.25">
      <c r="A592" s="22" t="b">
        <v>0</v>
      </c>
      <c r="B592" s="22" t="s">
        <v>273</v>
      </c>
      <c r="C592" s="34">
        <v>46050</v>
      </c>
      <c r="D592" s="22" t="s">
        <v>3564</v>
      </c>
      <c r="E592" s="22">
        <v>-263.05</v>
      </c>
      <c r="F592" s="22" t="s">
        <v>489</v>
      </c>
      <c r="G592" s="22" t="s">
        <v>483</v>
      </c>
      <c r="H592" s="22"/>
      <c r="I592" s="22">
        <v>115</v>
      </c>
    </row>
    <row r="593" spans="1:9" x14ac:dyDescent="0.25">
      <c r="A593" s="22" t="b">
        <v>0</v>
      </c>
      <c r="B593" s="22" t="s">
        <v>275</v>
      </c>
      <c r="C593" s="34">
        <v>46050</v>
      </c>
      <c r="D593" s="22" t="s">
        <v>3565</v>
      </c>
      <c r="E593" s="22">
        <v>-21.8</v>
      </c>
      <c r="F593" s="22" t="s">
        <v>489</v>
      </c>
      <c r="G593" s="22" t="s">
        <v>483</v>
      </c>
      <c r="H593" s="22"/>
      <c r="I593" s="22">
        <v>116</v>
      </c>
    </row>
    <row r="594" spans="1:9" x14ac:dyDescent="0.25">
      <c r="A594" s="22" t="b">
        <v>0</v>
      </c>
      <c r="B594" s="22" t="s">
        <v>268</v>
      </c>
      <c r="C594" s="34">
        <v>46051</v>
      </c>
      <c r="D594" s="22" t="s">
        <v>3513</v>
      </c>
      <c r="E594" s="22">
        <v>-41.99</v>
      </c>
      <c r="F594" s="22" t="s">
        <v>489</v>
      </c>
      <c r="G594" s="22" t="s">
        <v>483</v>
      </c>
      <c r="H594" s="22"/>
      <c r="I594" s="22">
        <v>113</v>
      </c>
    </row>
    <row r="595" spans="1:9" x14ac:dyDescent="0.25">
      <c r="A595" s="22" t="b">
        <v>0</v>
      </c>
      <c r="B595" s="22" t="s">
        <v>256</v>
      </c>
      <c r="C595" s="34">
        <v>46053</v>
      </c>
      <c r="D595" s="22" t="s">
        <v>91</v>
      </c>
      <c r="E595" s="22">
        <v>-8</v>
      </c>
      <c r="F595" s="22" t="s">
        <v>489</v>
      </c>
      <c r="G595" s="22" t="s">
        <v>483</v>
      </c>
      <c r="H595" s="22"/>
      <c r="I595" s="22">
        <v>107</v>
      </c>
    </row>
    <row r="596" spans="1:9" x14ac:dyDescent="0.25">
      <c r="A596" s="22" t="b">
        <v>0</v>
      </c>
      <c r="B596" s="22" t="s">
        <v>257</v>
      </c>
      <c r="C596" s="34">
        <v>46053</v>
      </c>
      <c r="D596" s="22" t="s">
        <v>258</v>
      </c>
      <c r="E596" s="22">
        <v>-9</v>
      </c>
      <c r="F596" s="22" t="s">
        <v>489</v>
      </c>
      <c r="G596" s="22" t="s">
        <v>483</v>
      </c>
      <c r="H596" s="22"/>
      <c r="I596" s="22">
        <v>108</v>
      </c>
    </row>
    <row r="597" spans="1:9" x14ac:dyDescent="0.25">
      <c r="A597" s="22" t="b">
        <v>0</v>
      </c>
      <c r="B597" s="22" t="s">
        <v>250</v>
      </c>
      <c r="C597" s="34">
        <v>46054</v>
      </c>
      <c r="D597" s="22" t="s">
        <v>251</v>
      </c>
      <c r="E597" s="22">
        <v>-20</v>
      </c>
      <c r="F597" s="22" t="s">
        <v>489</v>
      </c>
      <c r="G597" s="22" t="s">
        <v>483</v>
      </c>
      <c r="H597" s="22"/>
      <c r="I597" s="22">
        <v>103</v>
      </c>
    </row>
    <row r="598" spans="1:9" x14ac:dyDescent="0.25">
      <c r="A598" s="22" t="b">
        <v>0</v>
      </c>
      <c r="B598" s="22" t="s">
        <v>247</v>
      </c>
      <c r="C598" s="34">
        <v>46054</v>
      </c>
      <c r="D598" s="22" t="s">
        <v>3566</v>
      </c>
      <c r="E598" s="22">
        <v>-185.4</v>
      </c>
      <c r="F598" s="22" t="s">
        <v>489</v>
      </c>
      <c r="G598" s="22" t="s">
        <v>483</v>
      </c>
      <c r="H598" s="22"/>
      <c r="I598" s="22">
        <v>101</v>
      </c>
    </row>
    <row r="599" spans="1:9" x14ac:dyDescent="0.25">
      <c r="A599" s="22" t="b">
        <v>0</v>
      </c>
      <c r="B599" s="22" t="s">
        <v>245</v>
      </c>
      <c r="C599" s="34">
        <v>46055</v>
      </c>
      <c r="D599" s="22" t="s">
        <v>246</v>
      </c>
      <c r="E599" s="22">
        <v>-7</v>
      </c>
      <c r="F599" s="22" t="s">
        <v>489</v>
      </c>
      <c r="G599" s="22" t="s">
        <v>483</v>
      </c>
      <c r="H599" s="22"/>
      <c r="I599" s="22">
        <v>100</v>
      </c>
    </row>
    <row r="600" spans="1:9" x14ac:dyDescent="0.25">
      <c r="A600" s="22" t="b">
        <v>0</v>
      </c>
      <c r="B600" s="22" t="s">
        <v>232</v>
      </c>
      <c r="C600" s="34">
        <v>46055</v>
      </c>
      <c r="D600" s="22" t="s">
        <v>3515</v>
      </c>
      <c r="E600" s="22">
        <v>-54.25</v>
      </c>
      <c r="F600" s="22" t="s">
        <v>489</v>
      </c>
      <c r="G600" s="22" t="s">
        <v>483</v>
      </c>
      <c r="H600" s="22"/>
      <c r="I600" s="22">
        <v>93</v>
      </c>
    </row>
    <row r="601" spans="1:9" x14ac:dyDescent="0.25">
      <c r="A601" s="22" t="b">
        <v>0</v>
      </c>
      <c r="B601" s="22" t="s">
        <v>234</v>
      </c>
      <c r="C601" s="34">
        <v>46055</v>
      </c>
      <c r="D601" s="22" t="s">
        <v>3516</v>
      </c>
      <c r="E601" s="22">
        <v>-54.25</v>
      </c>
      <c r="F601" s="22" t="s">
        <v>489</v>
      </c>
      <c r="G601" s="22" t="s">
        <v>483</v>
      </c>
      <c r="H601" s="22"/>
      <c r="I601" s="22">
        <v>94</v>
      </c>
    </row>
    <row r="602" spans="1:9" x14ac:dyDescent="0.25">
      <c r="A602" s="22" t="b">
        <v>0</v>
      </c>
      <c r="B602" s="22" t="s">
        <v>236</v>
      </c>
      <c r="C602" s="34">
        <v>46055</v>
      </c>
      <c r="D602" s="22" t="s">
        <v>3514</v>
      </c>
      <c r="E602" s="22">
        <v>-54.25</v>
      </c>
      <c r="F602" s="22" t="s">
        <v>489</v>
      </c>
      <c r="G602" s="22" t="s">
        <v>483</v>
      </c>
      <c r="H602" s="22"/>
      <c r="I602" s="22">
        <v>95</v>
      </c>
    </row>
    <row r="603" spans="1:9" x14ac:dyDescent="0.25">
      <c r="A603" s="22" t="b">
        <v>0</v>
      </c>
      <c r="B603" s="22" t="s">
        <v>238</v>
      </c>
      <c r="C603" s="34">
        <v>46055</v>
      </c>
      <c r="D603" s="22" t="s">
        <v>3555</v>
      </c>
      <c r="E603" s="22">
        <v>-126</v>
      </c>
      <c r="F603" s="22" t="s">
        <v>489</v>
      </c>
      <c r="G603" s="22" t="s">
        <v>483</v>
      </c>
      <c r="H603" s="22"/>
      <c r="I603" s="22">
        <v>96</v>
      </c>
    </row>
    <row r="604" spans="1:9" x14ac:dyDescent="0.25">
      <c r="A604" s="22" t="b">
        <v>0</v>
      </c>
      <c r="B604" s="22" t="s">
        <v>241</v>
      </c>
      <c r="C604" s="34">
        <v>46055</v>
      </c>
      <c r="D604" s="22" t="s">
        <v>3567</v>
      </c>
      <c r="E604" s="22">
        <v>-54.25</v>
      </c>
      <c r="F604" s="22" t="s">
        <v>489</v>
      </c>
      <c r="G604" s="22" t="s">
        <v>483</v>
      </c>
      <c r="H604" s="22"/>
      <c r="I604" s="22">
        <v>98</v>
      </c>
    </row>
    <row r="605" spans="1:9" x14ac:dyDescent="0.25">
      <c r="A605" s="22" t="b">
        <v>0</v>
      </c>
      <c r="B605" s="22" t="s">
        <v>224</v>
      </c>
      <c r="C605" s="34">
        <v>46056</v>
      </c>
      <c r="D605" s="22" t="s">
        <v>225</v>
      </c>
      <c r="E605" s="22">
        <v>-0.93</v>
      </c>
      <c r="F605" s="22" t="s">
        <v>489</v>
      </c>
      <c r="G605" s="22" t="s">
        <v>483</v>
      </c>
      <c r="H605" s="22"/>
      <c r="I605" s="22">
        <v>88</v>
      </c>
    </row>
    <row r="606" spans="1:9" x14ac:dyDescent="0.25">
      <c r="A606" s="22" t="b">
        <v>0</v>
      </c>
      <c r="B606" s="22" t="s">
        <v>226</v>
      </c>
      <c r="C606" s="34">
        <v>46056</v>
      </c>
      <c r="D606" s="22" t="s">
        <v>225</v>
      </c>
      <c r="E606" s="22">
        <v>-2.09</v>
      </c>
      <c r="F606" s="22" t="s">
        <v>489</v>
      </c>
      <c r="G606" s="22" t="s">
        <v>483</v>
      </c>
      <c r="H606" s="22"/>
      <c r="I606" s="22">
        <v>89</v>
      </c>
    </row>
    <row r="607" spans="1:9" x14ac:dyDescent="0.25">
      <c r="A607" s="22" t="b">
        <v>0</v>
      </c>
      <c r="B607" s="22" t="s">
        <v>227</v>
      </c>
      <c r="C607" s="34">
        <v>46056</v>
      </c>
      <c r="D607" s="22" t="s">
        <v>191</v>
      </c>
      <c r="E607" s="22">
        <v>-140</v>
      </c>
      <c r="F607" s="22" t="s">
        <v>489</v>
      </c>
      <c r="G607" s="22" t="s">
        <v>483</v>
      </c>
      <c r="H607" s="22"/>
      <c r="I607" s="22">
        <v>90</v>
      </c>
    </row>
    <row r="608" spans="1:9" x14ac:dyDescent="0.25">
      <c r="A608" s="22" t="b">
        <v>0</v>
      </c>
      <c r="B608" s="22" t="s">
        <v>207</v>
      </c>
      <c r="C608" s="34">
        <v>46057</v>
      </c>
      <c r="D608" s="22" t="s">
        <v>3568</v>
      </c>
      <c r="E608" s="22">
        <v>-505.64</v>
      </c>
      <c r="F608" s="22" t="s">
        <v>489</v>
      </c>
      <c r="G608" s="22" t="s">
        <v>483</v>
      </c>
      <c r="H608" s="22"/>
      <c r="I608" s="22">
        <v>81</v>
      </c>
    </row>
    <row r="609" spans="1:9" x14ac:dyDescent="0.25">
      <c r="A609" s="22" t="b">
        <v>0</v>
      </c>
      <c r="B609" s="22" t="s">
        <v>213</v>
      </c>
      <c r="C609" s="34">
        <v>46057</v>
      </c>
      <c r="D609" s="22" t="s">
        <v>214</v>
      </c>
      <c r="E609" s="22">
        <v>-18.989999999999998</v>
      </c>
      <c r="F609" s="22" t="s">
        <v>489</v>
      </c>
      <c r="G609" s="22" t="s">
        <v>483</v>
      </c>
      <c r="H609" s="22"/>
      <c r="I609" s="22">
        <v>84</v>
      </c>
    </row>
    <row r="610" spans="1:9" x14ac:dyDescent="0.25">
      <c r="A610" s="22" t="b">
        <v>0</v>
      </c>
      <c r="B610" s="22" t="s">
        <v>190</v>
      </c>
      <c r="C610" s="34">
        <v>46059</v>
      </c>
      <c r="D610" s="22" t="s">
        <v>191</v>
      </c>
      <c r="E610" s="22">
        <v>-84</v>
      </c>
      <c r="F610" s="22" t="s">
        <v>489</v>
      </c>
      <c r="G610" s="22" t="s">
        <v>483</v>
      </c>
      <c r="H610" s="22"/>
      <c r="I610" s="22">
        <v>73</v>
      </c>
    </row>
    <row r="611" spans="1:9" x14ac:dyDescent="0.25">
      <c r="A611" s="22" t="b">
        <v>0</v>
      </c>
      <c r="B611" s="22" t="s">
        <v>178</v>
      </c>
      <c r="C611" s="34">
        <v>46060</v>
      </c>
      <c r="D611" s="22" t="s">
        <v>3569</v>
      </c>
      <c r="E611" s="22">
        <v>-480.8</v>
      </c>
      <c r="F611" s="22" t="s">
        <v>489</v>
      </c>
      <c r="G611" s="22" t="s">
        <v>483</v>
      </c>
      <c r="H611" s="22"/>
      <c r="I611" s="22">
        <v>67</v>
      </c>
    </row>
    <row r="612" spans="1:9" x14ac:dyDescent="0.25">
      <c r="A612" s="22" t="b">
        <v>0</v>
      </c>
      <c r="B612" s="22" t="s">
        <v>174</v>
      </c>
      <c r="C612" s="34">
        <v>46061</v>
      </c>
      <c r="D612" s="22" t="s">
        <v>3325</v>
      </c>
      <c r="E612" s="22">
        <v>-10</v>
      </c>
      <c r="F612" s="22" t="s">
        <v>489</v>
      </c>
      <c r="G612" s="22" t="s">
        <v>483</v>
      </c>
      <c r="H612" s="22"/>
      <c r="I612" s="22">
        <v>66</v>
      </c>
    </row>
    <row r="613" spans="1:9" x14ac:dyDescent="0.25">
      <c r="A613" s="22" t="b">
        <v>0</v>
      </c>
      <c r="B613" s="22" t="s">
        <v>151</v>
      </c>
      <c r="C613" s="34">
        <v>46063</v>
      </c>
      <c r="D613" s="22" t="s">
        <v>152</v>
      </c>
      <c r="E613" s="22">
        <v>-3.66</v>
      </c>
      <c r="F613" s="22" t="s">
        <v>489</v>
      </c>
      <c r="G613" s="22" t="s">
        <v>483</v>
      </c>
      <c r="H613" s="22"/>
      <c r="I613" s="22">
        <v>53</v>
      </c>
    </row>
    <row r="614" spans="1:9" x14ac:dyDescent="0.25">
      <c r="A614" s="22" t="b">
        <v>0</v>
      </c>
      <c r="B614" s="22" t="s">
        <v>157</v>
      </c>
      <c r="C614" s="34">
        <v>46063</v>
      </c>
      <c r="D614" s="22" t="s">
        <v>115</v>
      </c>
      <c r="E614" s="22">
        <v>-2</v>
      </c>
      <c r="F614" s="22" t="s">
        <v>489</v>
      </c>
      <c r="G614" s="22" t="s">
        <v>483</v>
      </c>
      <c r="H614" s="22"/>
      <c r="I614" s="22">
        <v>55</v>
      </c>
    </row>
    <row r="615" spans="1:9" x14ac:dyDescent="0.25">
      <c r="A615" s="22" t="b">
        <v>0</v>
      </c>
      <c r="B615" s="22" t="s">
        <v>162</v>
      </c>
      <c r="C615" s="34">
        <v>46063</v>
      </c>
      <c r="D615" s="22" t="s">
        <v>163</v>
      </c>
      <c r="E615" s="22">
        <v>-6</v>
      </c>
      <c r="F615" s="22" t="s">
        <v>489</v>
      </c>
      <c r="G615" s="22" t="s">
        <v>483</v>
      </c>
      <c r="H615" s="22"/>
      <c r="I615" s="22">
        <v>58</v>
      </c>
    </row>
    <row r="616" spans="1:9" x14ac:dyDescent="0.25">
      <c r="A616" s="22" t="b">
        <v>0</v>
      </c>
      <c r="B616" s="22" t="s">
        <v>137</v>
      </c>
      <c r="C616" s="34">
        <v>46063</v>
      </c>
      <c r="D616" s="22" t="s">
        <v>3570</v>
      </c>
      <c r="E616" s="22">
        <v>-65</v>
      </c>
      <c r="F616" s="22" t="s">
        <v>489</v>
      </c>
      <c r="G616" s="22" t="s">
        <v>483</v>
      </c>
      <c r="H616" s="22"/>
      <c r="I616" s="22">
        <v>48</v>
      </c>
    </row>
    <row r="617" spans="1:9" x14ac:dyDescent="0.25">
      <c r="A617" s="22" t="b">
        <v>0</v>
      </c>
      <c r="B617" s="22" t="s">
        <v>146</v>
      </c>
      <c r="C617" s="34">
        <v>46063</v>
      </c>
      <c r="D617" s="22" t="s">
        <v>3571</v>
      </c>
      <c r="E617" s="22">
        <v>-1764.84</v>
      </c>
      <c r="F617" s="22" t="s">
        <v>489</v>
      </c>
      <c r="G617" s="22" t="s">
        <v>483</v>
      </c>
      <c r="H617" s="22"/>
      <c r="I617" s="22">
        <v>51</v>
      </c>
    </row>
    <row r="618" spans="1:9" x14ac:dyDescent="0.25">
      <c r="A618" s="22" t="b">
        <v>0</v>
      </c>
      <c r="B618" s="22" t="s">
        <v>160</v>
      </c>
      <c r="C618" s="34">
        <v>46063</v>
      </c>
      <c r="D618" s="22" t="s">
        <v>3557</v>
      </c>
      <c r="E618" s="22">
        <v>-1405.36</v>
      </c>
      <c r="F618" s="22" t="s">
        <v>489</v>
      </c>
      <c r="G618" s="22" t="s">
        <v>483</v>
      </c>
      <c r="H618" s="22"/>
      <c r="I618" s="22">
        <v>57</v>
      </c>
    </row>
    <row r="619" spans="1:9" x14ac:dyDescent="0.25">
      <c r="A619" s="22" t="b">
        <v>0</v>
      </c>
      <c r="B619" s="22" t="s">
        <v>114</v>
      </c>
      <c r="C619" s="34">
        <v>46065</v>
      </c>
      <c r="D619" s="22" t="s">
        <v>115</v>
      </c>
      <c r="E619" s="22">
        <v>-2</v>
      </c>
      <c r="F619" s="22" t="s">
        <v>489</v>
      </c>
      <c r="G619" s="22" t="s">
        <v>483</v>
      </c>
      <c r="H619" s="22"/>
      <c r="I619" s="22">
        <v>37</v>
      </c>
    </row>
    <row r="620" spans="1:9" x14ac:dyDescent="0.25">
      <c r="A620" s="22" t="b">
        <v>0</v>
      </c>
      <c r="B620" s="22" t="s">
        <v>116</v>
      </c>
      <c r="C620" s="34">
        <v>46065</v>
      </c>
      <c r="D620" s="22" t="s">
        <v>115</v>
      </c>
      <c r="E620" s="22">
        <v>-2</v>
      </c>
      <c r="F620" s="22" t="s">
        <v>489</v>
      </c>
      <c r="G620" s="22" t="s">
        <v>483</v>
      </c>
      <c r="H620" s="22"/>
      <c r="I620" s="22">
        <v>38</v>
      </c>
    </row>
    <row r="621" spans="1:9" x14ac:dyDescent="0.25">
      <c r="A621" s="22" t="b">
        <v>0</v>
      </c>
      <c r="B621" s="22" t="s">
        <v>127</v>
      </c>
      <c r="C621" s="34">
        <v>46065</v>
      </c>
      <c r="D621" s="22" t="s">
        <v>128</v>
      </c>
      <c r="E621" s="22">
        <v>-552.22</v>
      </c>
      <c r="F621" s="22" t="s">
        <v>489</v>
      </c>
      <c r="G621" s="22" t="s">
        <v>483</v>
      </c>
      <c r="H621" s="22"/>
      <c r="I621" s="22">
        <v>44</v>
      </c>
    </row>
    <row r="622" spans="1:9" x14ac:dyDescent="0.25">
      <c r="A622" s="22" t="b">
        <v>0</v>
      </c>
      <c r="B622" s="22" t="s">
        <v>117</v>
      </c>
      <c r="C622" s="34">
        <v>46065</v>
      </c>
      <c r="D622" s="22" t="s">
        <v>3572</v>
      </c>
      <c r="E622" s="22">
        <v>-79.2</v>
      </c>
      <c r="F622" s="22" t="s">
        <v>489</v>
      </c>
      <c r="G622" s="22" t="s">
        <v>483</v>
      </c>
      <c r="H622" s="22"/>
      <c r="I622" s="22">
        <v>39</v>
      </c>
    </row>
    <row r="623" spans="1:9" x14ac:dyDescent="0.25">
      <c r="A623" s="22" t="b">
        <v>0</v>
      </c>
      <c r="B623" s="22" t="s">
        <v>113</v>
      </c>
      <c r="C623" s="34">
        <v>46066</v>
      </c>
      <c r="D623" s="22" t="s">
        <v>91</v>
      </c>
      <c r="E623" s="22">
        <v>-8</v>
      </c>
      <c r="F623" s="22" t="s">
        <v>489</v>
      </c>
      <c r="G623" s="22" t="s">
        <v>483</v>
      </c>
      <c r="H623" s="22"/>
      <c r="I623" s="22">
        <v>36</v>
      </c>
    </row>
    <row r="624" spans="1:9" x14ac:dyDescent="0.25">
      <c r="A624" s="22" t="b">
        <v>0</v>
      </c>
      <c r="B624" s="22" t="s">
        <v>110</v>
      </c>
      <c r="C624" s="34">
        <v>46066</v>
      </c>
      <c r="D624" s="22" t="s">
        <v>3573</v>
      </c>
      <c r="E624" s="22">
        <v>-370.39</v>
      </c>
      <c r="F624" s="22" t="s">
        <v>489</v>
      </c>
      <c r="G624" s="22" t="s">
        <v>483</v>
      </c>
      <c r="H624" s="22"/>
      <c r="I624" s="22">
        <v>35</v>
      </c>
    </row>
    <row r="625" spans="1:10" x14ac:dyDescent="0.25">
      <c r="A625" s="22" t="b">
        <v>0</v>
      </c>
      <c r="B625" s="22" t="s">
        <v>93</v>
      </c>
      <c r="C625" s="34">
        <v>46067</v>
      </c>
      <c r="D625" s="22" t="s">
        <v>94</v>
      </c>
      <c r="E625" s="22">
        <v>-42.5</v>
      </c>
      <c r="F625" s="22" t="s">
        <v>489</v>
      </c>
      <c r="G625" s="22" t="s">
        <v>483</v>
      </c>
      <c r="H625" s="22"/>
      <c r="I625" s="22">
        <v>28</v>
      </c>
    </row>
    <row r="626" spans="1:10" x14ac:dyDescent="0.25">
      <c r="A626" s="22" t="b">
        <v>0</v>
      </c>
      <c r="B626" s="22" t="s">
        <v>90</v>
      </c>
      <c r="C626" s="34">
        <v>46068</v>
      </c>
      <c r="D626" s="22" t="s">
        <v>91</v>
      </c>
      <c r="E626" s="22">
        <v>-8</v>
      </c>
      <c r="F626" s="22" t="s">
        <v>489</v>
      </c>
      <c r="G626" s="22" t="s">
        <v>483</v>
      </c>
      <c r="H626" s="22"/>
      <c r="I626" s="22">
        <v>26</v>
      </c>
    </row>
    <row r="627" spans="1:10" x14ac:dyDescent="0.25">
      <c r="A627" s="22" t="b">
        <v>0</v>
      </c>
      <c r="B627" s="22" t="s">
        <v>70</v>
      </c>
      <c r="C627" s="34">
        <v>46069</v>
      </c>
      <c r="D627" s="22" t="s">
        <v>3517</v>
      </c>
      <c r="E627" s="22">
        <v>-976.2</v>
      </c>
      <c r="F627" s="22" t="s">
        <v>489</v>
      </c>
      <c r="G627" s="22" t="s">
        <v>483</v>
      </c>
      <c r="H627" s="22"/>
      <c r="I627" s="22">
        <v>16</v>
      </c>
    </row>
    <row r="628" spans="1:10" x14ac:dyDescent="0.25">
      <c r="A628" s="22" t="b">
        <v>0</v>
      </c>
      <c r="B628" s="22" t="s">
        <v>78</v>
      </c>
      <c r="C628" s="34">
        <v>46069</v>
      </c>
      <c r="D628" s="22" t="s">
        <v>3553</v>
      </c>
      <c r="E628" s="22">
        <v>-100</v>
      </c>
      <c r="F628" s="22" t="s">
        <v>489</v>
      </c>
      <c r="G628" s="22" t="s">
        <v>483</v>
      </c>
      <c r="H628" s="22"/>
      <c r="I628" s="22">
        <v>19</v>
      </c>
    </row>
    <row r="629" spans="1:10" x14ac:dyDescent="0.25">
      <c r="A629" s="22" t="b">
        <v>0</v>
      </c>
      <c r="B629" s="22" t="s">
        <v>80</v>
      </c>
      <c r="C629" s="34">
        <v>46069</v>
      </c>
      <c r="D629" s="22" t="s">
        <v>3523</v>
      </c>
      <c r="E629" s="22">
        <v>-52</v>
      </c>
      <c r="F629" s="22" t="s">
        <v>489</v>
      </c>
      <c r="G629" s="22" t="s">
        <v>483</v>
      </c>
      <c r="H629" s="22"/>
      <c r="I629" s="22">
        <v>20</v>
      </c>
    </row>
    <row r="630" spans="1:10" x14ac:dyDescent="0.25">
      <c r="A630" s="22" t="b">
        <v>0</v>
      </c>
      <c r="B630" s="22" t="s">
        <v>46</v>
      </c>
      <c r="C630" s="34">
        <v>46071</v>
      </c>
      <c r="D630" s="22" t="s">
        <v>47</v>
      </c>
      <c r="E630" s="22">
        <v>-12</v>
      </c>
      <c r="F630" s="22" t="s">
        <v>489</v>
      </c>
      <c r="G630" s="22" t="s">
        <v>483</v>
      </c>
      <c r="H630" s="22"/>
      <c r="I630" s="22">
        <v>5</v>
      </c>
    </row>
    <row r="631" spans="1:10" x14ac:dyDescent="0.25">
      <c r="A631" s="22" t="b">
        <v>0</v>
      </c>
      <c r="B631" s="22" t="s">
        <v>38</v>
      </c>
      <c r="C631" s="34">
        <v>46072</v>
      </c>
      <c r="D631" s="22" t="s">
        <v>39</v>
      </c>
      <c r="E631" s="22">
        <v>-1.99</v>
      </c>
      <c r="F631" s="22" t="s">
        <v>489</v>
      </c>
      <c r="G631" s="22" t="s">
        <v>483</v>
      </c>
      <c r="H631" s="22"/>
      <c r="I631" s="22">
        <v>3</v>
      </c>
    </row>
    <row r="632" spans="1:10" x14ac:dyDescent="0.25">
      <c r="A632" s="22" t="b">
        <v>0</v>
      </c>
      <c r="B632" s="22" t="s">
        <v>415</v>
      </c>
      <c r="C632" s="22" t="s">
        <v>2939</v>
      </c>
      <c r="D632" s="22" t="s">
        <v>416</v>
      </c>
      <c r="E632" s="22">
        <v>-151.66</v>
      </c>
      <c r="F632" s="28"/>
      <c r="G632" s="22" t="s">
        <v>489</v>
      </c>
      <c r="H632" s="22" t="s">
        <v>483</v>
      </c>
      <c r="I632" s="22"/>
      <c r="J632" s="22">
        <v>300</v>
      </c>
    </row>
    <row r="633" spans="1:10" x14ac:dyDescent="0.25">
      <c r="A633" s="22" t="b">
        <v>0</v>
      </c>
      <c r="B633" s="22" t="s">
        <v>417</v>
      </c>
      <c r="C633" s="22" t="s">
        <v>2939</v>
      </c>
      <c r="D633" s="22" t="s">
        <v>418</v>
      </c>
      <c r="E633" s="22">
        <v>-2.0499999999999998</v>
      </c>
      <c r="F633" s="28"/>
      <c r="G633" s="22" t="s">
        <v>489</v>
      </c>
      <c r="H633" s="22" t="s">
        <v>483</v>
      </c>
      <c r="I633" s="22"/>
      <c r="J633" s="22">
        <v>301</v>
      </c>
    </row>
    <row r="634" spans="1:10" x14ac:dyDescent="0.25">
      <c r="A634" s="22" t="b">
        <v>0</v>
      </c>
      <c r="B634" s="22" t="s">
        <v>419</v>
      </c>
      <c r="C634" s="22" t="s">
        <v>2939</v>
      </c>
      <c r="D634" s="22" t="s">
        <v>418</v>
      </c>
      <c r="E634" s="22">
        <v>-1.87</v>
      </c>
      <c r="F634" s="28"/>
      <c r="G634" s="22" t="s">
        <v>489</v>
      </c>
      <c r="H634" s="22" t="s">
        <v>483</v>
      </c>
      <c r="I634" s="22"/>
      <c r="J634" s="22">
        <v>302</v>
      </c>
    </row>
    <row r="635" spans="1:10" x14ac:dyDescent="0.25">
      <c r="A635" s="22" t="b">
        <v>0</v>
      </c>
      <c r="B635" s="22" t="s">
        <v>420</v>
      </c>
      <c r="C635" s="22" t="s">
        <v>2939</v>
      </c>
      <c r="D635" s="22" t="s">
        <v>418</v>
      </c>
      <c r="E635" s="22">
        <v>-1.87</v>
      </c>
      <c r="F635" s="28"/>
      <c r="G635" s="22" t="s">
        <v>489</v>
      </c>
      <c r="H635" s="22" t="s">
        <v>483</v>
      </c>
      <c r="I635" s="22"/>
      <c r="J635" s="22">
        <v>303</v>
      </c>
    </row>
    <row r="636" spans="1:10" x14ac:dyDescent="0.25">
      <c r="A636" s="22" t="b">
        <v>0</v>
      </c>
      <c r="B636" s="22" t="s">
        <v>421</v>
      </c>
      <c r="C636" s="22" t="s">
        <v>2939</v>
      </c>
      <c r="D636" s="22" t="s">
        <v>418</v>
      </c>
      <c r="E636" s="22">
        <v>-0.76</v>
      </c>
      <c r="F636" s="28"/>
      <c r="G636" s="22" t="s">
        <v>489</v>
      </c>
      <c r="H636" s="22" t="s">
        <v>483</v>
      </c>
      <c r="I636" s="22"/>
      <c r="J636" s="22">
        <v>304</v>
      </c>
    </row>
    <row r="637" spans="1:10" x14ac:dyDescent="0.25">
      <c r="A637" s="22" t="b">
        <v>0</v>
      </c>
      <c r="B637" s="22" t="s">
        <v>442</v>
      </c>
      <c r="C637" s="22" t="s">
        <v>2939</v>
      </c>
      <c r="D637" s="22" t="s">
        <v>246</v>
      </c>
      <c r="E637" s="22">
        <v>-7</v>
      </c>
      <c r="F637" s="28"/>
      <c r="G637" s="22" t="s">
        <v>489</v>
      </c>
      <c r="H637" s="22" t="s">
        <v>483</v>
      </c>
      <c r="I637" s="22"/>
      <c r="J637" s="22">
        <v>319</v>
      </c>
    </row>
    <row r="638" spans="1:10" x14ac:dyDescent="0.25">
      <c r="A638" s="22" t="b">
        <v>0</v>
      </c>
      <c r="B638" s="22" t="s">
        <v>2738</v>
      </c>
      <c r="C638" s="22" t="s">
        <v>2939</v>
      </c>
      <c r="D638" s="22" t="s">
        <v>3532</v>
      </c>
      <c r="E638" s="22">
        <v>-107</v>
      </c>
      <c r="F638" s="28"/>
      <c r="G638" s="22" t="s">
        <v>489</v>
      </c>
      <c r="H638" s="22" t="s">
        <v>483</v>
      </c>
      <c r="I638" s="22"/>
      <c r="J638" s="22">
        <v>328</v>
      </c>
    </row>
    <row r="639" spans="1:10" x14ac:dyDescent="0.25">
      <c r="A639" s="22" t="b">
        <v>0</v>
      </c>
      <c r="B639" s="22" t="s">
        <v>2753</v>
      </c>
      <c r="C639" s="22" t="s">
        <v>2939</v>
      </c>
      <c r="D639" s="22" t="s">
        <v>320</v>
      </c>
      <c r="E639" s="22">
        <v>-2524.98</v>
      </c>
      <c r="F639" s="28"/>
      <c r="G639" s="22" t="s">
        <v>489</v>
      </c>
      <c r="H639" s="22" t="s">
        <v>483</v>
      </c>
      <c r="I639" s="22"/>
      <c r="J639" s="22">
        <v>346</v>
      </c>
    </row>
    <row r="640" spans="1:10" x14ac:dyDescent="0.25">
      <c r="A640" s="22" t="b">
        <v>0</v>
      </c>
      <c r="B640" s="22" t="s">
        <v>2767</v>
      </c>
      <c r="C640" s="22" t="s">
        <v>2939</v>
      </c>
      <c r="D640" s="22" t="s">
        <v>3574</v>
      </c>
      <c r="E640" s="22">
        <v>-64</v>
      </c>
      <c r="F640" s="28"/>
      <c r="G640" s="22" t="s">
        <v>489</v>
      </c>
      <c r="H640" s="22" t="s">
        <v>483</v>
      </c>
      <c r="I640" s="22"/>
      <c r="J640" s="22">
        <v>362</v>
      </c>
    </row>
    <row r="641" spans="1:10" x14ac:dyDescent="0.25">
      <c r="A641" s="22" t="b">
        <v>0</v>
      </c>
      <c r="B641" s="22" t="s">
        <v>2770</v>
      </c>
      <c r="C641" s="22" t="s">
        <v>2939</v>
      </c>
      <c r="D641" s="22" t="s">
        <v>3575</v>
      </c>
      <c r="E641" s="22">
        <v>-135.19999999999999</v>
      </c>
      <c r="F641" s="28"/>
      <c r="G641" s="22" t="s">
        <v>489</v>
      </c>
      <c r="H641" s="22" t="s">
        <v>483</v>
      </c>
      <c r="I641" s="22"/>
      <c r="J641" s="22">
        <v>369</v>
      </c>
    </row>
    <row r="642" spans="1:10" x14ac:dyDescent="0.25">
      <c r="A642" s="22" t="b">
        <v>0</v>
      </c>
      <c r="B642" s="22" t="s">
        <v>2771</v>
      </c>
      <c r="C642" s="22" t="s">
        <v>2939</v>
      </c>
      <c r="D642" s="22" t="s">
        <v>191</v>
      </c>
      <c r="E642" s="22">
        <v>-140</v>
      </c>
      <c r="F642" s="28"/>
      <c r="G642" s="22" t="s">
        <v>489</v>
      </c>
      <c r="H642" s="22" t="s">
        <v>483</v>
      </c>
      <c r="I642" s="22"/>
      <c r="J642" s="22">
        <v>371</v>
      </c>
    </row>
    <row r="643" spans="1:10" x14ac:dyDescent="0.25">
      <c r="A643" s="22" t="b">
        <v>0</v>
      </c>
      <c r="B643" s="22" t="s">
        <v>1055</v>
      </c>
      <c r="D643" s="22" t="s">
        <v>295</v>
      </c>
      <c r="E643" s="22">
        <v>-10</v>
      </c>
      <c r="F643" s="28"/>
      <c r="G643" s="22" t="s">
        <v>489</v>
      </c>
      <c r="H643" s="22" t="s">
        <v>483</v>
      </c>
      <c r="I643" s="22"/>
    </row>
  </sheetData>
  <autoFilter ref="D1:D811" xr:uid="{00000000-0009-0000-0000-000008000000}"/>
  <dataValidations count="1">
    <dataValidation type="list" allowBlank="1" showErrorMessage="1" sqref="I2:I563 H564:H631 I632:I643" xr:uid="{00000000-0002-0000-08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hyperlinks>
    <hyperlink ref="D20" r:id="rId1" xr:uid="{00000000-0004-0000-0800-000000000000}"/>
    <hyperlink ref="D48" r:id="rId2" xr:uid="{00000000-0004-0000-0800-000001000000}"/>
    <hyperlink ref="D54" r:id="rId3" xr:uid="{00000000-0004-0000-0800-000002000000}"/>
    <hyperlink ref="D117" r:id="rId4" xr:uid="{00000000-0004-0000-0800-000003000000}"/>
    <hyperlink ref="D118" r:id="rId5" xr:uid="{00000000-0004-0000-0800-000004000000}"/>
    <hyperlink ref="D189" r:id="rId6" xr:uid="{00000000-0004-0000-0800-000005000000}"/>
    <hyperlink ref="D190" r:id="rId7" xr:uid="{00000000-0004-0000-0800-000006000000}"/>
    <hyperlink ref="D191" r:id="rId8" xr:uid="{00000000-0004-0000-0800-000007000000}"/>
    <hyperlink ref="D223" r:id="rId9" xr:uid="{00000000-0004-0000-0800-000008000000}"/>
    <hyperlink ref="D251" r:id="rId10" xr:uid="{00000000-0004-0000-0800-000009000000}"/>
    <hyperlink ref="D273" r:id="rId11" xr:uid="{00000000-0004-0000-0800-00000A000000}"/>
    <hyperlink ref="D274" r:id="rId12" xr:uid="{00000000-0004-0000-0800-00000B000000}"/>
    <hyperlink ref="D306" r:id="rId13" xr:uid="{00000000-0004-0000-0800-00000C000000}"/>
    <hyperlink ref="D318" r:id="rId14" xr:uid="{00000000-0004-0000-0800-00000D000000}"/>
    <hyperlink ref="D319" r:id="rId15" xr:uid="{00000000-0004-0000-0800-00000E000000}"/>
    <hyperlink ref="D324" r:id="rId16" xr:uid="{00000000-0004-0000-0800-00000F000000}"/>
    <hyperlink ref="D373" r:id="rId17" xr:uid="{00000000-0004-0000-0800-000010000000}"/>
    <hyperlink ref="D388" r:id="rId18" xr:uid="{00000000-0004-0000-0800-000011000000}"/>
    <hyperlink ref="D389" r:id="rId19" xr:uid="{00000000-0004-0000-0800-000012000000}"/>
    <hyperlink ref="D390" r:id="rId20" xr:uid="{00000000-0004-0000-0800-000013000000}"/>
    <hyperlink ref="D391" r:id="rId21" xr:uid="{00000000-0004-0000-0800-000014000000}"/>
    <hyperlink ref="D403" r:id="rId22" xr:uid="{00000000-0004-0000-0800-000015000000}"/>
    <hyperlink ref="D408" r:id="rId23" xr:uid="{00000000-0004-0000-0800-000016000000}"/>
    <hyperlink ref="D410" r:id="rId24" xr:uid="{00000000-0004-0000-0800-000017000000}"/>
    <hyperlink ref="D420" r:id="rId25" xr:uid="{00000000-0004-0000-0800-000018000000}"/>
    <hyperlink ref="D427" r:id="rId26" xr:uid="{00000000-0004-0000-0800-000019000000}"/>
    <hyperlink ref="D430" r:id="rId27" xr:uid="{00000000-0004-0000-0800-00001A000000}"/>
    <hyperlink ref="D483" r:id="rId28" xr:uid="{00000000-0004-0000-0800-00001B000000}"/>
    <hyperlink ref="D501" r:id="rId29" xr:uid="{00000000-0004-0000-0800-00001C000000}"/>
    <hyperlink ref="D529" r:id="rId30" xr:uid="{00000000-0004-0000-0800-00001D000000}"/>
    <hyperlink ref="D549" r:id="rId31" xr:uid="{00000000-0004-0000-0800-00001E000000}"/>
    <hyperlink ref="D550" r:id="rId32" xr:uid="{00000000-0004-0000-0800-00001F000000}"/>
    <hyperlink ref="D567" r:id="rId33" xr:uid="{00000000-0004-0000-0800-00002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3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45.44140625" customWidth="1"/>
    <col min="3" max="3" width="21.77734375" customWidth="1"/>
    <col min="4" max="4" width="49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0</v>
      </c>
      <c r="B2" s="22" t="s">
        <v>2412</v>
      </c>
      <c r="C2" s="34"/>
      <c r="D2" s="22" t="s">
        <v>3576</v>
      </c>
      <c r="E2" s="22">
        <v>-300</v>
      </c>
      <c r="F2" s="28"/>
      <c r="G2" s="28"/>
      <c r="H2" s="22" t="s">
        <v>489</v>
      </c>
      <c r="I2" s="22" t="s">
        <v>483</v>
      </c>
      <c r="J2" s="22"/>
    </row>
    <row r="3" spans="1:11" x14ac:dyDescent="0.25">
      <c r="A3" s="22" t="b">
        <v>0</v>
      </c>
      <c r="B3" s="22" t="s">
        <v>2429</v>
      </c>
      <c r="C3" s="34"/>
      <c r="D3" s="22" t="s">
        <v>3577</v>
      </c>
      <c r="E3" s="22">
        <v>-2500.1999999999998</v>
      </c>
      <c r="F3" s="28"/>
      <c r="G3" s="28"/>
      <c r="H3" s="22" t="s">
        <v>489</v>
      </c>
      <c r="I3" s="22" t="s">
        <v>483</v>
      </c>
      <c r="J3" s="22"/>
    </row>
    <row r="4" spans="1:11" x14ac:dyDescent="0.25">
      <c r="A4" s="22" t="b">
        <v>0</v>
      </c>
      <c r="B4" s="22" t="s">
        <v>2430</v>
      </c>
      <c r="C4" s="34"/>
      <c r="D4" s="22" t="s">
        <v>3578</v>
      </c>
      <c r="E4" s="22">
        <v>-1460.2</v>
      </c>
      <c r="F4" s="28"/>
      <c r="G4" s="28"/>
      <c r="H4" s="22" t="s">
        <v>489</v>
      </c>
      <c r="I4" s="22" t="s">
        <v>483</v>
      </c>
      <c r="J4" s="22"/>
    </row>
    <row r="5" spans="1:11" x14ac:dyDescent="0.25">
      <c r="A5" s="22" t="b">
        <v>0</v>
      </c>
      <c r="B5" s="22" t="s">
        <v>2411</v>
      </c>
      <c r="C5" s="34"/>
      <c r="D5" s="22" t="s">
        <v>3579</v>
      </c>
      <c r="E5" s="22">
        <v>-300</v>
      </c>
      <c r="F5" s="28"/>
      <c r="G5" s="28"/>
      <c r="H5" s="22" t="s">
        <v>489</v>
      </c>
      <c r="I5" s="22" t="s">
        <v>483</v>
      </c>
      <c r="J5" s="22"/>
    </row>
    <row r="6" spans="1:11" x14ac:dyDescent="0.25">
      <c r="A6" s="22" t="b">
        <v>0</v>
      </c>
      <c r="B6" s="22" t="s">
        <v>2154</v>
      </c>
      <c r="C6" s="24">
        <v>45805</v>
      </c>
      <c r="D6" s="22" t="s">
        <v>3580</v>
      </c>
      <c r="E6" s="22">
        <v>-684.34</v>
      </c>
      <c r="F6" s="28"/>
      <c r="G6" s="28"/>
      <c r="H6" s="22" t="s">
        <v>489</v>
      </c>
      <c r="I6" s="22" t="s">
        <v>483</v>
      </c>
      <c r="J6" s="22"/>
    </row>
    <row r="7" spans="1:11" x14ac:dyDescent="0.25">
      <c r="A7" s="22" t="b">
        <v>0</v>
      </c>
      <c r="B7" s="22" t="s">
        <v>2152</v>
      </c>
      <c r="C7" s="24">
        <v>45838</v>
      </c>
      <c r="D7" s="22" t="s">
        <v>3580</v>
      </c>
      <c r="E7" s="22">
        <v>-489.34</v>
      </c>
      <c r="F7" s="28"/>
      <c r="G7" s="28"/>
      <c r="H7" s="22" t="s">
        <v>489</v>
      </c>
      <c r="I7" s="22" t="s">
        <v>483</v>
      </c>
      <c r="J7" s="22"/>
    </row>
    <row r="8" spans="1:11" x14ac:dyDescent="0.25">
      <c r="A8" s="22" t="b">
        <v>0</v>
      </c>
      <c r="B8" s="22" t="s">
        <v>2150</v>
      </c>
      <c r="C8" s="24">
        <v>45866</v>
      </c>
      <c r="D8" s="22" t="s">
        <v>3580</v>
      </c>
      <c r="E8" s="22">
        <v>-489.34</v>
      </c>
      <c r="F8" s="28"/>
      <c r="G8" s="28"/>
      <c r="H8" s="22" t="s">
        <v>489</v>
      </c>
      <c r="I8" s="22" t="s">
        <v>483</v>
      </c>
      <c r="J8" s="22"/>
    </row>
    <row r="9" spans="1:11" x14ac:dyDescent="0.25">
      <c r="A9" s="22" t="b">
        <v>0</v>
      </c>
      <c r="B9" s="22" t="s">
        <v>2163</v>
      </c>
      <c r="C9" s="24">
        <v>45897</v>
      </c>
      <c r="D9" s="22" t="s">
        <v>3580</v>
      </c>
      <c r="E9" s="22">
        <v>-489.34</v>
      </c>
      <c r="F9" s="28"/>
      <c r="G9" s="28"/>
      <c r="H9" s="22" t="s">
        <v>489</v>
      </c>
      <c r="I9" s="22" t="s">
        <v>483</v>
      </c>
      <c r="J9" s="22"/>
    </row>
    <row r="10" spans="1:11" x14ac:dyDescent="0.25">
      <c r="A10" s="22" t="b">
        <v>0</v>
      </c>
      <c r="B10" s="22" t="s">
        <v>2415</v>
      </c>
      <c r="C10" s="34"/>
      <c r="D10" s="22" t="s">
        <v>3581</v>
      </c>
      <c r="E10" s="22">
        <v>-96.2</v>
      </c>
      <c r="F10" s="28"/>
      <c r="G10" s="28"/>
      <c r="H10" s="22" t="s">
        <v>489</v>
      </c>
      <c r="I10" s="22" t="s">
        <v>483</v>
      </c>
      <c r="J10" s="22"/>
    </row>
    <row r="11" spans="1:11" x14ac:dyDescent="0.25">
      <c r="A11" s="22" t="b">
        <v>0</v>
      </c>
      <c r="B11" s="22" t="s">
        <v>2414</v>
      </c>
      <c r="C11" s="34"/>
      <c r="D11" s="22" t="s">
        <v>3582</v>
      </c>
      <c r="E11" s="22">
        <v>-300</v>
      </c>
      <c r="F11" s="28"/>
      <c r="G11" s="28"/>
      <c r="H11" s="22" t="s">
        <v>489</v>
      </c>
      <c r="I11" s="22" t="s">
        <v>483</v>
      </c>
      <c r="J11" s="22"/>
    </row>
    <row r="12" spans="1:11" x14ac:dyDescent="0.25">
      <c r="A12" s="22" t="b">
        <v>0</v>
      </c>
      <c r="B12" s="22" t="s">
        <v>2161</v>
      </c>
      <c r="C12" s="24">
        <v>45929</v>
      </c>
      <c r="D12" s="22" t="s">
        <v>3583</v>
      </c>
      <c r="E12" s="22">
        <v>-489.34</v>
      </c>
      <c r="F12" s="28"/>
      <c r="G12" s="28"/>
      <c r="H12" s="22" t="s">
        <v>489</v>
      </c>
      <c r="I12" s="22" t="s">
        <v>483</v>
      </c>
      <c r="J12" s="22"/>
    </row>
    <row r="13" spans="1:11" x14ac:dyDescent="0.25">
      <c r="A13" s="22" t="b">
        <v>0</v>
      </c>
      <c r="B13" s="22" t="s">
        <v>2413</v>
      </c>
      <c r="C13" s="34"/>
      <c r="D13" s="22" t="s">
        <v>3584</v>
      </c>
      <c r="E13" s="22">
        <v>-150</v>
      </c>
      <c r="F13" s="28"/>
      <c r="G13" s="28"/>
      <c r="H13" s="22" t="s">
        <v>489</v>
      </c>
      <c r="I13" s="22" t="s">
        <v>483</v>
      </c>
      <c r="J13" s="22"/>
    </row>
    <row r="14" spans="1:11" x14ac:dyDescent="0.25">
      <c r="A14" s="22" t="b">
        <v>0</v>
      </c>
      <c r="B14" s="22" t="s">
        <v>2159</v>
      </c>
      <c r="C14" s="24">
        <v>45958</v>
      </c>
      <c r="D14" s="22" t="s">
        <v>3583</v>
      </c>
      <c r="E14" s="22">
        <v>-489.34</v>
      </c>
      <c r="F14" s="28"/>
      <c r="G14" s="28"/>
      <c r="H14" s="22" t="s">
        <v>489</v>
      </c>
      <c r="I14" s="22" t="s">
        <v>483</v>
      </c>
      <c r="J14" s="22"/>
    </row>
    <row r="15" spans="1:11" x14ac:dyDescent="0.25">
      <c r="A15" s="22" t="b">
        <v>0</v>
      </c>
      <c r="B15" s="22" t="s">
        <v>2157</v>
      </c>
      <c r="C15" s="24">
        <v>45989</v>
      </c>
      <c r="D15" s="22" t="s">
        <v>3583</v>
      </c>
      <c r="E15" s="22">
        <v>-489.34</v>
      </c>
      <c r="F15" s="28"/>
      <c r="G15" s="28"/>
      <c r="H15" s="22" t="s">
        <v>489</v>
      </c>
      <c r="I15" s="22" t="s">
        <v>483</v>
      </c>
      <c r="J15" s="22"/>
    </row>
    <row r="16" spans="1:11" x14ac:dyDescent="0.25">
      <c r="A16" s="22" t="b">
        <v>0</v>
      </c>
      <c r="B16" s="22" t="s">
        <v>2156</v>
      </c>
      <c r="C16" s="24">
        <v>45999</v>
      </c>
      <c r="D16" s="22" t="s">
        <v>3585</v>
      </c>
      <c r="E16" s="22">
        <v>-416.12</v>
      </c>
      <c r="F16" s="28"/>
      <c r="G16" s="28"/>
      <c r="H16" s="22" t="s">
        <v>489</v>
      </c>
      <c r="I16" s="22" t="s">
        <v>483</v>
      </c>
      <c r="J16" s="22"/>
    </row>
    <row r="17" spans="1:10" x14ac:dyDescent="0.25">
      <c r="A17" s="22" t="b">
        <v>0</v>
      </c>
      <c r="B17" s="22" t="s">
        <v>1183</v>
      </c>
      <c r="C17" s="34"/>
      <c r="D17" s="22" t="s">
        <v>3586</v>
      </c>
      <c r="E17" s="22">
        <v>-28.5</v>
      </c>
      <c r="F17" s="28"/>
      <c r="G17" s="28"/>
      <c r="H17" s="22" t="s">
        <v>489</v>
      </c>
      <c r="I17" s="22" t="s">
        <v>483</v>
      </c>
      <c r="J17" s="22"/>
    </row>
    <row r="18" spans="1:10" x14ac:dyDescent="0.25">
      <c r="A18" s="22" t="b">
        <v>0</v>
      </c>
      <c r="B18" s="22" t="s">
        <v>2561</v>
      </c>
      <c r="D18" s="22" t="s">
        <v>3587</v>
      </c>
      <c r="E18" s="22">
        <v>-200</v>
      </c>
      <c r="F18" s="28"/>
      <c r="G18" s="22" t="s">
        <v>489</v>
      </c>
      <c r="H18" s="22" t="s">
        <v>483</v>
      </c>
      <c r="I18" s="22"/>
      <c r="J18" s="22">
        <v>131</v>
      </c>
    </row>
    <row r="19" spans="1:10" x14ac:dyDescent="0.25">
      <c r="A19" s="22" t="b">
        <v>0</v>
      </c>
      <c r="B19" s="22" t="s">
        <v>2620</v>
      </c>
      <c r="D19" s="22" t="s">
        <v>3587</v>
      </c>
      <c r="E19" s="22">
        <v>-150.19999999999999</v>
      </c>
      <c r="F19" s="28"/>
      <c r="G19" s="22" t="s">
        <v>489</v>
      </c>
      <c r="H19" s="22" t="s">
        <v>483</v>
      </c>
      <c r="I19" s="22"/>
      <c r="J19" s="22">
        <v>201</v>
      </c>
    </row>
    <row r="20" spans="1:10" x14ac:dyDescent="0.25">
      <c r="A20" s="22" t="b">
        <v>0</v>
      </c>
      <c r="B20" s="22" t="s">
        <v>2706</v>
      </c>
      <c r="D20" s="22" t="s">
        <v>3588</v>
      </c>
      <c r="E20" s="22">
        <v>-2700.2</v>
      </c>
      <c r="F20" s="28"/>
      <c r="G20" s="22" t="s">
        <v>489</v>
      </c>
      <c r="H20" s="22" t="s">
        <v>483</v>
      </c>
      <c r="I20" s="22"/>
    </row>
    <row r="21" spans="1:10" x14ac:dyDescent="0.25">
      <c r="A21" s="22" t="b">
        <v>0</v>
      </c>
      <c r="B21" s="22" t="s">
        <v>2728</v>
      </c>
      <c r="D21" s="22" t="s">
        <v>3589</v>
      </c>
      <c r="E21" s="22">
        <v>-4160.2</v>
      </c>
      <c r="F21" s="28"/>
      <c r="G21" s="22" t="s">
        <v>489</v>
      </c>
      <c r="H21" s="22" t="s">
        <v>483</v>
      </c>
      <c r="I21" s="22"/>
    </row>
    <row r="22" spans="1:10" x14ac:dyDescent="0.25">
      <c r="A22" s="22" t="b">
        <v>0</v>
      </c>
      <c r="B22" s="22" t="s">
        <v>2729</v>
      </c>
      <c r="D22" s="22" t="s">
        <v>3589</v>
      </c>
      <c r="E22" s="22">
        <v>-1040.2</v>
      </c>
      <c r="F22" s="28"/>
      <c r="G22" s="22" t="s">
        <v>489</v>
      </c>
      <c r="H22" s="22" t="s">
        <v>483</v>
      </c>
      <c r="I22" s="22"/>
    </row>
    <row r="23" spans="1:10" x14ac:dyDescent="0.25">
      <c r="A23" s="22" t="b">
        <v>0</v>
      </c>
      <c r="B23" s="22" t="s">
        <v>2730</v>
      </c>
      <c r="D23" s="22" t="s">
        <v>3590</v>
      </c>
      <c r="E23" s="22">
        <v>-470.2</v>
      </c>
      <c r="F23" s="28"/>
      <c r="G23" s="22" t="s">
        <v>489</v>
      </c>
      <c r="H23" s="22" t="s">
        <v>483</v>
      </c>
      <c r="I23" s="22"/>
      <c r="J23" s="22">
        <v>53</v>
      </c>
    </row>
    <row r="24" spans="1:10" x14ac:dyDescent="0.25">
      <c r="A24" s="22" t="b">
        <v>0</v>
      </c>
      <c r="B24" s="22" t="s">
        <v>2731</v>
      </c>
      <c r="D24" s="22" t="s">
        <v>3577</v>
      </c>
      <c r="E24" s="22">
        <v>-1770.2</v>
      </c>
      <c r="F24" s="28"/>
      <c r="G24" s="22" t="s">
        <v>489</v>
      </c>
      <c r="H24" s="22" t="s">
        <v>483</v>
      </c>
      <c r="I24" s="22"/>
      <c r="J24" s="22">
        <v>75</v>
      </c>
    </row>
    <row r="25" spans="1:10" x14ac:dyDescent="0.25">
      <c r="A25" s="22" t="b">
        <v>0</v>
      </c>
      <c r="B25" s="22" t="s">
        <v>2732</v>
      </c>
      <c r="D25" s="22" t="s">
        <v>3577</v>
      </c>
      <c r="E25" s="22">
        <v>-1400.2</v>
      </c>
      <c r="F25" s="28"/>
      <c r="G25" s="22" t="s">
        <v>489</v>
      </c>
      <c r="H25" s="22" t="s">
        <v>483</v>
      </c>
      <c r="I25" s="22"/>
      <c r="J25" s="22">
        <v>120</v>
      </c>
    </row>
    <row r="26" spans="1:10" x14ac:dyDescent="0.25">
      <c r="A26" s="22" t="b">
        <v>0</v>
      </c>
      <c r="B26" s="22" t="s">
        <v>2733</v>
      </c>
      <c r="D26" s="22" t="s">
        <v>3591</v>
      </c>
      <c r="E26" s="22">
        <v>-2000</v>
      </c>
      <c r="F26" s="28"/>
      <c r="G26" s="22" t="s">
        <v>489</v>
      </c>
      <c r="H26" s="22" t="s">
        <v>483</v>
      </c>
      <c r="I26" s="22"/>
      <c r="J26" s="22">
        <v>153</v>
      </c>
    </row>
    <row r="27" spans="1:10" x14ac:dyDescent="0.25">
      <c r="A27" s="22" t="b">
        <v>0</v>
      </c>
      <c r="B27" s="22" t="s">
        <v>2734</v>
      </c>
      <c r="D27" s="22" t="s">
        <v>3592</v>
      </c>
      <c r="E27" s="22">
        <v>-1890</v>
      </c>
      <c r="F27" s="28"/>
      <c r="G27" s="22" t="s">
        <v>489</v>
      </c>
      <c r="H27" s="22" t="s">
        <v>483</v>
      </c>
      <c r="I27" s="22"/>
      <c r="J27" s="22">
        <v>278</v>
      </c>
    </row>
    <row r="28" spans="1:10" x14ac:dyDescent="0.25">
      <c r="A28" s="22" t="b">
        <v>0</v>
      </c>
      <c r="B28" s="22" t="s">
        <v>65</v>
      </c>
      <c r="C28" s="34">
        <v>46069</v>
      </c>
      <c r="D28" s="22" t="s">
        <v>3593</v>
      </c>
      <c r="E28" s="22">
        <v>-976.2</v>
      </c>
      <c r="F28" s="22" t="s">
        <v>489</v>
      </c>
      <c r="G28" s="22" t="s">
        <v>483</v>
      </c>
      <c r="H28" s="22"/>
      <c r="I28" s="22">
        <v>14</v>
      </c>
    </row>
    <row r="29" spans="1:10" x14ac:dyDescent="0.25">
      <c r="A29" s="22" t="b">
        <v>0</v>
      </c>
      <c r="B29" s="22" t="s">
        <v>68</v>
      </c>
      <c r="C29" s="34">
        <v>46069</v>
      </c>
      <c r="D29" s="22" t="s">
        <v>3594</v>
      </c>
      <c r="E29" s="22">
        <v>-976.2</v>
      </c>
      <c r="F29" s="22" t="s">
        <v>489</v>
      </c>
      <c r="G29" s="22" t="s">
        <v>483</v>
      </c>
      <c r="H29" s="22"/>
      <c r="I29" s="22">
        <v>15</v>
      </c>
    </row>
    <row r="30" spans="1:10" x14ac:dyDescent="0.25">
      <c r="A30" s="22" t="b">
        <v>0</v>
      </c>
      <c r="B30" s="22" t="s">
        <v>259</v>
      </c>
      <c r="C30" s="34">
        <v>46052</v>
      </c>
      <c r="D30" s="22" t="s">
        <v>3595</v>
      </c>
      <c r="E30" s="22">
        <v>-1015.2</v>
      </c>
      <c r="F30" s="22" t="s">
        <v>489</v>
      </c>
      <c r="G30" s="22" t="s">
        <v>483</v>
      </c>
      <c r="H30" s="22"/>
      <c r="I30" s="22">
        <v>109</v>
      </c>
    </row>
    <row r="31" spans="1:10" x14ac:dyDescent="0.25">
      <c r="A31" s="22" t="b">
        <v>0</v>
      </c>
      <c r="B31" s="22" t="s">
        <v>321</v>
      </c>
      <c r="C31" s="34">
        <v>46044</v>
      </c>
      <c r="D31" s="22" t="s">
        <v>3596</v>
      </c>
      <c r="E31" s="22">
        <v>-9000.2000000000007</v>
      </c>
      <c r="F31" s="22" t="s">
        <v>489</v>
      </c>
      <c r="G31" s="22" t="s">
        <v>483</v>
      </c>
      <c r="H31" s="22"/>
      <c r="I31" s="22">
        <v>140</v>
      </c>
    </row>
    <row r="32" spans="1:10" x14ac:dyDescent="0.25">
      <c r="A32" s="22" t="b">
        <v>0</v>
      </c>
      <c r="B32" s="22" t="s">
        <v>364</v>
      </c>
      <c r="C32" s="34">
        <v>46037</v>
      </c>
      <c r="D32" s="22" t="s">
        <v>3597</v>
      </c>
      <c r="E32" s="22">
        <v>-976</v>
      </c>
      <c r="F32" s="22" t="s">
        <v>489</v>
      </c>
      <c r="G32" s="22" t="s">
        <v>483</v>
      </c>
      <c r="H32" s="22"/>
      <c r="I32" s="22">
        <v>160</v>
      </c>
    </row>
  </sheetData>
  <autoFilter ref="D1:D954" xr:uid="{00000000-0009-0000-0000-000009000000}"/>
  <dataValidations count="2">
    <dataValidation type="list" allowBlank="1" showErrorMessage="1" sqref="I2:I27 H28:H32" xr:uid="{00000000-0002-0000-0900-000000000000}">
      <formula1>"JOBS IN,WX21VZN IN,EQV IN,KM20YYX IN,MISC PAYMENT IN,JOBS OUT,WX21VZN OUT,EQV OUT,MISC PAYMENT OUT,EXPENSES,FUEL,PARKING,WATER + OTHER,WALEED EXPENSE,IMRAN EXPENSE,WAYZ MOTORS,1ST NATIONWIDE,1ST NATIONWIDE"</formula1>
    </dataValidation>
    <dataValidation type="list" allowBlank="1" showErrorMessage="1" sqref="J2:J17" xr:uid="{00000000-0002-0000-0900-000001000000}">
      <formula1>"JOBS IN,WX21VZN IN,EQV IN,KM20YYX IN,MISC PAYMENT IN,JOBS OUT,WX21VZN OUT,EQV OUT,MISC PAYMENT OUT,EXPENSES,FUEL,PARKING,WATER + OTHER,WALEED EXPENSE,IMRAN EXPENSE,WAYZ MOTORS"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3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4" max="4" width="36.10937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0</v>
      </c>
      <c r="B2" s="22" t="s">
        <v>2674</v>
      </c>
      <c r="C2" s="34">
        <v>45702</v>
      </c>
      <c r="D2" s="22" t="s">
        <v>3598</v>
      </c>
      <c r="E2" s="22">
        <v>-46.2</v>
      </c>
      <c r="F2" s="28">
        <v>-7.7</v>
      </c>
      <c r="G2" s="22" t="s">
        <v>489</v>
      </c>
      <c r="H2" s="22" t="s">
        <v>483</v>
      </c>
      <c r="I2" s="22"/>
      <c r="J2" s="22">
        <v>261</v>
      </c>
    </row>
    <row r="3" spans="1:11" x14ac:dyDescent="0.25">
      <c r="A3" s="22" t="b">
        <v>0</v>
      </c>
      <c r="B3" s="22" t="s">
        <v>2663</v>
      </c>
      <c r="C3" s="34">
        <v>45704</v>
      </c>
      <c r="D3" s="22" t="s">
        <v>3599</v>
      </c>
      <c r="E3" s="22">
        <v>-62.6</v>
      </c>
      <c r="F3" s="28">
        <v>-10.43</v>
      </c>
      <c r="G3" s="22" t="s">
        <v>489</v>
      </c>
      <c r="H3" s="22" t="s">
        <v>483</v>
      </c>
      <c r="I3" s="22"/>
      <c r="J3" s="22">
        <v>249</v>
      </c>
    </row>
    <row r="4" spans="1:11" x14ac:dyDescent="0.25">
      <c r="A4" s="22" t="b">
        <v>0</v>
      </c>
      <c r="B4" s="22" t="s">
        <v>2657</v>
      </c>
      <c r="C4" s="34">
        <v>45705</v>
      </c>
      <c r="D4" s="22" t="s">
        <v>3600</v>
      </c>
      <c r="E4" s="22">
        <v>-52.12</v>
      </c>
      <c r="F4" s="28">
        <v>-8.69</v>
      </c>
      <c r="G4" s="22" t="s">
        <v>489</v>
      </c>
      <c r="H4" s="22" t="s">
        <v>483</v>
      </c>
      <c r="I4" s="22"/>
      <c r="J4" s="22">
        <v>242</v>
      </c>
    </row>
    <row r="5" spans="1:11" x14ac:dyDescent="0.25">
      <c r="A5" s="22" t="b">
        <v>0</v>
      </c>
      <c r="B5" s="22" t="s">
        <v>2645</v>
      </c>
      <c r="C5" s="34">
        <v>45706</v>
      </c>
      <c r="D5" s="22" t="s">
        <v>3601</v>
      </c>
      <c r="E5" s="22">
        <v>-3</v>
      </c>
      <c r="F5" s="28">
        <v>-0.5</v>
      </c>
      <c r="G5" s="22" t="s">
        <v>489</v>
      </c>
      <c r="H5" s="22" t="s">
        <v>483</v>
      </c>
      <c r="I5" s="22"/>
      <c r="J5" s="22">
        <v>230</v>
      </c>
    </row>
    <row r="6" spans="1:11" x14ac:dyDescent="0.25">
      <c r="A6" s="22" t="b">
        <v>0</v>
      </c>
      <c r="B6" s="22" t="s">
        <v>2646</v>
      </c>
      <c r="C6" s="34">
        <v>45706</v>
      </c>
      <c r="D6" s="22" t="s">
        <v>3601</v>
      </c>
      <c r="E6" s="22">
        <v>-18.920000000000002</v>
      </c>
      <c r="F6" s="28">
        <v>-3.15</v>
      </c>
      <c r="G6" s="22" t="s">
        <v>489</v>
      </c>
      <c r="H6" s="22" t="s">
        <v>483</v>
      </c>
      <c r="I6" s="22"/>
      <c r="J6" s="22">
        <v>231</v>
      </c>
    </row>
    <row r="7" spans="1:11" x14ac:dyDescent="0.25">
      <c r="A7" s="22" t="b">
        <v>0</v>
      </c>
      <c r="B7" s="22" t="s">
        <v>2628</v>
      </c>
      <c r="C7" s="34">
        <v>45708</v>
      </c>
      <c r="D7" s="22" t="s">
        <v>3602</v>
      </c>
      <c r="E7" s="22">
        <v>-19.309999999999999</v>
      </c>
      <c r="F7" s="28">
        <v>-3.22</v>
      </c>
      <c r="G7" s="22" t="s">
        <v>489</v>
      </c>
      <c r="H7" s="22" t="s">
        <v>483</v>
      </c>
      <c r="I7" s="22"/>
      <c r="J7" s="22">
        <v>209</v>
      </c>
    </row>
    <row r="8" spans="1:11" x14ac:dyDescent="0.25">
      <c r="A8" s="22" t="b">
        <v>0</v>
      </c>
      <c r="B8" s="22" t="s">
        <v>2619</v>
      </c>
      <c r="C8" s="34">
        <v>45709</v>
      </c>
      <c r="D8" s="22" t="s">
        <v>3603</v>
      </c>
      <c r="E8" s="22">
        <v>-59.4</v>
      </c>
      <c r="F8" s="28">
        <v>-9.9</v>
      </c>
      <c r="G8" s="22" t="s">
        <v>489</v>
      </c>
      <c r="H8" s="22" t="s">
        <v>483</v>
      </c>
      <c r="I8" s="22"/>
      <c r="J8" s="22">
        <v>200</v>
      </c>
    </row>
    <row r="9" spans="1:11" x14ac:dyDescent="0.25">
      <c r="A9" s="22" t="b">
        <v>0</v>
      </c>
      <c r="B9" s="22" t="s">
        <v>2594</v>
      </c>
      <c r="C9" s="34">
        <v>45714</v>
      </c>
      <c r="D9" s="22" t="s">
        <v>3604</v>
      </c>
      <c r="E9" s="22">
        <v>-81.95</v>
      </c>
      <c r="F9" s="28">
        <v>-13.66</v>
      </c>
      <c r="G9" s="22" t="s">
        <v>489</v>
      </c>
      <c r="H9" s="22" t="s">
        <v>483</v>
      </c>
      <c r="I9" s="22"/>
      <c r="J9" s="22">
        <v>170</v>
      </c>
    </row>
    <row r="10" spans="1:11" x14ac:dyDescent="0.25">
      <c r="A10" s="22" t="b">
        <v>0</v>
      </c>
      <c r="B10" s="22" t="s">
        <v>2536</v>
      </c>
      <c r="C10" s="34">
        <v>45731</v>
      </c>
      <c r="D10" s="22" t="s">
        <v>3605</v>
      </c>
      <c r="E10" s="22">
        <v>-88.55</v>
      </c>
      <c r="F10" s="28">
        <v>-14.76</v>
      </c>
      <c r="G10" s="22" t="s">
        <v>489</v>
      </c>
      <c r="H10" s="22" t="s">
        <v>483</v>
      </c>
      <c r="I10" s="22"/>
      <c r="J10" s="22">
        <v>98</v>
      </c>
    </row>
    <row r="11" spans="1:11" x14ac:dyDescent="0.25">
      <c r="A11" s="22" t="b">
        <v>0</v>
      </c>
      <c r="B11" s="22" t="s">
        <v>2519</v>
      </c>
      <c r="C11" s="34">
        <v>45733</v>
      </c>
      <c r="D11" s="22" t="s">
        <v>3606</v>
      </c>
      <c r="E11" s="22">
        <v>-61.33</v>
      </c>
      <c r="F11" s="28">
        <v>-10.220000000000001</v>
      </c>
      <c r="G11" s="22" t="s">
        <v>489</v>
      </c>
      <c r="H11" s="22" t="s">
        <v>483</v>
      </c>
      <c r="I11" s="22"/>
      <c r="J11" s="22">
        <v>78</v>
      </c>
    </row>
    <row r="12" spans="1:11" x14ac:dyDescent="0.25">
      <c r="A12" s="22" t="b">
        <v>0</v>
      </c>
      <c r="B12" s="22" t="s">
        <v>2520</v>
      </c>
      <c r="C12" s="34">
        <v>45733</v>
      </c>
      <c r="D12" s="22" t="s">
        <v>3607</v>
      </c>
      <c r="E12" s="22">
        <v>-16.739999999999998</v>
      </c>
      <c r="F12" s="28">
        <v>-2.79</v>
      </c>
      <c r="G12" s="22" t="s">
        <v>489</v>
      </c>
      <c r="H12" s="22" t="s">
        <v>483</v>
      </c>
      <c r="I12" s="22"/>
      <c r="J12" s="22">
        <v>80</v>
      </c>
    </row>
    <row r="13" spans="1:11" x14ac:dyDescent="0.25">
      <c r="A13" s="22" t="b">
        <v>0</v>
      </c>
      <c r="B13" s="22" t="s">
        <v>2496</v>
      </c>
      <c r="C13" s="34">
        <v>45737</v>
      </c>
      <c r="D13" s="22" t="s">
        <v>3608</v>
      </c>
      <c r="E13" s="22">
        <v>-9.99</v>
      </c>
      <c r="F13" s="28">
        <v>-1.66</v>
      </c>
      <c r="G13" s="22" t="s">
        <v>489</v>
      </c>
      <c r="H13" s="22" t="s">
        <v>483</v>
      </c>
      <c r="I13" s="22"/>
      <c r="J13" s="22">
        <v>47</v>
      </c>
    </row>
    <row r="14" spans="1:11" x14ac:dyDescent="0.25">
      <c r="A14" s="22" t="b">
        <v>0</v>
      </c>
      <c r="B14" s="22" t="s">
        <v>2495</v>
      </c>
      <c r="C14" s="34">
        <v>45738</v>
      </c>
      <c r="D14" s="22" t="s">
        <v>3605</v>
      </c>
      <c r="E14" s="22">
        <v>-92.83</v>
      </c>
      <c r="F14" s="28">
        <v>-15.47</v>
      </c>
      <c r="G14" s="22" t="s">
        <v>489</v>
      </c>
      <c r="H14" s="22" t="s">
        <v>483</v>
      </c>
      <c r="I14" s="22"/>
      <c r="J14" s="22">
        <v>46</v>
      </c>
    </row>
    <row r="15" spans="1:11" x14ac:dyDescent="0.25">
      <c r="A15" s="22" t="b">
        <v>0</v>
      </c>
      <c r="B15" s="22" t="s">
        <v>1313</v>
      </c>
      <c r="C15" s="34">
        <v>45752</v>
      </c>
      <c r="D15" s="22" t="s">
        <v>3609</v>
      </c>
      <c r="E15" s="22">
        <v>-87.82</v>
      </c>
      <c r="F15" s="28"/>
      <c r="G15" s="28">
        <v>-14.64</v>
      </c>
      <c r="H15" s="22" t="s">
        <v>489</v>
      </c>
      <c r="I15" s="22" t="s">
        <v>483</v>
      </c>
      <c r="J15" s="22"/>
    </row>
    <row r="16" spans="1:11" x14ac:dyDescent="0.25">
      <c r="A16" s="22" t="b">
        <v>0</v>
      </c>
      <c r="B16" s="22" t="s">
        <v>1308</v>
      </c>
      <c r="C16" s="34">
        <v>45753</v>
      </c>
      <c r="D16" s="22" t="s">
        <v>3610</v>
      </c>
      <c r="E16" s="22">
        <v>-45.19</v>
      </c>
      <c r="F16" s="28"/>
      <c r="G16" s="28">
        <v>-7.53</v>
      </c>
      <c r="H16" s="22" t="s">
        <v>489</v>
      </c>
      <c r="I16" s="22" t="s">
        <v>483</v>
      </c>
      <c r="J16" s="22"/>
    </row>
    <row r="17" spans="1:10" x14ac:dyDescent="0.25">
      <c r="A17" s="22" t="b">
        <v>0</v>
      </c>
      <c r="B17" s="22" t="s">
        <v>1300</v>
      </c>
      <c r="C17" s="34">
        <v>45756</v>
      </c>
      <c r="D17" s="22" t="s">
        <v>3611</v>
      </c>
      <c r="E17" s="22">
        <v>-29.41</v>
      </c>
      <c r="F17" s="28"/>
      <c r="G17" s="28">
        <v>-4.9000000000000004</v>
      </c>
      <c r="H17" s="22" t="s">
        <v>489</v>
      </c>
      <c r="I17" s="22" t="s">
        <v>483</v>
      </c>
      <c r="J17" s="22"/>
    </row>
    <row r="18" spans="1:10" x14ac:dyDescent="0.25">
      <c r="A18" s="22" t="b">
        <v>0</v>
      </c>
      <c r="B18" s="22" t="s">
        <v>1295</v>
      </c>
      <c r="C18" s="34">
        <v>45758</v>
      </c>
      <c r="D18" s="22" t="s">
        <v>3612</v>
      </c>
      <c r="E18" s="22">
        <v>-28.6</v>
      </c>
      <c r="F18" s="28"/>
      <c r="G18" s="28">
        <v>-4.7699999999999996</v>
      </c>
      <c r="H18" s="22" t="s">
        <v>489</v>
      </c>
      <c r="I18" s="22" t="s">
        <v>483</v>
      </c>
      <c r="J18" s="22"/>
    </row>
    <row r="19" spans="1:10" x14ac:dyDescent="0.25">
      <c r="A19" s="22" t="b">
        <v>0</v>
      </c>
      <c r="B19" s="22" t="s">
        <v>1284</v>
      </c>
      <c r="C19" s="34">
        <v>45763</v>
      </c>
      <c r="D19" s="22" t="s">
        <v>3605</v>
      </c>
      <c r="E19" s="22">
        <v>-79.040000000000006</v>
      </c>
      <c r="F19" s="28"/>
      <c r="G19" s="28">
        <v>-13.17</v>
      </c>
      <c r="H19" s="22" t="s">
        <v>489</v>
      </c>
      <c r="I19" s="22" t="s">
        <v>483</v>
      </c>
      <c r="J19" s="22"/>
    </row>
    <row r="20" spans="1:10" x14ac:dyDescent="0.25">
      <c r="A20" s="22" t="b">
        <v>0</v>
      </c>
      <c r="B20" s="22" t="s">
        <v>1282</v>
      </c>
      <c r="C20" s="34">
        <v>45764</v>
      </c>
      <c r="D20" s="22" t="s">
        <v>3604</v>
      </c>
      <c r="E20" s="22">
        <v>-50.01</v>
      </c>
      <c r="F20" s="28"/>
      <c r="G20" s="28">
        <v>-8.34</v>
      </c>
      <c r="H20" s="22" t="s">
        <v>489</v>
      </c>
      <c r="I20" s="22" t="s">
        <v>483</v>
      </c>
      <c r="J20" s="22"/>
    </row>
    <row r="21" spans="1:10" x14ac:dyDescent="0.25">
      <c r="A21" s="22" t="b">
        <v>0</v>
      </c>
      <c r="B21" s="22" t="s">
        <v>1283</v>
      </c>
      <c r="C21" s="34">
        <v>45764</v>
      </c>
      <c r="D21" s="22" t="s">
        <v>3604</v>
      </c>
      <c r="E21" s="22">
        <v>-4.99</v>
      </c>
      <c r="F21" s="28"/>
      <c r="G21" s="28">
        <v>-0.83</v>
      </c>
      <c r="H21" s="22" t="s">
        <v>489</v>
      </c>
      <c r="I21" s="22" t="s">
        <v>483</v>
      </c>
      <c r="J21" s="22"/>
    </row>
    <row r="22" spans="1:10" x14ac:dyDescent="0.25">
      <c r="A22" s="22" t="b">
        <v>0</v>
      </c>
      <c r="B22" s="22" t="s">
        <v>1277</v>
      </c>
      <c r="C22" s="34">
        <v>45766</v>
      </c>
      <c r="D22" s="22" t="s">
        <v>3607</v>
      </c>
      <c r="E22" s="22">
        <v>-10.46</v>
      </c>
      <c r="F22" s="28"/>
      <c r="G22" s="28">
        <v>-1.74</v>
      </c>
      <c r="H22" s="22" t="s">
        <v>489</v>
      </c>
      <c r="I22" s="22" t="s">
        <v>483</v>
      </c>
      <c r="J22" s="22"/>
    </row>
    <row r="23" spans="1:10" x14ac:dyDescent="0.25">
      <c r="A23" s="22" t="b">
        <v>0</v>
      </c>
      <c r="B23" s="22" t="s">
        <v>1273</v>
      </c>
      <c r="C23" s="34">
        <v>45768</v>
      </c>
      <c r="D23" s="22" t="s">
        <v>3613</v>
      </c>
      <c r="E23" s="22">
        <v>-34.93</v>
      </c>
      <c r="F23" s="28"/>
      <c r="G23" s="28">
        <v>-5.82</v>
      </c>
      <c r="H23" s="22" t="s">
        <v>489</v>
      </c>
      <c r="I23" s="22" t="s">
        <v>483</v>
      </c>
      <c r="J23" s="22"/>
    </row>
    <row r="24" spans="1:10" x14ac:dyDescent="0.25">
      <c r="A24" s="22" t="b">
        <v>0</v>
      </c>
      <c r="B24" s="22" t="s">
        <v>1266</v>
      </c>
      <c r="C24" s="34">
        <v>45773</v>
      </c>
      <c r="D24" s="22" t="s">
        <v>3607</v>
      </c>
      <c r="E24" s="22">
        <v>-22.92</v>
      </c>
      <c r="F24" s="28"/>
      <c r="G24" s="28">
        <v>-3.82</v>
      </c>
      <c r="H24" s="22" t="s">
        <v>489</v>
      </c>
      <c r="I24" s="22" t="s">
        <v>483</v>
      </c>
      <c r="J24" s="22"/>
    </row>
    <row r="25" spans="1:10" x14ac:dyDescent="0.25">
      <c r="A25" s="22" t="b">
        <v>0</v>
      </c>
      <c r="B25" s="22" t="s">
        <v>1260</v>
      </c>
      <c r="C25" s="34">
        <v>45775</v>
      </c>
      <c r="D25" s="22" t="s">
        <v>3614</v>
      </c>
      <c r="E25" s="22">
        <v>-18.84</v>
      </c>
      <c r="F25" s="28"/>
      <c r="G25" s="28">
        <v>-3.14</v>
      </c>
      <c r="H25" s="22" t="s">
        <v>489</v>
      </c>
      <c r="I25" s="22" t="s">
        <v>483</v>
      </c>
      <c r="J25" s="22"/>
    </row>
    <row r="26" spans="1:10" x14ac:dyDescent="0.25">
      <c r="A26" s="22" t="b">
        <v>0</v>
      </c>
      <c r="B26" s="22" t="s">
        <v>1240</v>
      </c>
      <c r="C26" s="34">
        <v>45780</v>
      </c>
      <c r="D26" s="22" t="s">
        <v>3606</v>
      </c>
      <c r="E26" s="22">
        <v>-35.270000000000003</v>
      </c>
      <c r="F26" s="28"/>
      <c r="G26" s="28">
        <v>-5.88</v>
      </c>
      <c r="H26" s="22" t="s">
        <v>489</v>
      </c>
      <c r="I26" s="22" t="s">
        <v>483</v>
      </c>
      <c r="J26" s="22"/>
    </row>
    <row r="27" spans="1:10" x14ac:dyDescent="0.25">
      <c r="A27" s="22" t="b">
        <v>0</v>
      </c>
      <c r="B27" s="22" t="s">
        <v>1235</v>
      </c>
      <c r="C27" s="34">
        <v>45782</v>
      </c>
      <c r="D27" s="22" t="s">
        <v>3615</v>
      </c>
      <c r="E27" s="22">
        <v>-50.31</v>
      </c>
      <c r="F27" s="28"/>
      <c r="G27" s="28">
        <v>-8.3800000000000008</v>
      </c>
      <c r="H27" s="22" t="s">
        <v>489</v>
      </c>
      <c r="I27" s="22" t="s">
        <v>483</v>
      </c>
      <c r="J27" s="22"/>
    </row>
    <row r="28" spans="1:10" x14ac:dyDescent="0.25">
      <c r="A28" s="22" t="b">
        <v>0</v>
      </c>
      <c r="B28" s="22" t="s">
        <v>1214</v>
      </c>
      <c r="C28" s="34">
        <v>45786</v>
      </c>
      <c r="D28" s="22" t="s">
        <v>3616</v>
      </c>
      <c r="E28" s="22">
        <v>-25.06</v>
      </c>
      <c r="F28" s="28"/>
      <c r="G28" s="28">
        <v>-4.18</v>
      </c>
      <c r="H28" s="22" t="s">
        <v>489</v>
      </c>
      <c r="I28" s="22" t="s">
        <v>483</v>
      </c>
      <c r="J28" s="22"/>
    </row>
    <row r="29" spans="1:10" x14ac:dyDescent="0.25">
      <c r="A29" s="22" t="b">
        <v>0</v>
      </c>
      <c r="B29" s="22" t="s">
        <v>1211</v>
      </c>
      <c r="C29" s="34">
        <v>45787</v>
      </c>
      <c r="D29" s="22" t="s">
        <v>3605</v>
      </c>
      <c r="E29" s="22">
        <v>-94.02</v>
      </c>
      <c r="F29" s="28"/>
      <c r="G29" s="28">
        <v>-15.67</v>
      </c>
      <c r="H29" s="22" t="s">
        <v>489</v>
      </c>
      <c r="I29" s="22" t="s">
        <v>483</v>
      </c>
      <c r="J29" s="22"/>
    </row>
    <row r="30" spans="1:10" x14ac:dyDescent="0.25">
      <c r="A30" s="22" t="b">
        <v>0</v>
      </c>
      <c r="B30" s="22" t="s">
        <v>1179</v>
      </c>
      <c r="C30" s="34">
        <v>45792</v>
      </c>
      <c r="D30" s="22" t="s">
        <v>3605</v>
      </c>
      <c r="E30" s="22">
        <v>-40.270000000000003</v>
      </c>
      <c r="F30" s="28"/>
      <c r="G30" s="28">
        <v>-6.71</v>
      </c>
      <c r="H30" s="22" t="s">
        <v>489</v>
      </c>
      <c r="I30" s="22" t="s">
        <v>483</v>
      </c>
      <c r="J30" s="22"/>
    </row>
    <row r="31" spans="1:10" x14ac:dyDescent="0.25">
      <c r="A31" s="22" t="b">
        <v>0</v>
      </c>
      <c r="B31" s="22" t="s">
        <v>1182</v>
      </c>
      <c r="C31" s="34">
        <v>45792</v>
      </c>
      <c r="D31" s="22" t="s">
        <v>3617</v>
      </c>
      <c r="E31" s="22">
        <v>-9.57</v>
      </c>
      <c r="F31" s="28"/>
      <c r="G31" s="28">
        <v>-1.59</v>
      </c>
      <c r="H31" s="22" t="s">
        <v>489</v>
      </c>
      <c r="I31" s="22" t="s">
        <v>483</v>
      </c>
      <c r="J31" s="22"/>
    </row>
    <row r="32" spans="1:10" x14ac:dyDescent="0.25">
      <c r="A32" s="22" t="b">
        <v>0</v>
      </c>
      <c r="B32" s="22" t="s">
        <v>1147</v>
      </c>
      <c r="C32" s="34">
        <v>45799</v>
      </c>
      <c r="D32" s="22" t="s">
        <v>3618</v>
      </c>
      <c r="E32" s="22">
        <v>-1.5</v>
      </c>
      <c r="F32" s="28"/>
      <c r="G32" s="28">
        <v>-0.25</v>
      </c>
      <c r="H32" s="22" t="s">
        <v>489</v>
      </c>
      <c r="I32" s="22" t="s">
        <v>483</v>
      </c>
      <c r="J32" s="22"/>
    </row>
    <row r="33" spans="1:10" x14ac:dyDescent="0.25">
      <c r="A33" s="22" t="b">
        <v>0</v>
      </c>
      <c r="B33" s="22" t="s">
        <v>1152</v>
      </c>
      <c r="C33" s="34">
        <v>45799</v>
      </c>
      <c r="D33" s="22" t="s">
        <v>3619</v>
      </c>
      <c r="E33" s="22">
        <v>-25.02</v>
      </c>
      <c r="F33" s="28"/>
      <c r="G33" s="28">
        <v>-4.17</v>
      </c>
      <c r="H33" s="22" t="s">
        <v>489</v>
      </c>
      <c r="I33" s="22" t="s">
        <v>483</v>
      </c>
      <c r="J33" s="22"/>
    </row>
    <row r="34" spans="1:10" x14ac:dyDescent="0.25">
      <c r="A34" s="22" t="b">
        <v>0</v>
      </c>
      <c r="B34" s="22" t="s">
        <v>1157</v>
      </c>
      <c r="C34" s="34">
        <v>45799</v>
      </c>
      <c r="D34" s="22" t="s">
        <v>3620</v>
      </c>
      <c r="E34" s="22">
        <v>-12.94</v>
      </c>
      <c r="F34" s="28"/>
      <c r="G34" s="28">
        <v>-2.16</v>
      </c>
      <c r="H34" s="22" t="s">
        <v>489</v>
      </c>
      <c r="I34" s="22" t="s">
        <v>483</v>
      </c>
      <c r="J34" s="22"/>
    </row>
    <row r="35" spans="1:10" x14ac:dyDescent="0.25">
      <c r="A35" s="22" t="b">
        <v>0</v>
      </c>
      <c r="B35" s="22" t="s">
        <v>1136</v>
      </c>
      <c r="C35" s="34">
        <v>45800</v>
      </c>
      <c r="D35" s="22" t="s">
        <v>3605</v>
      </c>
      <c r="E35" s="22">
        <v>-23.71</v>
      </c>
      <c r="F35" s="28"/>
      <c r="G35" s="28">
        <v>-3.95</v>
      </c>
      <c r="H35" s="22" t="s">
        <v>489</v>
      </c>
      <c r="I35" s="22" t="s">
        <v>483</v>
      </c>
      <c r="J35" s="22"/>
    </row>
    <row r="36" spans="1:10" x14ac:dyDescent="0.25">
      <c r="A36" s="22" t="b">
        <v>0</v>
      </c>
      <c r="B36" s="22" t="s">
        <v>1129</v>
      </c>
      <c r="C36" s="34">
        <v>45801</v>
      </c>
      <c r="D36" s="22" t="s">
        <v>3605</v>
      </c>
      <c r="E36" s="22">
        <v>-46.36</v>
      </c>
      <c r="F36" s="28"/>
      <c r="G36" s="28">
        <v>-7.73</v>
      </c>
      <c r="H36" s="22" t="s">
        <v>489</v>
      </c>
      <c r="I36" s="22" t="s">
        <v>483</v>
      </c>
      <c r="J36" s="22"/>
    </row>
    <row r="37" spans="1:10" x14ac:dyDescent="0.25">
      <c r="A37" s="22" t="b">
        <v>0</v>
      </c>
      <c r="B37" s="22" t="s">
        <v>1130</v>
      </c>
      <c r="C37" s="34">
        <v>45801</v>
      </c>
      <c r="D37" s="22" t="s">
        <v>3605</v>
      </c>
      <c r="E37" s="22">
        <v>-7</v>
      </c>
      <c r="F37" s="28"/>
      <c r="G37" s="28">
        <v>-1.17</v>
      </c>
      <c r="H37" s="22" t="s">
        <v>489</v>
      </c>
      <c r="I37" s="22" t="s">
        <v>483</v>
      </c>
      <c r="J37" s="22"/>
    </row>
    <row r="38" spans="1:10" x14ac:dyDescent="0.25">
      <c r="A38" s="22" t="b">
        <v>0</v>
      </c>
      <c r="B38" s="22" t="s">
        <v>1032</v>
      </c>
      <c r="C38" s="34">
        <v>45813</v>
      </c>
      <c r="D38" s="22" t="s">
        <v>3621</v>
      </c>
      <c r="E38" s="22">
        <v>-10.02</v>
      </c>
      <c r="F38" s="28"/>
      <c r="G38" s="28">
        <v>-1.67</v>
      </c>
      <c r="H38" s="22" t="s">
        <v>489</v>
      </c>
      <c r="I38" s="22" t="s">
        <v>483</v>
      </c>
      <c r="J38" s="22"/>
    </row>
    <row r="39" spans="1:10" x14ac:dyDescent="0.25">
      <c r="A39" s="22" t="b">
        <v>0</v>
      </c>
      <c r="B39" s="22" t="s">
        <v>1033</v>
      </c>
      <c r="C39" s="34">
        <v>45813</v>
      </c>
      <c r="D39" s="22" t="s">
        <v>3622</v>
      </c>
      <c r="E39" s="22">
        <v>-24.6</v>
      </c>
      <c r="F39" s="28"/>
      <c r="G39" s="28">
        <v>-4.0999999999999996</v>
      </c>
      <c r="H39" s="22" t="s">
        <v>489</v>
      </c>
      <c r="I39" s="22" t="s">
        <v>483</v>
      </c>
      <c r="J39" s="22"/>
    </row>
    <row r="40" spans="1:10" x14ac:dyDescent="0.25">
      <c r="A40" s="22" t="b">
        <v>0</v>
      </c>
      <c r="B40" s="22" t="s">
        <v>1026</v>
      </c>
      <c r="C40" s="34">
        <v>45814</v>
      </c>
      <c r="D40" s="22" t="s">
        <v>3605</v>
      </c>
      <c r="E40" s="22">
        <v>-51.1</v>
      </c>
      <c r="F40" s="28"/>
      <c r="G40" s="28">
        <v>-8.52</v>
      </c>
      <c r="H40" s="22" t="s">
        <v>489</v>
      </c>
      <c r="I40" s="22" t="s">
        <v>483</v>
      </c>
      <c r="J40" s="22"/>
    </row>
    <row r="41" spans="1:10" x14ac:dyDescent="0.25">
      <c r="A41" s="22" t="b">
        <v>0</v>
      </c>
      <c r="B41" s="22" t="s">
        <v>1018</v>
      </c>
      <c r="C41" s="34">
        <v>45815</v>
      </c>
      <c r="D41" s="22" t="s">
        <v>3623</v>
      </c>
      <c r="E41" s="22">
        <v>-2</v>
      </c>
      <c r="F41" s="28"/>
      <c r="G41" s="28">
        <v>-0.33</v>
      </c>
      <c r="H41" s="22" t="s">
        <v>489</v>
      </c>
      <c r="I41" s="22" t="s">
        <v>483</v>
      </c>
      <c r="J41" s="22"/>
    </row>
    <row r="42" spans="1:10" x14ac:dyDescent="0.25">
      <c r="A42" s="22" t="b">
        <v>0</v>
      </c>
      <c r="B42" s="22" t="s">
        <v>1019</v>
      </c>
      <c r="C42" s="34">
        <v>45815</v>
      </c>
      <c r="D42" s="22" t="s">
        <v>3623</v>
      </c>
      <c r="E42" s="22">
        <v>-2</v>
      </c>
      <c r="F42" s="28"/>
      <c r="G42" s="28">
        <v>-0.33</v>
      </c>
      <c r="H42" s="22" t="s">
        <v>489</v>
      </c>
      <c r="I42" s="22" t="s">
        <v>483</v>
      </c>
      <c r="J42" s="22"/>
    </row>
    <row r="43" spans="1:10" x14ac:dyDescent="0.25">
      <c r="A43" s="22" t="b">
        <v>0</v>
      </c>
      <c r="B43" s="22" t="s">
        <v>996</v>
      </c>
      <c r="C43" s="34">
        <v>45817</v>
      </c>
      <c r="D43" s="22" t="s">
        <v>3620</v>
      </c>
      <c r="E43" s="22">
        <v>-30.36</v>
      </c>
      <c r="F43" s="28"/>
      <c r="G43" s="28">
        <v>-5.0599999999999996</v>
      </c>
      <c r="H43" s="22" t="s">
        <v>489</v>
      </c>
      <c r="I43" s="22" t="s">
        <v>483</v>
      </c>
      <c r="J43" s="22"/>
    </row>
    <row r="44" spans="1:10" x14ac:dyDescent="0.25">
      <c r="A44" s="22" t="b">
        <v>0</v>
      </c>
      <c r="B44" s="22" t="s">
        <v>985</v>
      </c>
      <c r="C44" s="34">
        <v>45819</v>
      </c>
      <c r="D44" s="22" t="s">
        <v>3624</v>
      </c>
      <c r="E44" s="22">
        <v>-50.27</v>
      </c>
      <c r="F44" s="28"/>
      <c r="G44" s="28">
        <v>-8.3800000000000008</v>
      </c>
      <c r="H44" s="22" t="s">
        <v>489</v>
      </c>
      <c r="I44" s="22" t="s">
        <v>483</v>
      </c>
      <c r="J44" s="22"/>
    </row>
    <row r="45" spans="1:10" x14ac:dyDescent="0.25">
      <c r="A45" s="22" t="b">
        <v>0</v>
      </c>
      <c r="B45" s="22" t="s">
        <v>972</v>
      </c>
      <c r="C45" s="34">
        <v>45820</v>
      </c>
      <c r="D45" s="22" t="s">
        <v>3623</v>
      </c>
      <c r="E45" s="22">
        <v>-2</v>
      </c>
      <c r="F45" s="28"/>
      <c r="G45" s="28">
        <v>-0.33</v>
      </c>
      <c r="H45" s="22" t="s">
        <v>489</v>
      </c>
      <c r="I45" s="22" t="s">
        <v>483</v>
      </c>
      <c r="J45" s="22"/>
    </row>
    <row r="46" spans="1:10" x14ac:dyDescent="0.25">
      <c r="A46" s="22" t="b">
        <v>0</v>
      </c>
      <c r="B46" s="22" t="s">
        <v>973</v>
      </c>
      <c r="C46" s="34">
        <v>45820</v>
      </c>
      <c r="D46" s="22" t="s">
        <v>3623</v>
      </c>
      <c r="E46" s="22">
        <v>-2</v>
      </c>
      <c r="F46" s="28"/>
      <c r="G46" s="28">
        <v>-0.33</v>
      </c>
      <c r="H46" s="22" t="s">
        <v>489</v>
      </c>
      <c r="I46" s="22" t="s">
        <v>483</v>
      </c>
      <c r="J46" s="22"/>
    </row>
    <row r="47" spans="1:10" x14ac:dyDescent="0.25">
      <c r="A47" s="22" t="b">
        <v>0</v>
      </c>
      <c r="B47" s="22" t="s">
        <v>966</v>
      </c>
      <c r="C47" s="34">
        <v>45821</v>
      </c>
      <c r="D47" s="22" t="s">
        <v>3625</v>
      </c>
      <c r="E47" s="22">
        <v>-20</v>
      </c>
      <c r="F47" s="28"/>
      <c r="G47" s="28">
        <v>-3.33</v>
      </c>
      <c r="H47" s="22" t="s">
        <v>489</v>
      </c>
      <c r="I47" s="22" t="s">
        <v>483</v>
      </c>
      <c r="J47" s="22"/>
    </row>
    <row r="48" spans="1:10" x14ac:dyDescent="0.25">
      <c r="A48" s="22" t="b">
        <v>0</v>
      </c>
      <c r="B48" s="22" t="s">
        <v>954</v>
      </c>
      <c r="C48" s="34">
        <v>45822</v>
      </c>
      <c r="D48" s="22" t="s">
        <v>3626</v>
      </c>
      <c r="E48" s="22">
        <v>-7.13</v>
      </c>
      <c r="F48" s="28"/>
      <c r="G48" s="28">
        <v>-1.19</v>
      </c>
      <c r="H48" s="22" t="s">
        <v>489</v>
      </c>
      <c r="I48" s="22" t="s">
        <v>483</v>
      </c>
      <c r="J48" s="22"/>
    </row>
    <row r="49" spans="1:10" x14ac:dyDescent="0.25">
      <c r="A49" s="22" t="b">
        <v>0</v>
      </c>
      <c r="B49" s="22" t="s">
        <v>932</v>
      </c>
      <c r="C49" s="34">
        <v>45825</v>
      </c>
      <c r="D49" s="22" t="s">
        <v>3599</v>
      </c>
      <c r="E49" s="22">
        <v>-32.799999999999997</v>
      </c>
      <c r="F49" s="28"/>
      <c r="G49" s="28">
        <v>-5.47</v>
      </c>
      <c r="H49" s="22" t="s">
        <v>489</v>
      </c>
      <c r="I49" s="22" t="s">
        <v>483</v>
      </c>
      <c r="J49" s="22"/>
    </row>
    <row r="50" spans="1:10" x14ac:dyDescent="0.25">
      <c r="A50" s="22" t="b">
        <v>0</v>
      </c>
      <c r="B50" s="22" t="s">
        <v>925</v>
      </c>
      <c r="C50" s="34">
        <v>45826</v>
      </c>
      <c r="D50" s="22" t="s">
        <v>3605</v>
      </c>
      <c r="E50" s="22">
        <v>-40.200000000000003</v>
      </c>
      <c r="F50" s="28"/>
      <c r="G50" s="28">
        <v>-6.7</v>
      </c>
      <c r="H50" s="22" t="s">
        <v>489</v>
      </c>
      <c r="I50" s="22" t="s">
        <v>483</v>
      </c>
      <c r="J50" s="22"/>
    </row>
    <row r="51" spans="1:10" x14ac:dyDescent="0.25">
      <c r="A51" s="22" t="b">
        <v>0</v>
      </c>
      <c r="B51" s="22" t="s">
        <v>912</v>
      </c>
      <c r="C51" s="34">
        <v>45828</v>
      </c>
      <c r="D51" s="22" t="s">
        <v>3602</v>
      </c>
      <c r="E51" s="22">
        <v>-35.57</v>
      </c>
      <c r="F51" s="28"/>
      <c r="G51" s="28">
        <v>-5.93</v>
      </c>
      <c r="H51" s="22" t="s">
        <v>489</v>
      </c>
      <c r="I51" s="22" t="s">
        <v>483</v>
      </c>
      <c r="J51" s="22"/>
    </row>
    <row r="52" spans="1:10" x14ac:dyDescent="0.25">
      <c r="A52" s="22" t="b">
        <v>0</v>
      </c>
      <c r="B52" s="22" t="s">
        <v>908</v>
      </c>
      <c r="C52" s="34">
        <v>45828</v>
      </c>
      <c r="D52" s="22" t="s">
        <v>3623</v>
      </c>
      <c r="E52" s="22">
        <v>-2</v>
      </c>
      <c r="F52" s="28"/>
      <c r="G52" s="28">
        <v>-0.33</v>
      </c>
      <c r="H52" s="22" t="s">
        <v>489</v>
      </c>
      <c r="I52" s="22" t="s">
        <v>483</v>
      </c>
      <c r="J52" s="22"/>
    </row>
    <row r="53" spans="1:10" x14ac:dyDescent="0.25">
      <c r="A53" s="22" t="b">
        <v>0</v>
      </c>
      <c r="B53" s="22" t="s">
        <v>909</v>
      </c>
      <c r="C53" s="34">
        <v>45828</v>
      </c>
      <c r="D53" s="22" t="s">
        <v>3623</v>
      </c>
      <c r="E53" s="22">
        <v>-2</v>
      </c>
      <c r="F53" s="28"/>
      <c r="G53" s="28">
        <v>-0.33</v>
      </c>
      <c r="H53" s="22" t="s">
        <v>489</v>
      </c>
      <c r="I53" s="22" t="s">
        <v>483</v>
      </c>
      <c r="J53" s="22"/>
    </row>
    <row r="54" spans="1:10" x14ac:dyDescent="0.25">
      <c r="A54" s="22" t="b">
        <v>0</v>
      </c>
      <c r="B54" s="22" t="s">
        <v>910</v>
      </c>
      <c r="C54" s="34">
        <v>45828</v>
      </c>
      <c r="D54" s="22" t="s">
        <v>3623</v>
      </c>
      <c r="E54" s="22">
        <v>-2</v>
      </c>
      <c r="F54" s="28"/>
      <c r="G54" s="28">
        <v>-0.33</v>
      </c>
      <c r="H54" s="22" t="s">
        <v>489</v>
      </c>
      <c r="I54" s="22" t="s">
        <v>483</v>
      </c>
      <c r="J54" s="22"/>
    </row>
    <row r="55" spans="1:10" x14ac:dyDescent="0.25">
      <c r="A55" s="22" t="b">
        <v>0</v>
      </c>
      <c r="B55" s="22" t="s">
        <v>911</v>
      </c>
      <c r="C55" s="34">
        <v>45828</v>
      </c>
      <c r="D55" s="22" t="s">
        <v>3623</v>
      </c>
      <c r="E55" s="22">
        <v>-2</v>
      </c>
      <c r="F55" s="28"/>
      <c r="G55" s="28">
        <v>-0.33</v>
      </c>
      <c r="H55" s="22" t="s">
        <v>489</v>
      </c>
      <c r="I55" s="22" t="s">
        <v>483</v>
      </c>
      <c r="J55" s="22"/>
    </row>
    <row r="56" spans="1:10" x14ac:dyDescent="0.25">
      <c r="A56" s="22" t="b">
        <v>0</v>
      </c>
      <c r="B56" s="22" t="s">
        <v>893</v>
      </c>
      <c r="C56" s="34">
        <v>45829</v>
      </c>
      <c r="D56" s="22" t="s">
        <v>3605</v>
      </c>
      <c r="E56" s="22">
        <v>-40.24</v>
      </c>
      <c r="F56" s="28"/>
      <c r="G56" s="28">
        <v>-6.71</v>
      </c>
      <c r="H56" s="22" t="s">
        <v>489</v>
      </c>
      <c r="I56" s="22" t="s">
        <v>483</v>
      </c>
      <c r="J56" s="22"/>
    </row>
    <row r="57" spans="1:10" x14ac:dyDescent="0.25">
      <c r="A57" s="22" t="b">
        <v>0</v>
      </c>
      <c r="B57" s="22" t="s">
        <v>875</v>
      </c>
      <c r="C57" s="34">
        <v>45831</v>
      </c>
      <c r="D57" s="22" t="s">
        <v>3627</v>
      </c>
      <c r="E57" s="22">
        <v>-65.150000000000006</v>
      </c>
      <c r="F57" s="28"/>
      <c r="G57" s="28">
        <v>-10.86</v>
      </c>
      <c r="H57" s="22" t="s">
        <v>489</v>
      </c>
      <c r="I57" s="22" t="s">
        <v>483</v>
      </c>
      <c r="J57" s="22"/>
    </row>
    <row r="58" spans="1:10" x14ac:dyDescent="0.25">
      <c r="A58" s="22" t="b">
        <v>0</v>
      </c>
      <c r="B58" s="22" t="s">
        <v>878</v>
      </c>
      <c r="C58" s="34">
        <v>45831</v>
      </c>
      <c r="D58" s="22" t="s">
        <v>3623</v>
      </c>
      <c r="E58" s="22">
        <v>-2</v>
      </c>
      <c r="F58" s="28"/>
      <c r="G58" s="28">
        <v>-0.33</v>
      </c>
      <c r="H58" s="22" t="s">
        <v>489</v>
      </c>
      <c r="I58" s="22" t="s">
        <v>483</v>
      </c>
      <c r="J58" s="22"/>
    </row>
    <row r="59" spans="1:10" x14ac:dyDescent="0.25">
      <c r="A59" s="22" t="b">
        <v>0</v>
      </c>
      <c r="B59" s="22" t="s">
        <v>879</v>
      </c>
      <c r="C59" s="34">
        <v>45831</v>
      </c>
      <c r="D59" s="22" t="s">
        <v>3623</v>
      </c>
      <c r="E59" s="22">
        <v>-2</v>
      </c>
      <c r="F59" s="28"/>
      <c r="G59" s="28">
        <v>-0.33</v>
      </c>
      <c r="H59" s="22" t="s">
        <v>489</v>
      </c>
      <c r="I59" s="22" t="s">
        <v>483</v>
      </c>
      <c r="J59" s="22"/>
    </row>
    <row r="60" spans="1:10" x14ac:dyDescent="0.25">
      <c r="A60" s="22" t="b">
        <v>0</v>
      </c>
      <c r="B60" s="22" t="s">
        <v>880</v>
      </c>
      <c r="C60" s="34">
        <v>45831</v>
      </c>
      <c r="D60" s="22" t="s">
        <v>3623</v>
      </c>
      <c r="E60" s="22">
        <v>-2</v>
      </c>
      <c r="F60" s="28"/>
      <c r="G60" s="28">
        <v>-0.33</v>
      </c>
      <c r="H60" s="22" t="s">
        <v>489</v>
      </c>
      <c r="I60" s="22" t="s">
        <v>483</v>
      </c>
      <c r="J60" s="22"/>
    </row>
    <row r="61" spans="1:10" x14ac:dyDescent="0.25">
      <c r="A61" s="22" t="b">
        <v>0</v>
      </c>
      <c r="B61" s="22" t="s">
        <v>858</v>
      </c>
      <c r="C61" s="34">
        <v>45834</v>
      </c>
      <c r="D61" s="22" t="s">
        <v>3628</v>
      </c>
      <c r="E61" s="22">
        <v>-50.08</v>
      </c>
      <c r="F61" s="28"/>
      <c r="G61" s="28">
        <v>-8.35</v>
      </c>
      <c r="H61" s="22" t="s">
        <v>489</v>
      </c>
      <c r="I61" s="22" t="s">
        <v>483</v>
      </c>
      <c r="J61" s="22"/>
    </row>
    <row r="62" spans="1:10" x14ac:dyDescent="0.25">
      <c r="A62" s="22" t="b">
        <v>0</v>
      </c>
      <c r="B62" s="22" t="s">
        <v>831</v>
      </c>
      <c r="C62" s="34">
        <v>45836</v>
      </c>
      <c r="D62" s="22" t="s">
        <v>3628</v>
      </c>
      <c r="E62" s="22">
        <v>-50.2</v>
      </c>
      <c r="F62" s="28"/>
      <c r="G62" s="28">
        <v>-8.3699999999999992</v>
      </c>
      <c r="H62" s="22" t="s">
        <v>489</v>
      </c>
      <c r="I62" s="22" t="s">
        <v>483</v>
      </c>
      <c r="J62" s="22"/>
    </row>
    <row r="63" spans="1:10" x14ac:dyDescent="0.25">
      <c r="A63" s="22" t="b">
        <v>0</v>
      </c>
      <c r="B63" s="22" t="s">
        <v>823</v>
      </c>
      <c r="C63" s="34">
        <v>45837</v>
      </c>
      <c r="D63" s="22" t="s">
        <v>3623</v>
      </c>
      <c r="E63" s="22">
        <v>-2</v>
      </c>
      <c r="F63" s="28"/>
      <c r="G63" s="28">
        <v>-0.33</v>
      </c>
      <c r="H63" s="22" t="s">
        <v>489</v>
      </c>
      <c r="I63" s="22" t="s">
        <v>483</v>
      </c>
      <c r="J63" s="22"/>
    </row>
    <row r="64" spans="1:10" x14ac:dyDescent="0.25">
      <c r="A64" s="22" t="b">
        <v>0</v>
      </c>
      <c r="B64" s="22" t="s">
        <v>824</v>
      </c>
      <c r="C64" s="34">
        <v>45837</v>
      </c>
      <c r="D64" s="22" t="s">
        <v>3623</v>
      </c>
      <c r="E64" s="22">
        <v>-2</v>
      </c>
      <c r="F64" s="28"/>
      <c r="G64" s="28">
        <v>-0.33</v>
      </c>
      <c r="H64" s="22" t="s">
        <v>489</v>
      </c>
      <c r="I64" s="22" t="s">
        <v>483</v>
      </c>
      <c r="J64" s="22"/>
    </row>
    <row r="65" spans="1:10" x14ac:dyDescent="0.25">
      <c r="A65" s="22" t="b">
        <v>0</v>
      </c>
      <c r="B65" s="22" t="s">
        <v>825</v>
      </c>
      <c r="C65" s="34">
        <v>45837</v>
      </c>
      <c r="D65" s="22" t="s">
        <v>3623</v>
      </c>
      <c r="E65" s="22">
        <v>-4</v>
      </c>
      <c r="F65" s="28"/>
      <c r="G65" s="28">
        <v>-0.67</v>
      </c>
      <c r="H65" s="22" t="s">
        <v>489</v>
      </c>
      <c r="I65" s="22" t="s">
        <v>483</v>
      </c>
      <c r="J65" s="22"/>
    </row>
    <row r="66" spans="1:10" x14ac:dyDescent="0.25">
      <c r="A66" s="22" t="b">
        <v>0</v>
      </c>
      <c r="B66" s="22" t="s">
        <v>784</v>
      </c>
      <c r="C66" s="34">
        <v>45841</v>
      </c>
      <c r="D66" s="22" t="s">
        <v>3602</v>
      </c>
      <c r="E66" s="22">
        <v>-35.119999999999997</v>
      </c>
      <c r="F66" s="28"/>
      <c r="G66" s="28">
        <v>-5.85</v>
      </c>
      <c r="H66" s="22" t="s">
        <v>489</v>
      </c>
      <c r="I66" s="22" t="s">
        <v>483</v>
      </c>
      <c r="J66" s="22"/>
    </row>
    <row r="67" spans="1:10" x14ac:dyDescent="0.25">
      <c r="A67" s="22" t="b">
        <v>0</v>
      </c>
      <c r="B67" s="22" t="s">
        <v>752</v>
      </c>
      <c r="C67" s="34">
        <v>45843</v>
      </c>
      <c r="D67" s="22" t="s">
        <v>3629</v>
      </c>
      <c r="E67" s="22">
        <v>-48.94</v>
      </c>
      <c r="F67" s="28"/>
      <c r="G67" s="28">
        <v>-8.16</v>
      </c>
      <c r="H67" s="22" t="s">
        <v>489</v>
      </c>
      <c r="I67" s="22" t="s">
        <v>483</v>
      </c>
      <c r="J67" s="22"/>
    </row>
    <row r="68" spans="1:10" x14ac:dyDescent="0.25">
      <c r="A68" s="22" t="b">
        <v>0</v>
      </c>
      <c r="B68" s="22" t="s">
        <v>746</v>
      </c>
      <c r="C68" s="34">
        <v>45844</v>
      </c>
      <c r="D68" s="22" t="s">
        <v>3613</v>
      </c>
      <c r="E68" s="22">
        <v>-40</v>
      </c>
      <c r="F68" s="28"/>
      <c r="G68" s="28">
        <v>-6.67</v>
      </c>
      <c r="H68" s="22" t="s">
        <v>489</v>
      </c>
      <c r="I68" s="22" t="s">
        <v>483</v>
      </c>
      <c r="J68" s="22"/>
    </row>
    <row r="69" spans="1:10" x14ac:dyDescent="0.25">
      <c r="A69" s="22" t="b">
        <v>0</v>
      </c>
      <c r="B69" s="22" t="s">
        <v>747</v>
      </c>
      <c r="C69" s="34">
        <v>45844</v>
      </c>
      <c r="D69" s="22" t="s">
        <v>3630</v>
      </c>
      <c r="E69" s="22">
        <v>-40.14</v>
      </c>
      <c r="F69" s="28"/>
      <c r="G69" s="28">
        <v>-6.69</v>
      </c>
      <c r="H69" s="22" t="s">
        <v>489</v>
      </c>
      <c r="I69" s="22" t="s">
        <v>483</v>
      </c>
      <c r="J69" s="22"/>
    </row>
    <row r="70" spans="1:10" x14ac:dyDescent="0.25">
      <c r="A70" s="22" t="b">
        <v>0</v>
      </c>
      <c r="B70" s="22" t="s">
        <v>723</v>
      </c>
      <c r="C70" s="34">
        <v>45847</v>
      </c>
      <c r="D70" s="22" t="s">
        <v>3631</v>
      </c>
      <c r="E70" s="22">
        <v>-80.98</v>
      </c>
      <c r="F70" s="28"/>
      <c r="G70" s="28">
        <v>-13.5</v>
      </c>
      <c r="H70" s="22" t="s">
        <v>489</v>
      </c>
      <c r="I70" s="22" t="s">
        <v>483</v>
      </c>
      <c r="J70" s="22"/>
    </row>
    <row r="71" spans="1:10" x14ac:dyDescent="0.25">
      <c r="A71" s="22" t="b">
        <v>0</v>
      </c>
      <c r="B71" s="22" t="s">
        <v>720</v>
      </c>
      <c r="C71" s="34">
        <v>45848</v>
      </c>
      <c r="D71" s="22" t="s">
        <v>3632</v>
      </c>
      <c r="E71" s="22">
        <v>-11.62</v>
      </c>
      <c r="F71" s="28"/>
      <c r="G71" s="28">
        <v>-1.94</v>
      </c>
      <c r="H71" s="22" t="s">
        <v>489</v>
      </c>
      <c r="I71" s="22" t="s">
        <v>483</v>
      </c>
      <c r="J71" s="22"/>
    </row>
    <row r="72" spans="1:10" x14ac:dyDescent="0.25">
      <c r="A72" s="22" t="b">
        <v>0</v>
      </c>
      <c r="B72" s="22" t="s">
        <v>696</v>
      </c>
      <c r="C72" s="34">
        <v>45850</v>
      </c>
      <c r="D72" s="22" t="s">
        <v>3633</v>
      </c>
      <c r="E72" s="22">
        <v>-81.97</v>
      </c>
      <c r="F72" s="28"/>
      <c r="G72" s="28">
        <v>-13.66</v>
      </c>
      <c r="H72" s="22" t="s">
        <v>489</v>
      </c>
      <c r="I72" s="22" t="s">
        <v>483</v>
      </c>
      <c r="J72" s="22"/>
    </row>
    <row r="73" spans="1:10" x14ac:dyDescent="0.25">
      <c r="A73" s="22" t="b">
        <v>0</v>
      </c>
      <c r="B73" s="22" t="s">
        <v>698</v>
      </c>
      <c r="C73" s="34">
        <v>45850</v>
      </c>
      <c r="D73" s="22" t="s">
        <v>3620</v>
      </c>
      <c r="E73" s="22">
        <v>-20.02</v>
      </c>
      <c r="F73" s="28"/>
      <c r="G73" s="28">
        <v>-3.34</v>
      </c>
      <c r="H73" s="22" t="s">
        <v>489</v>
      </c>
      <c r="I73" s="22" t="s">
        <v>483</v>
      </c>
      <c r="J73" s="22"/>
    </row>
    <row r="74" spans="1:10" x14ac:dyDescent="0.25">
      <c r="A74" s="22" t="b">
        <v>0</v>
      </c>
      <c r="B74" s="22" t="s">
        <v>687</v>
      </c>
      <c r="C74" s="34">
        <v>45851</v>
      </c>
      <c r="D74" s="22" t="s">
        <v>3634</v>
      </c>
      <c r="E74" s="22">
        <v>-50.06</v>
      </c>
      <c r="F74" s="28"/>
      <c r="G74" s="28">
        <v>-8.34</v>
      </c>
      <c r="H74" s="22" t="s">
        <v>489</v>
      </c>
      <c r="I74" s="22" t="s">
        <v>483</v>
      </c>
      <c r="J74" s="22"/>
    </row>
    <row r="75" spans="1:10" x14ac:dyDescent="0.25">
      <c r="A75" s="22" t="b">
        <v>0</v>
      </c>
      <c r="B75" s="22" t="s">
        <v>672</v>
      </c>
      <c r="C75" s="34">
        <v>45853</v>
      </c>
      <c r="D75" s="22" t="s">
        <v>3635</v>
      </c>
      <c r="E75" s="22">
        <v>-70.48</v>
      </c>
      <c r="F75" s="28"/>
      <c r="G75" s="28">
        <v>-11.75</v>
      </c>
      <c r="H75" s="22" t="s">
        <v>489</v>
      </c>
      <c r="I75" s="22" t="s">
        <v>483</v>
      </c>
      <c r="J75" s="22"/>
    </row>
    <row r="76" spans="1:10" x14ac:dyDescent="0.25">
      <c r="A76" s="22" t="b">
        <v>0</v>
      </c>
      <c r="B76" s="22" t="s">
        <v>662</v>
      </c>
      <c r="C76" s="34">
        <v>45854</v>
      </c>
      <c r="D76" s="22" t="s">
        <v>3636</v>
      </c>
      <c r="E76" s="22">
        <v>-25.53</v>
      </c>
      <c r="F76" s="28"/>
      <c r="G76" s="28">
        <v>-4.25</v>
      </c>
      <c r="H76" s="22" t="s">
        <v>489</v>
      </c>
      <c r="I76" s="22" t="s">
        <v>483</v>
      </c>
      <c r="J76" s="22"/>
    </row>
    <row r="77" spans="1:10" x14ac:dyDescent="0.25">
      <c r="A77" s="22" t="b">
        <v>0</v>
      </c>
      <c r="B77" s="22" t="s">
        <v>653</v>
      </c>
      <c r="C77" s="34">
        <v>45855</v>
      </c>
      <c r="D77" s="22" t="s">
        <v>3637</v>
      </c>
      <c r="E77" s="22">
        <v>-10.35</v>
      </c>
      <c r="F77" s="28"/>
      <c r="G77" s="28">
        <v>-1.72</v>
      </c>
      <c r="H77" s="22" t="s">
        <v>489</v>
      </c>
      <c r="I77" s="22" t="s">
        <v>483</v>
      </c>
      <c r="J77" s="22"/>
    </row>
    <row r="78" spans="1:10" x14ac:dyDescent="0.25">
      <c r="A78" s="22" t="b">
        <v>0</v>
      </c>
      <c r="B78" s="22" t="s">
        <v>654</v>
      </c>
      <c r="C78" s="34">
        <v>45855</v>
      </c>
      <c r="D78" s="22" t="s">
        <v>3604</v>
      </c>
      <c r="E78" s="22">
        <v>-72.91</v>
      </c>
      <c r="F78" s="28"/>
      <c r="G78" s="28">
        <v>-12.15</v>
      </c>
      <c r="H78" s="22" t="s">
        <v>489</v>
      </c>
      <c r="I78" s="22" t="s">
        <v>483</v>
      </c>
      <c r="J78" s="22"/>
    </row>
    <row r="79" spans="1:10" x14ac:dyDescent="0.25">
      <c r="A79" s="22" t="b">
        <v>0</v>
      </c>
      <c r="B79" s="22" t="s">
        <v>627</v>
      </c>
      <c r="C79" s="34">
        <v>45857</v>
      </c>
      <c r="D79" s="22" t="s">
        <v>3638</v>
      </c>
      <c r="E79" s="22">
        <v>-20.92</v>
      </c>
      <c r="F79" s="28"/>
      <c r="G79" s="28">
        <v>-3.49</v>
      </c>
      <c r="H79" s="22" t="s">
        <v>489</v>
      </c>
      <c r="I79" s="22" t="s">
        <v>483</v>
      </c>
      <c r="J79" s="22"/>
    </row>
    <row r="80" spans="1:10" x14ac:dyDescent="0.25">
      <c r="A80" s="22" t="b">
        <v>0</v>
      </c>
      <c r="B80" s="22" t="s">
        <v>610</v>
      </c>
      <c r="C80" s="34">
        <v>45859</v>
      </c>
      <c r="D80" s="22" t="s">
        <v>3613</v>
      </c>
      <c r="E80" s="22">
        <v>-10</v>
      </c>
      <c r="F80" s="28"/>
      <c r="G80" s="28">
        <v>-1.67</v>
      </c>
      <c r="H80" s="22" t="s">
        <v>489</v>
      </c>
      <c r="I80" s="22" t="s">
        <v>483</v>
      </c>
      <c r="J80" s="22"/>
    </row>
    <row r="81" spans="1:10" x14ac:dyDescent="0.25">
      <c r="A81" s="22" t="b">
        <v>0</v>
      </c>
      <c r="B81" s="22" t="s">
        <v>618</v>
      </c>
      <c r="C81" s="34">
        <v>45859</v>
      </c>
      <c r="D81" s="22" t="s">
        <v>3639</v>
      </c>
      <c r="E81" s="22">
        <v>-30.31</v>
      </c>
      <c r="F81" s="28"/>
      <c r="G81" s="28">
        <v>-5.05</v>
      </c>
      <c r="H81" s="22" t="s">
        <v>489</v>
      </c>
      <c r="I81" s="22" t="s">
        <v>483</v>
      </c>
      <c r="J81" s="22"/>
    </row>
    <row r="82" spans="1:10" x14ac:dyDescent="0.25">
      <c r="A82" s="22" t="b">
        <v>0</v>
      </c>
      <c r="B82" s="22" t="s">
        <v>619</v>
      </c>
      <c r="C82" s="34">
        <v>45859</v>
      </c>
      <c r="D82" s="22" t="s">
        <v>3640</v>
      </c>
      <c r="E82" s="22">
        <v>-40.01</v>
      </c>
      <c r="F82" s="28"/>
      <c r="G82" s="28">
        <v>-6.67</v>
      </c>
      <c r="H82" s="22" t="s">
        <v>489</v>
      </c>
      <c r="I82" s="22" t="s">
        <v>483</v>
      </c>
      <c r="J82" s="22"/>
    </row>
    <row r="83" spans="1:10" x14ac:dyDescent="0.25">
      <c r="A83" s="22" t="b">
        <v>0</v>
      </c>
      <c r="B83" s="22" t="s">
        <v>598</v>
      </c>
      <c r="C83" s="34">
        <v>45861</v>
      </c>
      <c r="D83" s="22" t="s">
        <v>3605</v>
      </c>
      <c r="E83" s="22">
        <v>-70.22</v>
      </c>
      <c r="F83" s="28"/>
      <c r="G83" s="28">
        <v>-11.7</v>
      </c>
      <c r="H83" s="22" t="s">
        <v>489</v>
      </c>
      <c r="I83" s="22" t="s">
        <v>483</v>
      </c>
      <c r="J83" s="22"/>
    </row>
    <row r="84" spans="1:10" x14ac:dyDescent="0.25">
      <c r="A84" s="22" t="b">
        <v>0</v>
      </c>
      <c r="B84" s="22" t="s">
        <v>594</v>
      </c>
      <c r="C84" s="34">
        <v>45862</v>
      </c>
      <c r="D84" s="22" t="s">
        <v>3641</v>
      </c>
      <c r="E84" s="22">
        <v>-35.44</v>
      </c>
      <c r="F84" s="28"/>
      <c r="G84" s="28">
        <v>-5.91</v>
      </c>
      <c r="H84" s="22" t="s">
        <v>489</v>
      </c>
      <c r="I84" s="22" t="s">
        <v>483</v>
      </c>
      <c r="J84" s="22"/>
    </row>
    <row r="85" spans="1:10" x14ac:dyDescent="0.25">
      <c r="A85" s="22" t="b">
        <v>0</v>
      </c>
      <c r="B85" s="22" t="s">
        <v>591</v>
      </c>
      <c r="C85" s="34">
        <v>45863</v>
      </c>
      <c r="D85" s="22" t="s">
        <v>3620</v>
      </c>
      <c r="E85" s="22">
        <v>-13.6</v>
      </c>
      <c r="F85" s="28"/>
      <c r="G85" s="28">
        <v>-2.27</v>
      </c>
      <c r="H85" s="22" t="s">
        <v>489</v>
      </c>
      <c r="I85" s="22" t="s">
        <v>483</v>
      </c>
      <c r="J85" s="22"/>
    </row>
    <row r="86" spans="1:10" x14ac:dyDescent="0.25">
      <c r="A86" s="22" t="b">
        <v>0</v>
      </c>
      <c r="B86" s="22" t="s">
        <v>584</v>
      </c>
      <c r="C86" s="34">
        <v>45865</v>
      </c>
      <c r="D86" s="22" t="s">
        <v>3613</v>
      </c>
      <c r="E86" s="22">
        <v>-87.91</v>
      </c>
      <c r="F86" s="28"/>
      <c r="G86" s="28">
        <v>-14.65</v>
      </c>
      <c r="H86" s="22" t="s">
        <v>489</v>
      </c>
      <c r="I86" s="22" t="s">
        <v>483</v>
      </c>
      <c r="J86" s="22"/>
    </row>
    <row r="87" spans="1:10" x14ac:dyDescent="0.25">
      <c r="A87" s="22" t="b">
        <v>0</v>
      </c>
      <c r="B87" s="22" t="s">
        <v>572</v>
      </c>
      <c r="C87" s="34">
        <v>45866</v>
      </c>
      <c r="D87" s="22" t="s">
        <v>3623</v>
      </c>
      <c r="E87" s="22">
        <v>-2</v>
      </c>
      <c r="F87" s="28"/>
      <c r="G87" s="28">
        <v>-0.33</v>
      </c>
      <c r="H87" s="22" t="s">
        <v>489</v>
      </c>
      <c r="I87" s="22" t="s">
        <v>483</v>
      </c>
      <c r="J87" s="22"/>
    </row>
    <row r="88" spans="1:10" x14ac:dyDescent="0.25">
      <c r="A88" s="22" t="b">
        <v>0</v>
      </c>
      <c r="B88" s="22" t="s">
        <v>573</v>
      </c>
      <c r="C88" s="34">
        <v>45866</v>
      </c>
      <c r="D88" s="22" t="s">
        <v>3623</v>
      </c>
      <c r="E88" s="22">
        <v>-2</v>
      </c>
      <c r="F88" s="28"/>
      <c r="G88" s="28">
        <v>-0.33</v>
      </c>
      <c r="H88" s="22" t="s">
        <v>489</v>
      </c>
      <c r="I88" s="22" t="s">
        <v>483</v>
      </c>
      <c r="J88" s="22"/>
    </row>
    <row r="89" spans="1:10" x14ac:dyDescent="0.25">
      <c r="A89" s="22" t="b">
        <v>0</v>
      </c>
      <c r="B89" s="22" t="s">
        <v>574</v>
      </c>
      <c r="C89" s="34">
        <v>45866</v>
      </c>
      <c r="D89" s="22" t="s">
        <v>3623</v>
      </c>
      <c r="E89" s="22">
        <v>-2</v>
      </c>
      <c r="F89" s="28"/>
      <c r="G89" s="28">
        <v>-0.33</v>
      </c>
      <c r="H89" s="22" t="s">
        <v>489</v>
      </c>
      <c r="I89" s="22" t="s">
        <v>483</v>
      </c>
      <c r="J89" s="22"/>
    </row>
    <row r="90" spans="1:10" x14ac:dyDescent="0.25">
      <c r="A90" s="22" t="b">
        <v>0</v>
      </c>
      <c r="B90" s="22" t="s">
        <v>555</v>
      </c>
      <c r="C90" s="34">
        <v>45867</v>
      </c>
      <c r="D90" s="22" t="s">
        <v>3636</v>
      </c>
      <c r="E90" s="22">
        <v>-59.4</v>
      </c>
      <c r="F90" s="28"/>
      <c r="G90" s="28">
        <v>-9.9</v>
      </c>
      <c r="H90" s="22" t="s">
        <v>489</v>
      </c>
      <c r="I90" s="22" t="s">
        <v>483</v>
      </c>
      <c r="J90" s="22"/>
    </row>
    <row r="91" spans="1:10" x14ac:dyDescent="0.25">
      <c r="A91" s="22" t="b">
        <v>0</v>
      </c>
      <c r="B91" s="22" t="s">
        <v>549</v>
      </c>
      <c r="C91" s="34">
        <v>45869</v>
      </c>
      <c r="D91" s="22" t="s">
        <v>3635</v>
      </c>
      <c r="E91" s="22">
        <v>-49.95</v>
      </c>
      <c r="F91" s="28"/>
      <c r="G91" s="28">
        <v>-8.32</v>
      </c>
      <c r="H91" s="22" t="s">
        <v>489</v>
      </c>
      <c r="I91" s="22" t="s">
        <v>483</v>
      </c>
      <c r="J91" s="22"/>
    </row>
    <row r="92" spans="1:10" x14ac:dyDescent="0.25">
      <c r="A92" s="22" t="b">
        <v>0</v>
      </c>
      <c r="B92" s="22" t="s">
        <v>507</v>
      </c>
      <c r="C92" s="34">
        <v>45879</v>
      </c>
      <c r="D92" s="22" t="s">
        <v>3634</v>
      </c>
      <c r="E92" s="22">
        <v>-73.430000000000007</v>
      </c>
      <c r="F92" s="28"/>
      <c r="G92" s="28">
        <v>-12.24</v>
      </c>
      <c r="H92" s="22" t="s">
        <v>489</v>
      </c>
      <c r="I92" s="22" t="s">
        <v>483</v>
      </c>
      <c r="J92" s="22"/>
    </row>
    <row r="93" spans="1:10" x14ac:dyDescent="0.25">
      <c r="A93" s="22" t="b">
        <v>0</v>
      </c>
      <c r="B93" s="22" t="s">
        <v>1885</v>
      </c>
      <c r="C93" s="34">
        <v>45887</v>
      </c>
      <c r="D93" s="22" t="s">
        <v>3622</v>
      </c>
      <c r="E93" s="22">
        <v>-71.599999999999994</v>
      </c>
      <c r="F93" s="28"/>
      <c r="G93" s="28">
        <v>-11.93</v>
      </c>
      <c r="H93" s="22" t="s">
        <v>489</v>
      </c>
      <c r="I93" s="22" t="s">
        <v>483</v>
      </c>
      <c r="J93" s="22"/>
    </row>
    <row r="94" spans="1:10" x14ac:dyDescent="0.25">
      <c r="A94" s="22" t="b">
        <v>0</v>
      </c>
      <c r="B94" s="22" t="s">
        <v>1873</v>
      </c>
      <c r="C94" s="34">
        <v>45888</v>
      </c>
      <c r="D94" s="22" t="s">
        <v>3642</v>
      </c>
      <c r="E94" s="22">
        <v>-30.01</v>
      </c>
      <c r="F94" s="28"/>
      <c r="G94" s="28">
        <v>-5</v>
      </c>
      <c r="H94" s="22" t="s">
        <v>489</v>
      </c>
      <c r="I94" s="22" t="s">
        <v>483</v>
      </c>
      <c r="J94" s="22"/>
    </row>
    <row r="95" spans="1:10" x14ac:dyDescent="0.25">
      <c r="A95" s="22" t="b">
        <v>0</v>
      </c>
      <c r="B95" s="22" t="s">
        <v>1828</v>
      </c>
      <c r="C95" s="34">
        <v>45896</v>
      </c>
      <c r="D95" s="22" t="s">
        <v>3605</v>
      </c>
      <c r="E95" s="22">
        <v>-79.38</v>
      </c>
      <c r="F95" s="28"/>
      <c r="G95" s="28">
        <v>-13.23</v>
      </c>
      <c r="H95" s="22" t="s">
        <v>489</v>
      </c>
      <c r="I95" s="22" t="s">
        <v>483</v>
      </c>
      <c r="J95" s="22"/>
    </row>
    <row r="96" spans="1:10" x14ac:dyDescent="0.25">
      <c r="A96" s="22" t="b">
        <v>0</v>
      </c>
      <c r="B96" s="22" t="s">
        <v>1800</v>
      </c>
      <c r="C96" s="34">
        <v>45901</v>
      </c>
      <c r="D96" s="22" t="s">
        <v>3605</v>
      </c>
      <c r="E96" s="22">
        <v>-81.040000000000006</v>
      </c>
      <c r="F96" s="28"/>
      <c r="G96" s="28">
        <v>-13.51</v>
      </c>
      <c r="H96" s="22" t="s">
        <v>489</v>
      </c>
      <c r="I96" s="22" t="s">
        <v>483</v>
      </c>
      <c r="J96" s="22"/>
    </row>
    <row r="97" spans="1:10" x14ac:dyDescent="0.25">
      <c r="A97" s="22" t="b">
        <v>0</v>
      </c>
      <c r="B97" s="22" t="s">
        <v>1789</v>
      </c>
      <c r="C97" s="34">
        <v>45904</v>
      </c>
      <c r="D97" s="22" t="s">
        <v>3628</v>
      </c>
      <c r="E97" s="22">
        <v>-71.59</v>
      </c>
      <c r="F97" s="28"/>
      <c r="G97" s="28">
        <v>-11.93</v>
      </c>
      <c r="H97" s="22" t="s">
        <v>489</v>
      </c>
      <c r="I97" s="22" t="s">
        <v>483</v>
      </c>
      <c r="J97" s="22"/>
    </row>
    <row r="98" spans="1:10" x14ac:dyDescent="0.25">
      <c r="A98" s="22" t="b">
        <v>0</v>
      </c>
      <c r="B98" s="22" t="s">
        <v>1780</v>
      </c>
      <c r="C98" s="34">
        <v>45905</v>
      </c>
      <c r="D98" s="22" t="s">
        <v>3636</v>
      </c>
      <c r="E98" s="22">
        <v>-50.02</v>
      </c>
      <c r="F98" s="28"/>
      <c r="G98" s="28">
        <v>-8.34</v>
      </c>
      <c r="H98" s="22" t="s">
        <v>489</v>
      </c>
      <c r="I98" s="22" t="s">
        <v>483</v>
      </c>
      <c r="J98" s="22"/>
    </row>
    <row r="99" spans="1:10" x14ac:dyDescent="0.25">
      <c r="A99" s="22" t="b">
        <v>0</v>
      </c>
      <c r="B99" s="22" t="s">
        <v>2356</v>
      </c>
      <c r="C99" s="34">
        <v>45908</v>
      </c>
      <c r="D99" s="22" t="s">
        <v>3643</v>
      </c>
      <c r="E99" s="22">
        <v>-7.2</v>
      </c>
      <c r="F99" s="28"/>
      <c r="G99" s="28">
        <v>-1.2</v>
      </c>
      <c r="H99" s="22" t="s">
        <v>489</v>
      </c>
      <c r="I99" s="22" t="s">
        <v>483</v>
      </c>
      <c r="J99" s="22"/>
    </row>
    <row r="100" spans="1:10" x14ac:dyDescent="0.25">
      <c r="A100" s="22" t="b">
        <v>0</v>
      </c>
      <c r="B100" s="22" t="s">
        <v>1745</v>
      </c>
      <c r="C100" s="34">
        <v>45911</v>
      </c>
      <c r="D100" s="22" t="s">
        <v>3620</v>
      </c>
      <c r="E100" s="22">
        <v>-40.33</v>
      </c>
      <c r="F100" s="28"/>
      <c r="G100" s="28">
        <v>-6.72</v>
      </c>
      <c r="H100" s="22" t="s">
        <v>489</v>
      </c>
      <c r="I100" s="22" t="s">
        <v>483</v>
      </c>
      <c r="J100" s="22"/>
    </row>
    <row r="101" spans="1:10" x14ac:dyDescent="0.25">
      <c r="A101" s="22" t="b">
        <v>0</v>
      </c>
      <c r="B101" s="22" t="s">
        <v>1746</v>
      </c>
      <c r="C101" s="34">
        <v>45911</v>
      </c>
      <c r="D101" s="22" t="s">
        <v>3620</v>
      </c>
      <c r="E101" s="22">
        <v>-40.08</v>
      </c>
      <c r="F101" s="28"/>
      <c r="G101" s="28">
        <v>-6.68</v>
      </c>
      <c r="H101" s="22" t="s">
        <v>489</v>
      </c>
      <c r="I101" s="22" t="s">
        <v>483</v>
      </c>
      <c r="J101" s="22"/>
    </row>
    <row r="102" spans="1:10" x14ac:dyDescent="0.25">
      <c r="A102" s="22" t="b">
        <v>0</v>
      </c>
      <c r="B102" s="22" t="s">
        <v>1732</v>
      </c>
      <c r="C102" s="34">
        <v>45913</v>
      </c>
      <c r="D102" s="22" t="s">
        <v>115</v>
      </c>
      <c r="E102" s="22">
        <v>-6</v>
      </c>
      <c r="F102" s="28"/>
      <c r="G102" s="28">
        <v>-1</v>
      </c>
      <c r="H102" s="22" t="s">
        <v>489</v>
      </c>
      <c r="I102" s="22" t="s">
        <v>483</v>
      </c>
      <c r="J102" s="22"/>
    </row>
    <row r="103" spans="1:10" x14ac:dyDescent="0.25">
      <c r="A103" s="22" t="b">
        <v>0</v>
      </c>
      <c r="B103" s="22" t="s">
        <v>1733</v>
      </c>
      <c r="C103" s="34">
        <v>45913</v>
      </c>
      <c r="D103" s="22" t="s">
        <v>115</v>
      </c>
      <c r="E103" s="22">
        <v>-1</v>
      </c>
      <c r="F103" s="28"/>
      <c r="G103" s="28">
        <v>-0.17</v>
      </c>
      <c r="H103" s="22" t="s">
        <v>489</v>
      </c>
      <c r="I103" s="22" t="s">
        <v>483</v>
      </c>
      <c r="J103" s="22"/>
    </row>
    <row r="104" spans="1:10" x14ac:dyDescent="0.25">
      <c r="A104" s="22" t="b">
        <v>0</v>
      </c>
      <c r="B104" s="22" t="s">
        <v>1720</v>
      </c>
      <c r="C104" s="34">
        <v>45914</v>
      </c>
      <c r="D104" s="22" t="s">
        <v>3644</v>
      </c>
      <c r="E104" s="22">
        <v>-65.94</v>
      </c>
      <c r="F104" s="28"/>
      <c r="G104" s="28">
        <v>-10.99</v>
      </c>
      <c r="H104" s="22" t="s">
        <v>489</v>
      </c>
      <c r="I104" s="22" t="s">
        <v>483</v>
      </c>
      <c r="J104" s="22"/>
    </row>
    <row r="105" spans="1:10" x14ac:dyDescent="0.25">
      <c r="A105" s="22" t="b">
        <v>0</v>
      </c>
      <c r="B105" s="22" t="s">
        <v>2355</v>
      </c>
      <c r="C105" s="34">
        <v>45915</v>
      </c>
      <c r="D105" s="22" t="s">
        <v>3643</v>
      </c>
      <c r="E105" s="22">
        <v>-6.3</v>
      </c>
      <c r="F105" s="28"/>
      <c r="G105" s="28">
        <v>-1.05</v>
      </c>
      <c r="H105" s="22" t="s">
        <v>489</v>
      </c>
      <c r="I105" s="22" t="s">
        <v>483</v>
      </c>
      <c r="J105" s="22"/>
    </row>
    <row r="106" spans="1:10" x14ac:dyDescent="0.25">
      <c r="A106" s="22" t="b">
        <v>0</v>
      </c>
      <c r="B106" s="22" t="s">
        <v>1695</v>
      </c>
      <c r="C106" s="34">
        <v>45917</v>
      </c>
      <c r="D106" s="22" t="s">
        <v>3645</v>
      </c>
      <c r="E106" s="22">
        <v>-40.270000000000003</v>
      </c>
      <c r="F106" s="28"/>
      <c r="G106" s="28">
        <v>-6.71</v>
      </c>
      <c r="H106" s="22" t="s">
        <v>489</v>
      </c>
      <c r="I106" s="22" t="s">
        <v>483</v>
      </c>
      <c r="J106" s="22"/>
    </row>
    <row r="107" spans="1:10" x14ac:dyDescent="0.25">
      <c r="A107" s="22" t="b">
        <v>0</v>
      </c>
      <c r="B107" s="22" t="s">
        <v>1686</v>
      </c>
      <c r="C107" s="34">
        <v>45919</v>
      </c>
      <c r="D107" s="22" t="s">
        <v>3646</v>
      </c>
      <c r="E107" s="22">
        <v>-50.3</v>
      </c>
      <c r="F107" s="28"/>
      <c r="G107" s="28">
        <v>-8.3800000000000008</v>
      </c>
      <c r="H107" s="22" t="s">
        <v>489</v>
      </c>
      <c r="I107" s="22" t="s">
        <v>483</v>
      </c>
      <c r="J107" s="22"/>
    </row>
    <row r="108" spans="1:10" x14ac:dyDescent="0.25">
      <c r="A108" s="22" t="b">
        <v>0</v>
      </c>
      <c r="B108" s="22" t="s">
        <v>1687</v>
      </c>
      <c r="C108" s="34">
        <v>45919</v>
      </c>
      <c r="D108" s="22" t="s">
        <v>3646</v>
      </c>
      <c r="E108" s="22">
        <v>-3.65</v>
      </c>
      <c r="F108" s="28"/>
      <c r="G108" s="28">
        <v>-0.61</v>
      </c>
      <c r="H108" s="22" t="s">
        <v>489</v>
      </c>
      <c r="I108" s="22" t="s">
        <v>483</v>
      </c>
      <c r="J108" s="22"/>
    </row>
    <row r="109" spans="1:10" x14ac:dyDescent="0.25">
      <c r="A109" s="22" t="b">
        <v>0</v>
      </c>
      <c r="B109" s="22" t="s">
        <v>1688</v>
      </c>
      <c r="C109" s="34">
        <v>45919</v>
      </c>
      <c r="D109" s="22" t="s">
        <v>3647</v>
      </c>
      <c r="E109" s="22">
        <v>-69.290000000000006</v>
      </c>
      <c r="F109" s="28"/>
      <c r="G109" s="28">
        <v>-11.55</v>
      </c>
      <c r="H109" s="22" t="s">
        <v>489</v>
      </c>
      <c r="I109" s="22" t="s">
        <v>483</v>
      </c>
      <c r="J109" s="22"/>
    </row>
    <row r="110" spans="1:10" x14ac:dyDescent="0.25">
      <c r="A110" s="22" t="b">
        <v>0</v>
      </c>
      <c r="B110" s="22" t="s">
        <v>1674</v>
      </c>
      <c r="C110" s="34">
        <v>45923</v>
      </c>
      <c r="D110" s="22" t="s">
        <v>3646</v>
      </c>
      <c r="E110" s="22">
        <v>-49.8</v>
      </c>
      <c r="F110" s="28"/>
      <c r="G110" s="28">
        <v>-8.3000000000000007</v>
      </c>
      <c r="H110" s="22" t="s">
        <v>489</v>
      </c>
      <c r="I110" s="22" t="s">
        <v>483</v>
      </c>
      <c r="J110" s="22"/>
    </row>
    <row r="111" spans="1:10" x14ac:dyDescent="0.25">
      <c r="A111" s="22" t="b">
        <v>0</v>
      </c>
      <c r="B111" s="22" t="s">
        <v>1667</v>
      </c>
      <c r="C111" s="34">
        <v>45924</v>
      </c>
      <c r="D111" s="22" t="s">
        <v>3648</v>
      </c>
      <c r="E111" s="22">
        <v>-80.78</v>
      </c>
      <c r="F111" s="28"/>
      <c r="G111" s="28">
        <v>-13.46</v>
      </c>
      <c r="H111" s="22" t="s">
        <v>489</v>
      </c>
      <c r="I111" s="22" t="s">
        <v>483</v>
      </c>
      <c r="J111" s="22"/>
    </row>
    <row r="112" spans="1:10" x14ac:dyDescent="0.25">
      <c r="A112" s="22" t="b">
        <v>0</v>
      </c>
      <c r="B112" s="22" t="s">
        <v>1668</v>
      </c>
      <c r="C112" s="34">
        <v>45924</v>
      </c>
      <c r="D112" s="22" t="s">
        <v>3649</v>
      </c>
      <c r="E112" s="22">
        <v>-60.48</v>
      </c>
      <c r="F112" s="28"/>
      <c r="G112" s="28">
        <v>-10.08</v>
      </c>
      <c r="H112" s="22" t="s">
        <v>489</v>
      </c>
      <c r="I112" s="22" t="s">
        <v>483</v>
      </c>
      <c r="J112" s="22"/>
    </row>
    <row r="113" spans="1:10" x14ac:dyDescent="0.25">
      <c r="A113" s="22" t="b">
        <v>0</v>
      </c>
      <c r="B113" s="22" t="s">
        <v>1645</v>
      </c>
      <c r="C113" s="34">
        <v>45926</v>
      </c>
      <c r="D113" s="22" t="s">
        <v>3650</v>
      </c>
      <c r="E113" s="22">
        <v>-33.25</v>
      </c>
      <c r="F113" s="28"/>
      <c r="G113" s="28">
        <v>-5.54</v>
      </c>
      <c r="H113" s="22" t="s">
        <v>489</v>
      </c>
      <c r="I113" s="22" t="s">
        <v>483</v>
      </c>
      <c r="J113" s="22"/>
    </row>
    <row r="114" spans="1:10" x14ac:dyDescent="0.25">
      <c r="A114" s="22" t="b">
        <v>0</v>
      </c>
      <c r="B114" s="22" t="s">
        <v>1632</v>
      </c>
      <c r="C114" s="34">
        <v>45928</v>
      </c>
      <c r="D114" s="22" t="s">
        <v>3620</v>
      </c>
      <c r="E114" s="22">
        <v>-32.979999999999997</v>
      </c>
      <c r="F114" s="28"/>
      <c r="G114" s="28">
        <v>-5.5</v>
      </c>
      <c r="H114" s="22" t="s">
        <v>489</v>
      </c>
      <c r="I114" s="22" t="s">
        <v>483</v>
      </c>
      <c r="J114" s="22"/>
    </row>
    <row r="115" spans="1:10" x14ac:dyDescent="0.25">
      <c r="A115" s="22" t="b">
        <v>0</v>
      </c>
      <c r="B115" s="22" t="s">
        <v>1627</v>
      </c>
      <c r="C115" s="34">
        <v>45929</v>
      </c>
      <c r="D115" s="22" t="s">
        <v>3605</v>
      </c>
      <c r="E115" s="22">
        <v>-38.74</v>
      </c>
      <c r="F115" s="28"/>
      <c r="G115" s="28">
        <v>-6.46</v>
      </c>
      <c r="H115" s="22" t="s">
        <v>489</v>
      </c>
      <c r="I115" s="22" t="s">
        <v>483</v>
      </c>
      <c r="J115" s="22"/>
    </row>
    <row r="116" spans="1:10" x14ac:dyDescent="0.25">
      <c r="A116" s="22" t="b">
        <v>0</v>
      </c>
      <c r="B116" s="22" t="s">
        <v>1581</v>
      </c>
      <c r="C116" s="34">
        <v>45936</v>
      </c>
      <c r="D116" s="22" t="s">
        <v>3651</v>
      </c>
      <c r="E116" s="22">
        <v>-11.8</v>
      </c>
      <c r="F116" s="28"/>
      <c r="G116" s="28">
        <v>-1.97</v>
      </c>
      <c r="H116" s="22" t="s">
        <v>489</v>
      </c>
      <c r="I116" s="22" t="s">
        <v>483</v>
      </c>
      <c r="J116" s="22"/>
    </row>
    <row r="117" spans="1:10" x14ac:dyDescent="0.25">
      <c r="A117" s="22" t="b">
        <v>0</v>
      </c>
      <c r="B117" s="22" t="s">
        <v>1582</v>
      </c>
      <c r="C117" s="34">
        <v>45936</v>
      </c>
      <c r="D117" s="22" t="s">
        <v>3651</v>
      </c>
      <c r="E117" s="22">
        <v>-5.9</v>
      </c>
      <c r="F117" s="28"/>
      <c r="G117" s="28">
        <v>-0.98</v>
      </c>
      <c r="H117" s="22" t="s">
        <v>489</v>
      </c>
      <c r="I117" s="22" t="s">
        <v>483</v>
      </c>
      <c r="J117" s="22"/>
    </row>
    <row r="118" spans="1:10" x14ac:dyDescent="0.25">
      <c r="A118" s="22" t="b">
        <v>0</v>
      </c>
      <c r="B118" s="22" t="s">
        <v>2354</v>
      </c>
      <c r="C118" s="34">
        <v>45936</v>
      </c>
      <c r="D118" s="22" t="s">
        <v>3652</v>
      </c>
      <c r="E118" s="22">
        <v>-7.2</v>
      </c>
      <c r="F118" s="28"/>
      <c r="G118" s="28">
        <v>-1.2</v>
      </c>
      <c r="H118" s="22" t="s">
        <v>489</v>
      </c>
      <c r="I118" s="22" t="s">
        <v>483</v>
      </c>
      <c r="J118" s="22"/>
    </row>
    <row r="119" spans="1:10" x14ac:dyDescent="0.25">
      <c r="A119" s="22" t="b">
        <v>0</v>
      </c>
      <c r="B119" s="22" t="s">
        <v>2353</v>
      </c>
      <c r="C119" s="34">
        <v>45943</v>
      </c>
      <c r="D119" s="22" t="s">
        <v>3652</v>
      </c>
      <c r="E119" s="22">
        <v>-6.3</v>
      </c>
      <c r="F119" s="28"/>
      <c r="G119" s="28">
        <v>-1.05</v>
      </c>
      <c r="H119" s="22" t="s">
        <v>489</v>
      </c>
      <c r="I119" s="22" t="s">
        <v>483</v>
      </c>
      <c r="J119" s="22"/>
    </row>
    <row r="120" spans="1:10" x14ac:dyDescent="0.25">
      <c r="A120" s="22" t="b">
        <v>0</v>
      </c>
      <c r="B120" s="22" t="s">
        <v>2352</v>
      </c>
      <c r="C120" s="34">
        <v>45964</v>
      </c>
      <c r="D120" s="22" t="s">
        <v>3652</v>
      </c>
      <c r="E120" s="22">
        <v>-7.2</v>
      </c>
      <c r="F120" s="28"/>
      <c r="G120" s="28">
        <v>-1.2</v>
      </c>
      <c r="H120" s="22" t="s">
        <v>489</v>
      </c>
      <c r="I120" s="22" t="s">
        <v>483</v>
      </c>
      <c r="J120" s="22"/>
    </row>
    <row r="121" spans="1:10" x14ac:dyDescent="0.25">
      <c r="A121" s="22" t="b">
        <v>0</v>
      </c>
      <c r="B121" s="22" t="s">
        <v>2351</v>
      </c>
      <c r="C121" s="34">
        <v>45971</v>
      </c>
      <c r="D121" s="22" t="s">
        <v>3652</v>
      </c>
      <c r="E121" s="22">
        <v>-6.3</v>
      </c>
      <c r="F121" s="28"/>
      <c r="G121" s="28">
        <v>-1.05</v>
      </c>
      <c r="H121" s="22" t="s">
        <v>489</v>
      </c>
      <c r="I121" s="22" t="s">
        <v>483</v>
      </c>
      <c r="J121" s="22"/>
    </row>
    <row r="122" spans="1:10" x14ac:dyDescent="0.25">
      <c r="A122" s="22" t="b">
        <v>0</v>
      </c>
      <c r="B122" s="22" t="s">
        <v>1392</v>
      </c>
      <c r="C122" s="34">
        <v>45994</v>
      </c>
      <c r="D122" s="22" t="s">
        <v>3653</v>
      </c>
      <c r="E122" s="22">
        <v>-3</v>
      </c>
      <c r="F122" s="28"/>
      <c r="G122" s="28">
        <v>-0.5</v>
      </c>
      <c r="H122" s="22" t="s">
        <v>489</v>
      </c>
      <c r="I122" s="22" t="s">
        <v>483</v>
      </c>
      <c r="J122" s="22"/>
    </row>
    <row r="123" spans="1:10" x14ac:dyDescent="0.25">
      <c r="A123" s="22" t="b">
        <v>0</v>
      </c>
      <c r="B123" s="22" t="s">
        <v>1368</v>
      </c>
      <c r="C123" s="34">
        <v>45996</v>
      </c>
      <c r="D123" s="22" t="s">
        <v>3654</v>
      </c>
      <c r="E123" s="22">
        <v>-40.1</v>
      </c>
      <c r="F123" s="28"/>
      <c r="G123" s="28">
        <v>-6.68</v>
      </c>
      <c r="H123" s="22" t="s">
        <v>489</v>
      </c>
      <c r="I123" s="22" t="s">
        <v>483</v>
      </c>
      <c r="J123" s="22"/>
    </row>
    <row r="124" spans="1:10" x14ac:dyDescent="0.25">
      <c r="A124" s="22" t="b">
        <v>0</v>
      </c>
      <c r="B124" s="22" t="s">
        <v>1367</v>
      </c>
      <c r="C124" s="34">
        <v>45997</v>
      </c>
      <c r="D124" s="22" t="s">
        <v>3636</v>
      </c>
      <c r="E124" s="22">
        <v>-40.01</v>
      </c>
      <c r="F124" s="28"/>
      <c r="G124" s="28">
        <v>-6.67</v>
      </c>
      <c r="H124" s="22" t="s">
        <v>489</v>
      </c>
      <c r="I124" s="22" t="s">
        <v>483</v>
      </c>
      <c r="J124" s="22"/>
    </row>
    <row r="125" spans="1:10" x14ac:dyDescent="0.25">
      <c r="A125" s="22" t="b">
        <v>0</v>
      </c>
      <c r="B125" s="22" t="s">
        <v>2350</v>
      </c>
      <c r="C125" s="34">
        <v>45999</v>
      </c>
      <c r="D125" s="22" t="s">
        <v>3652</v>
      </c>
      <c r="E125" s="22">
        <v>-7.2</v>
      </c>
      <c r="F125" s="28"/>
      <c r="G125" s="28">
        <v>-1.2</v>
      </c>
      <c r="H125" s="22" t="s">
        <v>489</v>
      </c>
      <c r="I125" s="22" t="s">
        <v>483</v>
      </c>
      <c r="J125" s="22"/>
    </row>
    <row r="126" spans="1:10" x14ac:dyDescent="0.25">
      <c r="A126" s="22" t="b">
        <v>0</v>
      </c>
      <c r="B126" s="22" t="s">
        <v>2349</v>
      </c>
      <c r="C126" s="34">
        <v>46006</v>
      </c>
      <c r="D126" s="22" t="s">
        <v>3652</v>
      </c>
      <c r="E126" s="22">
        <v>-6.3</v>
      </c>
      <c r="F126" s="28"/>
      <c r="G126" s="28">
        <v>-1.05</v>
      </c>
      <c r="H126" s="22" t="s">
        <v>489</v>
      </c>
      <c r="I126" s="22" t="s">
        <v>483</v>
      </c>
      <c r="J126" s="22"/>
    </row>
    <row r="127" spans="1:10" x14ac:dyDescent="0.25">
      <c r="A127" s="22" t="b">
        <v>0</v>
      </c>
      <c r="B127" s="22" t="s">
        <v>167</v>
      </c>
      <c r="C127" s="34">
        <v>46062</v>
      </c>
      <c r="D127" s="22" t="s">
        <v>3652</v>
      </c>
      <c r="E127" s="22">
        <v>-6.3</v>
      </c>
      <c r="F127" s="22" t="s">
        <v>489</v>
      </c>
      <c r="G127" s="22" t="s">
        <v>483</v>
      </c>
      <c r="H127" s="22"/>
      <c r="I127" s="22">
        <v>61</v>
      </c>
    </row>
    <row r="128" spans="1:10" x14ac:dyDescent="0.25">
      <c r="A128" s="22" t="b">
        <v>0</v>
      </c>
      <c r="B128" s="22" t="s">
        <v>240</v>
      </c>
      <c r="C128" s="34">
        <v>46055</v>
      </c>
      <c r="D128" s="22" t="s">
        <v>3652</v>
      </c>
      <c r="E128" s="22">
        <v>-7.2</v>
      </c>
      <c r="F128" s="22" t="s">
        <v>489</v>
      </c>
      <c r="G128" s="22" t="s">
        <v>483</v>
      </c>
      <c r="H128" s="22"/>
      <c r="I128" s="22">
        <v>97</v>
      </c>
    </row>
    <row r="129" spans="1:9" x14ac:dyDescent="0.25">
      <c r="A129" s="22" t="b">
        <v>0</v>
      </c>
      <c r="B129" s="22" t="s">
        <v>383</v>
      </c>
      <c r="C129" s="34">
        <v>46034</v>
      </c>
      <c r="D129" s="22" t="s">
        <v>3652</v>
      </c>
      <c r="E129" s="22">
        <v>-6.3</v>
      </c>
      <c r="F129" s="22" t="s">
        <v>489</v>
      </c>
      <c r="G129" s="22" t="s">
        <v>483</v>
      </c>
      <c r="H129" s="22"/>
      <c r="I129" s="22">
        <v>173</v>
      </c>
    </row>
    <row r="130" spans="1:9" x14ac:dyDescent="0.25">
      <c r="A130" s="22" t="b">
        <v>0</v>
      </c>
      <c r="B130" s="22" t="s">
        <v>412</v>
      </c>
      <c r="C130" s="34">
        <v>46027</v>
      </c>
      <c r="D130" s="22" t="s">
        <v>3652</v>
      </c>
      <c r="E130" s="22">
        <v>-7.2</v>
      </c>
      <c r="F130" s="22" t="s">
        <v>489</v>
      </c>
      <c r="G130" s="22" t="s">
        <v>483</v>
      </c>
      <c r="H130" s="22"/>
      <c r="I130" s="22">
        <v>193</v>
      </c>
    </row>
  </sheetData>
  <autoFilter ref="D1:D968" xr:uid="{00000000-0009-0000-0000-00000A000000}"/>
  <dataValidations count="1">
    <dataValidation type="list" allowBlank="1" showErrorMessage="1" sqref="I2:I14 I15:J126 H127:H130" xr:uid="{00000000-0002-0000-0A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B27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4" max="4" width="53.21875" customWidth="1"/>
  </cols>
  <sheetData>
    <row r="1" spans="1:13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 t="s">
        <v>480</v>
      </c>
      <c r="L1" s="22"/>
      <c r="M1" s="22"/>
    </row>
    <row r="2" spans="1:13" x14ac:dyDescent="0.25">
      <c r="A2" s="22" t="b">
        <v>0</v>
      </c>
      <c r="B2" s="22" t="s">
        <v>2707</v>
      </c>
      <c r="C2" s="34">
        <v>45712</v>
      </c>
      <c r="D2" s="22" t="s">
        <v>3655</v>
      </c>
      <c r="E2" s="22">
        <v>-52.5</v>
      </c>
      <c r="F2" s="28"/>
      <c r="G2" s="22" t="s">
        <v>489</v>
      </c>
      <c r="H2" s="22" t="s">
        <v>483</v>
      </c>
      <c r="I2" s="22"/>
    </row>
    <row r="3" spans="1:13" x14ac:dyDescent="0.25">
      <c r="A3" s="22" t="b">
        <v>0</v>
      </c>
      <c r="B3" s="22" t="s">
        <v>2708</v>
      </c>
      <c r="C3" s="34">
        <v>45712</v>
      </c>
      <c r="D3" s="22" t="s">
        <v>3656</v>
      </c>
      <c r="E3" s="22">
        <v>-52.5</v>
      </c>
      <c r="F3" s="28"/>
      <c r="G3" s="22" t="s">
        <v>489</v>
      </c>
      <c r="H3" s="22" t="s">
        <v>483</v>
      </c>
      <c r="I3" s="22"/>
    </row>
    <row r="4" spans="1:13" x14ac:dyDescent="0.25">
      <c r="A4" s="22" t="b">
        <v>0</v>
      </c>
      <c r="B4" s="22" t="s">
        <v>2172</v>
      </c>
      <c r="C4" s="34">
        <v>45748</v>
      </c>
      <c r="D4" s="22" t="s">
        <v>3657</v>
      </c>
      <c r="E4" s="22">
        <v>-16.670000000000002</v>
      </c>
      <c r="F4" s="28"/>
      <c r="G4" s="22" t="s">
        <v>489</v>
      </c>
      <c r="H4" s="22" t="s">
        <v>483</v>
      </c>
      <c r="I4" s="22"/>
      <c r="K4" s="22"/>
    </row>
    <row r="5" spans="1:13" x14ac:dyDescent="0.25">
      <c r="A5" s="22" t="b">
        <v>0</v>
      </c>
      <c r="B5" s="22" t="s">
        <v>1320</v>
      </c>
      <c r="C5" s="34">
        <v>45751</v>
      </c>
      <c r="D5" s="22" t="s">
        <v>3658</v>
      </c>
      <c r="E5" s="22">
        <v>-179.3</v>
      </c>
      <c r="F5" s="28">
        <v>-29.88</v>
      </c>
      <c r="G5" s="22" t="s">
        <v>489</v>
      </c>
      <c r="H5" s="22" t="s">
        <v>483</v>
      </c>
      <c r="I5" s="22"/>
      <c r="K5" s="22"/>
    </row>
    <row r="6" spans="1:13" x14ac:dyDescent="0.25">
      <c r="A6" s="22" t="b">
        <v>0</v>
      </c>
      <c r="B6" s="22" t="s">
        <v>1318</v>
      </c>
      <c r="C6" s="34">
        <v>45751</v>
      </c>
      <c r="D6" s="22" t="s">
        <v>3659</v>
      </c>
      <c r="E6" s="22">
        <v>-11.5</v>
      </c>
      <c r="F6" s="28"/>
      <c r="G6" s="22" t="s">
        <v>489</v>
      </c>
      <c r="H6" s="22" t="s">
        <v>483</v>
      </c>
      <c r="I6" s="22"/>
      <c r="K6" s="22"/>
    </row>
    <row r="7" spans="1:13" x14ac:dyDescent="0.25">
      <c r="A7" s="22" t="b">
        <v>0</v>
      </c>
      <c r="B7" s="22" t="s">
        <v>1319</v>
      </c>
      <c r="C7" s="34">
        <v>45751</v>
      </c>
      <c r="D7" s="22" t="s">
        <v>3660</v>
      </c>
      <c r="E7" s="22">
        <v>-8.25</v>
      </c>
      <c r="F7" s="28"/>
      <c r="G7" s="22" t="s">
        <v>489</v>
      </c>
      <c r="H7" s="22" t="s">
        <v>483</v>
      </c>
      <c r="I7" s="22"/>
      <c r="K7" s="22"/>
    </row>
    <row r="8" spans="1:13" x14ac:dyDescent="0.25">
      <c r="A8" s="22" t="b">
        <v>0</v>
      </c>
      <c r="B8" s="22" t="s">
        <v>1311</v>
      </c>
      <c r="C8" s="34">
        <v>45753</v>
      </c>
      <c r="D8" s="22" t="s">
        <v>3661</v>
      </c>
      <c r="E8" s="22">
        <v>-62.1</v>
      </c>
      <c r="F8" s="28">
        <v>-10.35</v>
      </c>
      <c r="G8" s="22" t="s">
        <v>489</v>
      </c>
      <c r="H8" s="22" t="s">
        <v>483</v>
      </c>
      <c r="I8" s="22"/>
      <c r="K8" s="22"/>
    </row>
    <row r="9" spans="1:13" x14ac:dyDescent="0.25">
      <c r="A9" s="22" t="b">
        <v>0</v>
      </c>
      <c r="B9" s="22" t="s">
        <v>1304</v>
      </c>
      <c r="D9" s="22" t="s">
        <v>2819</v>
      </c>
      <c r="E9" s="22">
        <v>200</v>
      </c>
      <c r="F9" s="28"/>
      <c r="G9" s="22" t="s">
        <v>482</v>
      </c>
      <c r="H9" s="22" t="s">
        <v>483</v>
      </c>
      <c r="I9" s="22"/>
    </row>
    <row r="10" spans="1:13" x14ac:dyDescent="0.25">
      <c r="A10" s="22" t="b">
        <v>0</v>
      </c>
      <c r="B10" s="22" t="s">
        <v>2286</v>
      </c>
      <c r="C10" s="34">
        <v>45758</v>
      </c>
      <c r="D10" s="22" t="s">
        <v>3662</v>
      </c>
      <c r="E10" s="22">
        <v>-800</v>
      </c>
      <c r="F10" s="28">
        <v>-133.33000000000001</v>
      </c>
      <c r="G10" s="22" t="s">
        <v>489</v>
      </c>
      <c r="H10" s="22" t="s">
        <v>483</v>
      </c>
      <c r="I10" s="22"/>
      <c r="K10" s="22"/>
    </row>
    <row r="11" spans="1:13" x14ac:dyDescent="0.25">
      <c r="A11" s="22" t="b">
        <v>0</v>
      </c>
      <c r="B11" s="22" t="s">
        <v>1291</v>
      </c>
      <c r="C11" s="34">
        <v>45760</v>
      </c>
      <c r="D11" s="22" t="s">
        <v>3574</v>
      </c>
      <c r="E11" s="22">
        <v>-207</v>
      </c>
      <c r="F11" s="28"/>
      <c r="G11" s="22" t="s">
        <v>489</v>
      </c>
      <c r="H11" s="22" t="s">
        <v>483</v>
      </c>
      <c r="I11" s="22"/>
      <c r="K11" s="22"/>
    </row>
    <row r="12" spans="1:13" x14ac:dyDescent="0.25">
      <c r="A12" s="22" t="b">
        <v>0</v>
      </c>
      <c r="B12" s="22" t="s">
        <v>1287</v>
      </c>
      <c r="C12" s="34">
        <v>45762</v>
      </c>
      <c r="D12" s="22" t="s">
        <v>3663</v>
      </c>
      <c r="E12" s="22">
        <v>-12.99</v>
      </c>
      <c r="F12" s="28">
        <v>-2.16</v>
      </c>
      <c r="G12" s="22" t="s">
        <v>489</v>
      </c>
      <c r="H12" s="22" t="s">
        <v>483</v>
      </c>
      <c r="I12" s="22"/>
      <c r="K12" s="22"/>
    </row>
    <row r="13" spans="1:13" x14ac:dyDescent="0.25">
      <c r="A13" s="22" t="b">
        <v>0</v>
      </c>
      <c r="B13" s="22" t="s">
        <v>1289</v>
      </c>
      <c r="C13" s="34">
        <v>45761</v>
      </c>
      <c r="D13" s="22" t="s">
        <v>2791</v>
      </c>
      <c r="E13" s="22">
        <v>800</v>
      </c>
      <c r="F13" s="28"/>
      <c r="G13" s="22" t="s">
        <v>482</v>
      </c>
      <c r="H13" s="22" t="s">
        <v>483</v>
      </c>
      <c r="I13" s="22"/>
      <c r="K13" s="22"/>
    </row>
    <row r="14" spans="1:13" x14ac:dyDescent="0.25">
      <c r="A14" s="22" t="b">
        <v>0</v>
      </c>
      <c r="B14" s="22" t="s">
        <v>2421</v>
      </c>
      <c r="C14" s="34">
        <v>45763</v>
      </c>
      <c r="D14" s="22" t="s">
        <v>3664</v>
      </c>
      <c r="E14" s="22">
        <v>-1233.8</v>
      </c>
      <c r="F14" s="28">
        <v>-205.63</v>
      </c>
      <c r="G14" s="22" t="s">
        <v>489</v>
      </c>
      <c r="H14" s="22" t="s">
        <v>483</v>
      </c>
      <c r="I14" s="22"/>
      <c r="K14" s="22"/>
    </row>
    <row r="15" spans="1:13" x14ac:dyDescent="0.25">
      <c r="A15" s="22" t="b">
        <v>0</v>
      </c>
      <c r="B15" s="22" t="s">
        <v>2285</v>
      </c>
      <c r="C15" s="34">
        <v>45764</v>
      </c>
      <c r="D15" s="22" t="s">
        <v>3665</v>
      </c>
      <c r="E15" s="22">
        <v>-800.2</v>
      </c>
      <c r="F15" s="28">
        <v>-133.37</v>
      </c>
      <c r="G15" s="22" t="s">
        <v>489</v>
      </c>
      <c r="H15" s="22" t="s">
        <v>483</v>
      </c>
      <c r="I15" s="22"/>
      <c r="K15" s="22"/>
    </row>
    <row r="16" spans="1:13" x14ac:dyDescent="0.25">
      <c r="A16" s="22" t="b">
        <v>0</v>
      </c>
      <c r="B16" s="22" t="s">
        <v>1276</v>
      </c>
      <c r="C16" s="34">
        <v>45767</v>
      </c>
      <c r="D16" s="22" t="s">
        <v>3337</v>
      </c>
      <c r="E16" s="22">
        <v>-11.49</v>
      </c>
      <c r="F16" s="28">
        <v>-1.91</v>
      </c>
      <c r="G16" s="22" t="s">
        <v>489</v>
      </c>
      <c r="H16" s="22" t="s">
        <v>483</v>
      </c>
      <c r="I16" s="22"/>
      <c r="K16" s="22"/>
    </row>
    <row r="17" spans="1:11" x14ac:dyDescent="0.25">
      <c r="A17" s="22" t="b">
        <v>0</v>
      </c>
      <c r="B17" s="22" t="s">
        <v>2284</v>
      </c>
      <c r="C17" s="34">
        <v>45772</v>
      </c>
      <c r="D17" s="22" t="s">
        <v>3666</v>
      </c>
      <c r="E17" s="22">
        <v>-800.2</v>
      </c>
      <c r="F17" s="28">
        <v>-133.37</v>
      </c>
      <c r="G17" s="22" t="s">
        <v>489</v>
      </c>
      <c r="H17" s="22" t="s">
        <v>483</v>
      </c>
      <c r="I17" s="22"/>
      <c r="K17" s="22"/>
    </row>
    <row r="18" spans="1:11" x14ac:dyDescent="0.25">
      <c r="A18" s="22" t="b">
        <v>0</v>
      </c>
      <c r="B18" s="22" t="s">
        <v>1262</v>
      </c>
      <c r="C18" s="34">
        <v>45774</v>
      </c>
      <c r="D18" s="22" t="s">
        <v>3667</v>
      </c>
      <c r="E18" s="22">
        <v>-8.99</v>
      </c>
      <c r="F18" s="28">
        <v>-1.5</v>
      </c>
      <c r="G18" s="22" t="s">
        <v>489</v>
      </c>
      <c r="H18" s="22" t="s">
        <v>483</v>
      </c>
      <c r="I18" s="22"/>
      <c r="K18" s="22"/>
    </row>
    <row r="19" spans="1:11" x14ac:dyDescent="0.25">
      <c r="A19" s="22" t="b">
        <v>0</v>
      </c>
      <c r="B19" s="22" t="s">
        <v>1259</v>
      </c>
      <c r="C19" s="34">
        <v>45776</v>
      </c>
      <c r="D19" s="22" t="s">
        <v>3668</v>
      </c>
      <c r="E19" s="22">
        <v>-2.54</v>
      </c>
      <c r="F19" s="28"/>
      <c r="G19" s="22" t="s">
        <v>489</v>
      </c>
      <c r="H19" s="22" t="s">
        <v>483</v>
      </c>
      <c r="I19" s="22"/>
      <c r="K19" s="22"/>
    </row>
    <row r="20" spans="1:11" x14ac:dyDescent="0.25">
      <c r="A20" s="22" t="b">
        <v>0</v>
      </c>
      <c r="B20" s="22" t="s">
        <v>1255</v>
      </c>
      <c r="C20" s="34">
        <v>45777</v>
      </c>
      <c r="D20" s="22" t="s">
        <v>3669</v>
      </c>
      <c r="E20" s="22">
        <v>-28.67</v>
      </c>
      <c r="F20" s="28">
        <v>-4.78</v>
      </c>
      <c r="G20" s="22" t="s">
        <v>489</v>
      </c>
      <c r="H20" s="22" t="s">
        <v>483</v>
      </c>
      <c r="I20" s="22"/>
      <c r="K20" s="22"/>
    </row>
    <row r="21" spans="1:11" x14ac:dyDescent="0.25">
      <c r="A21" s="22" t="b">
        <v>0</v>
      </c>
      <c r="B21" s="22" t="s">
        <v>1256</v>
      </c>
      <c r="C21" s="34">
        <v>45777</v>
      </c>
      <c r="D21" s="22" t="s">
        <v>3670</v>
      </c>
      <c r="E21" s="22">
        <v>-15.43</v>
      </c>
      <c r="F21" s="28"/>
      <c r="G21" s="22" t="s">
        <v>489</v>
      </c>
      <c r="H21" s="22" t="s">
        <v>483</v>
      </c>
      <c r="I21" s="22"/>
      <c r="K21" s="22"/>
    </row>
    <row r="22" spans="1:11" x14ac:dyDescent="0.25">
      <c r="A22" s="22" t="b">
        <v>0</v>
      </c>
      <c r="B22" s="22" t="s">
        <v>1249</v>
      </c>
      <c r="C22" s="34">
        <v>45779</v>
      </c>
      <c r="D22" s="22" t="s">
        <v>3671</v>
      </c>
      <c r="E22" s="22">
        <v>-5.31</v>
      </c>
      <c r="F22" s="28">
        <v>-0.88</v>
      </c>
      <c r="G22" s="22" t="s">
        <v>489</v>
      </c>
      <c r="H22" s="22" t="s">
        <v>483</v>
      </c>
      <c r="I22" s="22"/>
      <c r="K22" s="22"/>
    </row>
    <row r="23" spans="1:11" x14ac:dyDescent="0.25">
      <c r="A23" s="22" t="b">
        <v>0</v>
      </c>
      <c r="B23" s="22" t="s">
        <v>1248</v>
      </c>
      <c r="C23" s="34">
        <v>45779</v>
      </c>
      <c r="D23" s="22" t="s">
        <v>3671</v>
      </c>
      <c r="E23" s="22">
        <v>-5.04</v>
      </c>
      <c r="F23" s="28">
        <v>-0.84</v>
      </c>
      <c r="G23" s="22" t="s">
        <v>489</v>
      </c>
      <c r="H23" s="22" t="s">
        <v>483</v>
      </c>
      <c r="I23" s="22"/>
      <c r="K23" s="22"/>
    </row>
    <row r="24" spans="1:11" x14ac:dyDescent="0.25">
      <c r="A24" s="22" t="b">
        <v>0</v>
      </c>
      <c r="B24" s="22" t="s">
        <v>2171</v>
      </c>
      <c r="C24" s="34">
        <v>45778</v>
      </c>
      <c r="D24" s="22" t="s">
        <v>3657</v>
      </c>
      <c r="E24" s="22">
        <v>-16.62</v>
      </c>
      <c r="F24" s="28"/>
      <c r="G24" s="22" t="s">
        <v>489</v>
      </c>
      <c r="H24" s="22" t="s">
        <v>483</v>
      </c>
      <c r="I24" s="22"/>
      <c r="K24" s="22"/>
    </row>
    <row r="25" spans="1:11" x14ac:dyDescent="0.25">
      <c r="A25" s="22" t="b">
        <v>0</v>
      </c>
      <c r="B25" s="22" t="s">
        <v>1246</v>
      </c>
      <c r="C25" s="34">
        <v>45779</v>
      </c>
      <c r="D25" s="22" t="s">
        <v>3672</v>
      </c>
      <c r="E25" s="22">
        <v>-22.42</v>
      </c>
      <c r="F25" s="28">
        <v>-3.74</v>
      </c>
      <c r="G25" s="22" t="s">
        <v>489</v>
      </c>
      <c r="H25" s="22" t="s">
        <v>483</v>
      </c>
      <c r="I25" s="22"/>
      <c r="K25" s="22"/>
    </row>
    <row r="26" spans="1:11" x14ac:dyDescent="0.25">
      <c r="A26" s="22" t="b">
        <v>0</v>
      </c>
      <c r="B26" s="22" t="s">
        <v>1250</v>
      </c>
      <c r="C26" s="34">
        <v>45778</v>
      </c>
      <c r="D26" s="22" t="s">
        <v>3670</v>
      </c>
      <c r="E26" s="22">
        <v>-13.07</v>
      </c>
      <c r="F26" s="28"/>
      <c r="G26" s="22" t="s">
        <v>489</v>
      </c>
      <c r="H26" s="22" t="s">
        <v>483</v>
      </c>
      <c r="I26" s="22"/>
      <c r="K26" s="22"/>
    </row>
    <row r="27" spans="1:11" x14ac:dyDescent="0.25">
      <c r="A27" s="22" t="b">
        <v>0</v>
      </c>
      <c r="B27" s="22" t="s">
        <v>1243</v>
      </c>
      <c r="C27" s="34">
        <v>45780</v>
      </c>
      <c r="D27" s="22" t="s">
        <v>3337</v>
      </c>
      <c r="E27" s="22">
        <v>-11.03</v>
      </c>
      <c r="F27" s="28">
        <v>-1.84</v>
      </c>
      <c r="G27" s="22" t="s">
        <v>489</v>
      </c>
      <c r="H27" s="22" t="s">
        <v>483</v>
      </c>
      <c r="I27" s="22"/>
      <c r="K27" s="22"/>
    </row>
    <row r="28" spans="1:11" x14ac:dyDescent="0.25">
      <c r="A28" s="22" t="b">
        <v>0</v>
      </c>
      <c r="B28" s="22" t="s">
        <v>1239</v>
      </c>
      <c r="C28" s="34">
        <v>45781</v>
      </c>
      <c r="D28" s="22" t="s">
        <v>3472</v>
      </c>
      <c r="E28" s="22">
        <v>-131.49</v>
      </c>
      <c r="F28" s="28"/>
      <c r="G28" s="22" t="s">
        <v>489</v>
      </c>
      <c r="H28" s="22" t="s">
        <v>483</v>
      </c>
      <c r="I28" s="22"/>
      <c r="K28" s="22"/>
    </row>
    <row r="29" spans="1:11" x14ac:dyDescent="0.25">
      <c r="A29" s="22" t="b">
        <v>0</v>
      </c>
      <c r="B29" s="22" t="s">
        <v>1234</v>
      </c>
      <c r="C29" s="34">
        <v>45783</v>
      </c>
      <c r="D29" s="22" t="s">
        <v>3337</v>
      </c>
      <c r="E29" s="22">
        <v>-13</v>
      </c>
      <c r="F29" s="28">
        <v>-2.17</v>
      </c>
      <c r="G29" s="22" t="s">
        <v>489</v>
      </c>
      <c r="H29" s="22" t="s">
        <v>483</v>
      </c>
      <c r="I29" s="22"/>
      <c r="K29" s="22"/>
    </row>
    <row r="30" spans="1:11" x14ac:dyDescent="0.25">
      <c r="A30" s="22" t="b">
        <v>0</v>
      </c>
      <c r="B30" s="22" t="s">
        <v>1232</v>
      </c>
      <c r="C30" s="34">
        <v>45783</v>
      </c>
      <c r="D30" s="22" t="s">
        <v>3337</v>
      </c>
      <c r="E30" s="22">
        <v>-30.17</v>
      </c>
      <c r="F30" s="28">
        <v>-5.03</v>
      </c>
      <c r="G30" s="22" t="s">
        <v>489</v>
      </c>
      <c r="H30" s="22" t="s">
        <v>483</v>
      </c>
      <c r="I30" s="22"/>
      <c r="K30" s="22"/>
    </row>
    <row r="31" spans="1:11" x14ac:dyDescent="0.25">
      <c r="A31" s="22" t="b">
        <v>0</v>
      </c>
      <c r="B31" s="22" t="s">
        <v>1222</v>
      </c>
      <c r="C31" s="34">
        <v>45784</v>
      </c>
      <c r="D31" s="22" t="s">
        <v>3673</v>
      </c>
      <c r="E31" s="22">
        <v>-159</v>
      </c>
      <c r="F31" s="28">
        <v>-26.5</v>
      </c>
      <c r="G31" s="22" t="s">
        <v>489</v>
      </c>
      <c r="H31" s="22" t="s">
        <v>483</v>
      </c>
      <c r="I31" s="22"/>
      <c r="K31" s="22"/>
    </row>
    <row r="32" spans="1:11" x14ac:dyDescent="0.25">
      <c r="A32" s="22" t="b">
        <v>0</v>
      </c>
      <c r="B32" s="22" t="s">
        <v>2155</v>
      </c>
      <c r="C32" s="34">
        <v>45785</v>
      </c>
      <c r="D32" s="22" t="s">
        <v>3580</v>
      </c>
      <c r="E32" s="22">
        <v>-2000</v>
      </c>
      <c r="F32" s="28"/>
      <c r="H32" s="22" t="s">
        <v>489</v>
      </c>
      <c r="I32" s="22"/>
    </row>
    <row r="33" spans="1:11" x14ac:dyDescent="0.25">
      <c r="A33" s="22" t="b">
        <v>0</v>
      </c>
      <c r="B33" s="22" t="s">
        <v>2283</v>
      </c>
      <c r="C33" s="34">
        <v>45785</v>
      </c>
      <c r="D33" s="22" t="s">
        <v>3674</v>
      </c>
      <c r="E33" s="22">
        <v>-720</v>
      </c>
      <c r="F33" s="28">
        <v>-120</v>
      </c>
      <c r="G33" s="22" t="s">
        <v>489</v>
      </c>
      <c r="H33" s="22" t="s">
        <v>483</v>
      </c>
      <c r="I33" s="22"/>
      <c r="K33" s="22"/>
    </row>
    <row r="34" spans="1:11" x14ac:dyDescent="0.25">
      <c r="A34" s="22" t="b">
        <v>0</v>
      </c>
      <c r="B34" s="22" t="s">
        <v>1208</v>
      </c>
      <c r="C34" s="34">
        <v>45789</v>
      </c>
      <c r="D34" s="22" t="s">
        <v>3337</v>
      </c>
      <c r="E34" s="22">
        <v>-11.05</v>
      </c>
      <c r="F34" s="28">
        <v>-1.84</v>
      </c>
      <c r="G34" s="22" t="s">
        <v>489</v>
      </c>
      <c r="H34" s="22" t="s">
        <v>483</v>
      </c>
      <c r="I34" s="22"/>
      <c r="K34" s="22"/>
    </row>
    <row r="35" spans="1:11" x14ac:dyDescent="0.25">
      <c r="A35" s="22" t="b">
        <v>0</v>
      </c>
      <c r="B35" s="22" t="s">
        <v>1186</v>
      </c>
      <c r="C35" s="34">
        <v>45791</v>
      </c>
      <c r="D35" s="22" t="s">
        <v>3675</v>
      </c>
      <c r="E35" s="22">
        <v>-23.47</v>
      </c>
      <c r="F35" s="28">
        <v>-3.91</v>
      </c>
      <c r="G35" s="22" t="s">
        <v>489</v>
      </c>
      <c r="H35" s="22" t="s">
        <v>483</v>
      </c>
      <c r="I35" s="22"/>
      <c r="K35" s="22"/>
    </row>
    <row r="36" spans="1:11" x14ac:dyDescent="0.25">
      <c r="A36" s="22" t="b">
        <v>0</v>
      </c>
      <c r="B36" s="22" t="s">
        <v>1190</v>
      </c>
      <c r="C36" s="34">
        <v>45791</v>
      </c>
      <c r="D36" s="22" t="s">
        <v>3676</v>
      </c>
      <c r="E36" s="22">
        <v>-3.89</v>
      </c>
      <c r="F36" s="28"/>
      <c r="G36" s="22" t="s">
        <v>489</v>
      </c>
      <c r="H36" s="22" t="s">
        <v>483</v>
      </c>
      <c r="I36" s="22"/>
      <c r="K36" s="22"/>
    </row>
    <row r="37" spans="1:11" x14ac:dyDescent="0.25">
      <c r="A37" s="22" t="b">
        <v>0</v>
      </c>
      <c r="B37" s="22" t="s">
        <v>1184</v>
      </c>
      <c r="C37" s="34">
        <v>45792</v>
      </c>
      <c r="D37" s="22" t="s">
        <v>3337</v>
      </c>
      <c r="E37" s="22">
        <v>-23.94</v>
      </c>
      <c r="F37" s="28">
        <v>-3.99</v>
      </c>
      <c r="G37" s="22" t="s">
        <v>489</v>
      </c>
      <c r="H37" s="22" t="s">
        <v>483</v>
      </c>
      <c r="I37" s="22"/>
      <c r="K37" s="22"/>
    </row>
    <row r="38" spans="1:11" x14ac:dyDescent="0.25">
      <c r="A38" s="22" t="b">
        <v>0</v>
      </c>
      <c r="B38" s="22" t="s">
        <v>2282</v>
      </c>
      <c r="C38" s="34">
        <v>45792</v>
      </c>
      <c r="D38" s="22" t="s">
        <v>3677</v>
      </c>
      <c r="E38" s="22">
        <v>-1085</v>
      </c>
      <c r="F38" s="28">
        <v>-180.83</v>
      </c>
      <c r="G38" s="22" t="s">
        <v>489</v>
      </c>
      <c r="H38" s="22" t="s">
        <v>483</v>
      </c>
      <c r="I38" s="22"/>
      <c r="K38" s="22"/>
    </row>
    <row r="39" spans="1:11" x14ac:dyDescent="0.25">
      <c r="A39" s="22" t="b">
        <v>0</v>
      </c>
      <c r="B39" s="22" t="s">
        <v>1170</v>
      </c>
      <c r="C39" s="34">
        <v>45795</v>
      </c>
      <c r="D39" s="22" t="s">
        <v>3678</v>
      </c>
      <c r="E39" s="22">
        <v>-48</v>
      </c>
      <c r="F39" s="28">
        <v>-8</v>
      </c>
      <c r="G39" s="22" t="s">
        <v>489</v>
      </c>
      <c r="H39" s="22" t="s">
        <v>483</v>
      </c>
      <c r="I39" s="22"/>
      <c r="K39" s="22"/>
    </row>
    <row r="40" spans="1:11" x14ac:dyDescent="0.25">
      <c r="A40" s="22" t="b">
        <v>0</v>
      </c>
      <c r="B40" s="22" t="s">
        <v>2344</v>
      </c>
      <c r="C40" s="34">
        <v>45795</v>
      </c>
      <c r="D40" s="22" t="s">
        <v>3664</v>
      </c>
      <c r="E40" s="22">
        <v>-115.2</v>
      </c>
      <c r="F40" s="28">
        <v>-19.2</v>
      </c>
      <c r="G40" s="22" t="s">
        <v>489</v>
      </c>
      <c r="H40" s="22" t="s">
        <v>483</v>
      </c>
      <c r="I40" s="22"/>
      <c r="K40" s="22"/>
    </row>
    <row r="41" spans="1:11" x14ac:dyDescent="0.25">
      <c r="A41" s="22" t="b">
        <v>0</v>
      </c>
      <c r="B41" s="22" t="s">
        <v>1165</v>
      </c>
      <c r="C41" s="34">
        <v>45797</v>
      </c>
      <c r="D41" s="22" t="s">
        <v>3679</v>
      </c>
      <c r="E41" s="22">
        <v>-350.3</v>
      </c>
      <c r="F41" s="28">
        <v>-58.38</v>
      </c>
      <c r="G41" s="22" t="s">
        <v>489</v>
      </c>
      <c r="H41" s="22" t="s">
        <v>483</v>
      </c>
      <c r="I41" s="22"/>
      <c r="K41" s="22"/>
    </row>
    <row r="42" spans="1:11" x14ac:dyDescent="0.25">
      <c r="A42" s="22" t="b">
        <v>0</v>
      </c>
      <c r="B42" s="22" t="s">
        <v>1154</v>
      </c>
      <c r="C42" s="34">
        <v>45799</v>
      </c>
      <c r="D42" s="22" t="s">
        <v>3337</v>
      </c>
      <c r="E42" s="22">
        <v>-9.9600000000000009</v>
      </c>
      <c r="F42" s="28">
        <v>-1.66</v>
      </c>
      <c r="G42" s="22" t="s">
        <v>489</v>
      </c>
      <c r="H42" s="22" t="s">
        <v>483</v>
      </c>
      <c r="I42" s="22"/>
      <c r="K42" s="22"/>
    </row>
    <row r="43" spans="1:11" x14ac:dyDescent="0.25">
      <c r="A43" s="22" t="b">
        <v>0</v>
      </c>
      <c r="B43" s="22" t="s">
        <v>1132</v>
      </c>
      <c r="C43" s="34">
        <v>45801</v>
      </c>
      <c r="D43" s="22" t="s">
        <v>3574</v>
      </c>
      <c r="E43" s="22">
        <v>-71.8</v>
      </c>
      <c r="F43" s="28"/>
      <c r="G43" s="22" t="s">
        <v>489</v>
      </c>
      <c r="H43" s="22" t="s">
        <v>483</v>
      </c>
      <c r="I43" s="22"/>
      <c r="K43" s="22"/>
    </row>
    <row r="44" spans="1:11" x14ac:dyDescent="0.25">
      <c r="A44" s="22" t="b">
        <v>0</v>
      </c>
      <c r="B44" s="22" t="s">
        <v>1137</v>
      </c>
      <c r="D44" s="22" t="s">
        <v>2837</v>
      </c>
      <c r="E44" s="22">
        <v>350</v>
      </c>
      <c r="F44" s="28"/>
      <c r="G44" s="22" t="s">
        <v>482</v>
      </c>
      <c r="H44" s="22" t="s">
        <v>483</v>
      </c>
      <c r="I44" s="22"/>
    </row>
    <row r="45" spans="1:11" x14ac:dyDescent="0.25">
      <c r="A45" s="22" t="b">
        <v>0</v>
      </c>
      <c r="B45" s="22" t="s">
        <v>1127</v>
      </c>
      <c r="C45" s="34">
        <v>45802</v>
      </c>
      <c r="D45" s="22" t="s">
        <v>3680</v>
      </c>
      <c r="E45" s="22">
        <v>-21.99</v>
      </c>
      <c r="F45" s="28">
        <v>-3.66</v>
      </c>
      <c r="G45" s="22" t="s">
        <v>489</v>
      </c>
      <c r="H45" s="22" t="s">
        <v>483</v>
      </c>
      <c r="I45" s="22"/>
      <c r="K45" s="22"/>
    </row>
    <row r="46" spans="1:11" x14ac:dyDescent="0.25">
      <c r="A46" s="22" t="b">
        <v>0</v>
      </c>
      <c r="B46" s="22" t="s">
        <v>1938</v>
      </c>
      <c r="C46" s="34">
        <v>45804</v>
      </c>
      <c r="D46" s="22" t="s">
        <v>3681</v>
      </c>
      <c r="E46" s="22">
        <v>50</v>
      </c>
      <c r="F46" s="28"/>
      <c r="G46" s="22" t="s">
        <v>482</v>
      </c>
      <c r="H46" s="22" t="s">
        <v>483</v>
      </c>
      <c r="I46" s="22"/>
      <c r="K46" s="22"/>
    </row>
    <row r="47" spans="1:11" x14ac:dyDescent="0.25">
      <c r="A47" s="22" t="b">
        <v>0</v>
      </c>
      <c r="B47" s="22" t="s">
        <v>1113</v>
      </c>
      <c r="D47" s="22" t="s">
        <v>2837</v>
      </c>
      <c r="E47" s="22">
        <v>70</v>
      </c>
      <c r="F47" s="28"/>
      <c r="G47" s="22" t="s">
        <v>482</v>
      </c>
      <c r="H47" s="22" t="s">
        <v>483</v>
      </c>
      <c r="I47" s="22"/>
    </row>
    <row r="48" spans="1:11" x14ac:dyDescent="0.25">
      <c r="A48" s="22" t="b">
        <v>0</v>
      </c>
      <c r="B48" s="22" t="s">
        <v>1109</v>
      </c>
      <c r="C48" s="34">
        <v>45804</v>
      </c>
      <c r="D48" s="22" t="s">
        <v>3682</v>
      </c>
      <c r="E48" s="22">
        <v>715.2</v>
      </c>
      <c r="F48" s="28"/>
      <c r="G48" s="22" t="s">
        <v>482</v>
      </c>
      <c r="H48" s="22" t="s">
        <v>483</v>
      </c>
      <c r="I48" s="22"/>
    </row>
    <row r="49" spans="1:11" x14ac:dyDescent="0.25">
      <c r="A49" s="22" t="b">
        <v>0</v>
      </c>
      <c r="B49" s="22" t="s">
        <v>2116</v>
      </c>
      <c r="C49" s="34">
        <v>45804</v>
      </c>
      <c r="D49" s="22" t="s">
        <v>3683</v>
      </c>
      <c r="E49" s="22">
        <v>-715.2</v>
      </c>
      <c r="F49" s="28"/>
      <c r="G49" s="22" t="s">
        <v>489</v>
      </c>
      <c r="H49" s="22" t="s">
        <v>483</v>
      </c>
      <c r="I49" s="22"/>
      <c r="K49" s="22"/>
    </row>
    <row r="50" spans="1:11" x14ac:dyDescent="0.25">
      <c r="A50" s="22" t="b">
        <v>0</v>
      </c>
      <c r="B50" s="22" t="s">
        <v>1106</v>
      </c>
      <c r="C50" s="34">
        <v>45804</v>
      </c>
      <c r="D50" s="22" t="s">
        <v>3684</v>
      </c>
      <c r="E50" s="22">
        <v>-8.99</v>
      </c>
      <c r="F50" s="28">
        <v>-1.5</v>
      </c>
      <c r="G50" s="22" t="s">
        <v>489</v>
      </c>
      <c r="H50" s="22" t="s">
        <v>483</v>
      </c>
      <c r="I50" s="22"/>
      <c r="K50" s="22"/>
    </row>
    <row r="51" spans="1:11" x14ac:dyDescent="0.25">
      <c r="A51" s="22" t="b">
        <v>0</v>
      </c>
      <c r="B51" s="22" t="s">
        <v>1104</v>
      </c>
      <c r="D51" s="22" t="s">
        <v>2837</v>
      </c>
      <c r="E51" s="22">
        <v>265</v>
      </c>
      <c r="F51" s="28"/>
      <c r="G51" s="22" t="s">
        <v>482</v>
      </c>
      <c r="H51" s="22" t="s">
        <v>483</v>
      </c>
      <c r="I51" s="22"/>
    </row>
    <row r="52" spans="1:11" x14ac:dyDescent="0.25">
      <c r="A52" s="22" t="b">
        <v>0</v>
      </c>
      <c r="B52" s="22" t="s">
        <v>2107</v>
      </c>
      <c r="C52" s="34">
        <v>45807</v>
      </c>
      <c r="D52" s="22" t="s">
        <v>3685</v>
      </c>
      <c r="E52" s="22">
        <v>-700.2</v>
      </c>
      <c r="F52" s="28"/>
      <c r="G52" s="22" t="s">
        <v>489</v>
      </c>
      <c r="H52" s="22" t="s">
        <v>483</v>
      </c>
      <c r="I52" s="22"/>
      <c r="K52" s="22"/>
    </row>
    <row r="53" spans="1:11" x14ac:dyDescent="0.25">
      <c r="A53" s="22" t="b">
        <v>0</v>
      </c>
      <c r="B53" s="22" t="s">
        <v>2106</v>
      </c>
      <c r="C53" s="34">
        <v>45808</v>
      </c>
      <c r="D53" s="22" t="s">
        <v>3686</v>
      </c>
      <c r="E53" s="22">
        <v>-130.19999999999999</v>
      </c>
      <c r="F53" s="28"/>
      <c r="G53" s="22" t="s">
        <v>489</v>
      </c>
      <c r="H53" s="22" t="s">
        <v>483</v>
      </c>
      <c r="I53" s="22"/>
      <c r="K53" s="22"/>
    </row>
    <row r="54" spans="1:11" x14ac:dyDescent="0.25">
      <c r="A54" s="22" t="b">
        <v>0</v>
      </c>
      <c r="B54" s="22" t="s">
        <v>1078</v>
      </c>
      <c r="C54" s="34">
        <v>45809</v>
      </c>
      <c r="D54" s="22" t="s">
        <v>3574</v>
      </c>
      <c r="E54" s="22">
        <v>-68.8</v>
      </c>
      <c r="F54" s="28"/>
      <c r="G54" s="22" t="s">
        <v>489</v>
      </c>
      <c r="H54" s="22" t="s">
        <v>483</v>
      </c>
      <c r="I54" s="22"/>
      <c r="K54" s="22"/>
    </row>
    <row r="55" spans="1:11" x14ac:dyDescent="0.25">
      <c r="A55" s="22" t="b">
        <v>0</v>
      </c>
      <c r="B55" s="22" t="s">
        <v>2170</v>
      </c>
      <c r="C55" s="34">
        <v>45810</v>
      </c>
      <c r="D55" s="22" t="s">
        <v>3657</v>
      </c>
      <c r="E55" s="22">
        <v>-16.62</v>
      </c>
      <c r="F55" s="28"/>
      <c r="G55" s="22" t="s">
        <v>489</v>
      </c>
      <c r="H55" s="22" t="s">
        <v>483</v>
      </c>
      <c r="I55" s="22"/>
      <c r="K55" s="22"/>
    </row>
    <row r="56" spans="1:11" x14ac:dyDescent="0.25">
      <c r="A56" s="22" t="b">
        <v>0</v>
      </c>
      <c r="B56" s="22" t="s">
        <v>1048</v>
      </c>
      <c r="C56" s="34">
        <v>45812</v>
      </c>
      <c r="D56" s="22" t="s">
        <v>3687</v>
      </c>
      <c r="E56" s="22">
        <v>-72.36</v>
      </c>
      <c r="F56" s="28">
        <v>-12.06</v>
      </c>
      <c r="G56" s="22" t="s">
        <v>489</v>
      </c>
      <c r="H56" s="22" t="s">
        <v>483</v>
      </c>
      <c r="I56" s="22"/>
      <c r="K56" s="22"/>
    </row>
    <row r="57" spans="1:11" x14ac:dyDescent="0.25">
      <c r="A57" s="22" t="b">
        <v>0</v>
      </c>
      <c r="B57" s="22" t="s">
        <v>1036</v>
      </c>
      <c r="D57" s="22" t="s">
        <v>2837</v>
      </c>
      <c r="E57" s="22">
        <v>725</v>
      </c>
      <c r="F57" s="28"/>
      <c r="G57" s="22" t="s">
        <v>482</v>
      </c>
      <c r="H57" s="22" t="s">
        <v>483</v>
      </c>
      <c r="I57" s="22"/>
    </row>
    <row r="58" spans="1:11" x14ac:dyDescent="0.25">
      <c r="A58" s="22" t="b">
        <v>0</v>
      </c>
      <c r="B58" s="22" t="s">
        <v>1028</v>
      </c>
      <c r="C58" s="34">
        <v>45814</v>
      </c>
      <c r="D58" s="22" t="s">
        <v>3671</v>
      </c>
      <c r="E58" s="22">
        <v>-13.06</v>
      </c>
      <c r="F58" s="28">
        <v>-2.1800000000000002</v>
      </c>
      <c r="G58" s="22" t="s">
        <v>489</v>
      </c>
      <c r="H58" s="22" t="s">
        <v>483</v>
      </c>
      <c r="I58" s="22"/>
      <c r="K58" s="22"/>
    </row>
    <row r="59" spans="1:11" x14ac:dyDescent="0.25">
      <c r="A59" s="22" t="b">
        <v>0</v>
      </c>
      <c r="B59" s="22" t="s">
        <v>2101</v>
      </c>
      <c r="C59" s="34">
        <v>45814</v>
      </c>
      <c r="D59" s="22" t="s">
        <v>3688</v>
      </c>
      <c r="E59" s="22">
        <v>-490.2</v>
      </c>
      <c r="F59" s="28"/>
      <c r="G59" s="22" t="s">
        <v>489</v>
      </c>
      <c r="H59" s="22" t="s">
        <v>483</v>
      </c>
      <c r="I59" s="22"/>
      <c r="K59" s="22"/>
    </row>
    <row r="60" spans="1:11" x14ac:dyDescent="0.25">
      <c r="A60" s="22" t="b">
        <v>0</v>
      </c>
      <c r="B60" s="22" t="s">
        <v>1021</v>
      </c>
      <c r="C60" s="34">
        <v>45815</v>
      </c>
      <c r="D60" s="22" t="s">
        <v>3337</v>
      </c>
      <c r="E60" s="22">
        <v>-5</v>
      </c>
      <c r="F60" s="28">
        <v>-0.83</v>
      </c>
      <c r="G60" s="22" t="s">
        <v>489</v>
      </c>
      <c r="H60" s="22" t="s">
        <v>483</v>
      </c>
      <c r="I60" s="22"/>
      <c r="K60" s="22"/>
    </row>
    <row r="61" spans="1:11" x14ac:dyDescent="0.25">
      <c r="A61" s="22" t="b">
        <v>0</v>
      </c>
      <c r="B61" s="22" t="s">
        <v>1001</v>
      </c>
      <c r="D61" s="22" t="s">
        <v>2837</v>
      </c>
      <c r="E61" s="22">
        <v>160</v>
      </c>
      <c r="F61" s="28"/>
      <c r="G61" s="22" t="s">
        <v>482</v>
      </c>
      <c r="H61" s="22" t="s">
        <v>483</v>
      </c>
      <c r="I61" s="22"/>
    </row>
    <row r="62" spans="1:11" x14ac:dyDescent="0.25">
      <c r="A62" s="22" t="b">
        <v>0</v>
      </c>
      <c r="B62" s="22" t="s">
        <v>999</v>
      </c>
      <c r="C62" s="34">
        <v>45817</v>
      </c>
      <c r="D62" s="22" t="s">
        <v>3689</v>
      </c>
      <c r="E62" s="22">
        <v>100</v>
      </c>
      <c r="F62" s="28"/>
      <c r="G62" s="22" t="s">
        <v>482</v>
      </c>
      <c r="H62" s="22" t="s">
        <v>483</v>
      </c>
      <c r="I62" s="22"/>
    </row>
    <row r="63" spans="1:11" x14ac:dyDescent="0.25">
      <c r="A63" s="22" t="b">
        <v>0</v>
      </c>
      <c r="B63" s="22" t="s">
        <v>993</v>
      </c>
      <c r="C63" s="34">
        <v>45818</v>
      </c>
      <c r="D63" s="22" t="s">
        <v>3337</v>
      </c>
      <c r="E63" s="22">
        <v>-6.93</v>
      </c>
      <c r="F63" s="28">
        <v>-1.1499999999999999</v>
      </c>
      <c r="G63" s="22" t="s">
        <v>489</v>
      </c>
      <c r="H63" s="22" t="s">
        <v>483</v>
      </c>
      <c r="I63" s="22"/>
      <c r="K63" s="22"/>
    </row>
    <row r="64" spans="1:11" x14ac:dyDescent="0.25">
      <c r="A64" s="22" t="b">
        <v>0</v>
      </c>
      <c r="B64" s="22" t="s">
        <v>988</v>
      </c>
      <c r="C64" s="34">
        <v>45819</v>
      </c>
      <c r="D64" s="22" t="s">
        <v>3671</v>
      </c>
      <c r="E64" s="22">
        <v>-5.77</v>
      </c>
      <c r="F64" s="28">
        <v>-0.96</v>
      </c>
      <c r="G64" s="22" t="s">
        <v>489</v>
      </c>
      <c r="H64" s="22" t="s">
        <v>483</v>
      </c>
      <c r="I64" s="22"/>
      <c r="K64" s="22"/>
    </row>
    <row r="65" spans="1:11" x14ac:dyDescent="0.25">
      <c r="A65" s="22" t="b">
        <v>0</v>
      </c>
      <c r="B65" s="22" t="s">
        <v>981</v>
      </c>
      <c r="C65" s="34">
        <v>45819</v>
      </c>
      <c r="D65" s="22" t="s">
        <v>2791</v>
      </c>
      <c r="E65" s="22">
        <v>238</v>
      </c>
      <c r="F65" s="28"/>
      <c r="G65" s="22" t="s">
        <v>482</v>
      </c>
      <c r="H65" s="22" t="s">
        <v>483</v>
      </c>
      <c r="I65" s="22"/>
      <c r="K65" s="22"/>
    </row>
    <row r="66" spans="1:11" x14ac:dyDescent="0.25">
      <c r="A66" s="22" t="b">
        <v>0</v>
      </c>
      <c r="B66" s="22" t="s">
        <v>967</v>
      </c>
      <c r="C66" s="34">
        <v>45821</v>
      </c>
      <c r="D66" s="22" t="s">
        <v>2791</v>
      </c>
      <c r="E66" s="22">
        <v>1990</v>
      </c>
      <c r="F66" s="28"/>
      <c r="G66" s="22" t="s">
        <v>482</v>
      </c>
      <c r="H66" s="22" t="s">
        <v>483</v>
      </c>
      <c r="I66" s="22"/>
      <c r="K66" s="22"/>
    </row>
    <row r="67" spans="1:11" x14ac:dyDescent="0.25">
      <c r="A67" s="22" t="b">
        <v>0</v>
      </c>
      <c r="B67" s="22" t="s">
        <v>951</v>
      </c>
      <c r="C67" s="34">
        <v>45823</v>
      </c>
      <c r="D67" s="22" t="s">
        <v>3337</v>
      </c>
      <c r="E67" s="22">
        <v>-16.98</v>
      </c>
      <c r="F67" s="28">
        <v>-2.83</v>
      </c>
      <c r="G67" s="22" t="s">
        <v>489</v>
      </c>
      <c r="H67" s="22" t="s">
        <v>483</v>
      </c>
      <c r="I67" s="22"/>
      <c r="K67" s="22"/>
    </row>
    <row r="68" spans="1:11" x14ac:dyDescent="0.25">
      <c r="A68" s="22" t="b">
        <v>0</v>
      </c>
      <c r="B68" s="22" t="s">
        <v>952</v>
      </c>
      <c r="C68" s="34">
        <v>45823</v>
      </c>
      <c r="D68" s="22" t="s">
        <v>3337</v>
      </c>
      <c r="E68" s="22">
        <v>-1</v>
      </c>
      <c r="F68" s="28">
        <v>-0.17</v>
      </c>
      <c r="G68" s="22" t="s">
        <v>489</v>
      </c>
      <c r="H68" s="22" t="s">
        <v>483</v>
      </c>
      <c r="I68" s="22"/>
      <c r="K68" s="22"/>
    </row>
    <row r="69" spans="1:11" x14ac:dyDescent="0.25">
      <c r="A69" s="22" t="b">
        <v>0</v>
      </c>
      <c r="B69" s="22" t="s">
        <v>937</v>
      </c>
      <c r="C69" s="34">
        <v>45825</v>
      </c>
      <c r="D69" s="22" t="s">
        <v>3671</v>
      </c>
      <c r="E69" s="22">
        <v>-49.92</v>
      </c>
      <c r="F69" s="28">
        <v>-8.32</v>
      </c>
      <c r="G69" s="22" t="s">
        <v>489</v>
      </c>
      <c r="H69" s="22" t="s">
        <v>483</v>
      </c>
      <c r="I69" s="22"/>
      <c r="K69" s="22"/>
    </row>
    <row r="70" spans="1:11" x14ac:dyDescent="0.25">
      <c r="A70" s="22" t="b">
        <v>0</v>
      </c>
      <c r="B70" s="22" t="s">
        <v>939</v>
      </c>
      <c r="C70" s="34">
        <v>45825</v>
      </c>
      <c r="D70" s="22" t="s">
        <v>3399</v>
      </c>
      <c r="E70" s="22">
        <v>-1099.8</v>
      </c>
      <c r="F70" s="28"/>
      <c r="G70" s="22" t="s">
        <v>489</v>
      </c>
      <c r="H70" s="22" t="s">
        <v>483</v>
      </c>
      <c r="I70" s="22"/>
      <c r="K70" s="22"/>
    </row>
    <row r="71" spans="1:11" x14ac:dyDescent="0.25">
      <c r="A71" s="22" t="b">
        <v>0</v>
      </c>
      <c r="B71" s="22" t="s">
        <v>940</v>
      </c>
      <c r="C71" s="34">
        <v>45825</v>
      </c>
      <c r="D71" s="22" t="s">
        <v>3690</v>
      </c>
      <c r="E71" s="22">
        <v>-500</v>
      </c>
      <c r="F71" s="28"/>
      <c r="G71" s="22" t="s">
        <v>489</v>
      </c>
      <c r="H71" s="22" t="s">
        <v>483</v>
      </c>
      <c r="I71" s="22"/>
      <c r="K71" s="22"/>
    </row>
    <row r="72" spans="1:11" x14ac:dyDescent="0.25">
      <c r="A72" s="22" t="b">
        <v>0</v>
      </c>
      <c r="B72" s="22" t="s">
        <v>938</v>
      </c>
      <c r="C72" s="34">
        <v>45825</v>
      </c>
      <c r="D72" s="22" t="s">
        <v>3337</v>
      </c>
      <c r="E72" s="22">
        <v>-14.94</v>
      </c>
      <c r="F72" s="28">
        <v>-2.4900000000000002</v>
      </c>
      <c r="G72" s="22" t="s">
        <v>489</v>
      </c>
      <c r="H72" s="22" t="s">
        <v>483</v>
      </c>
      <c r="I72" s="22"/>
      <c r="K72" s="22"/>
    </row>
    <row r="73" spans="1:11" x14ac:dyDescent="0.25">
      <c r="A73" s="22" t="b">
        <v>0</v>
      </c>
      <c r="B73" s="22" t="s">
        <v>923</v>
      </c>
      <c r="C73" s="34">
        <v>45827</v>
      </c>
      <c r="D73" s="22" t="s">
        <v>3691</v>
      </c>
      <c r="E73" s="22">
        <v>-24.98</v>
      </c>
      <c r="F73" s="28">
        <v>-4.16</v>
      </c>
      <c r="G73" s="22" t="s">
        <v>489</v>
      </c>
      <c r="H73" s="22" t="s">
        <v>483</v>
      </c>
      <c r="I73" s="22"/>
      <c r="K73" s="22"/>
    </row>
    <row r="74" spans="1:11" x14ac:dyDescent="0.25">
      <c r="A74" s="22" t="b">
        <v>0</v>
      </c>
      <c r="B74" s="22" t="s">
        <v>926</v>
      </c>
      <c r="C74" s="34">
        <v>45826</v>
      </c>
      <c r="D74" s="22" t="s">
        <v>3692</v>
      </c>
      <c r="E74" s="22">
        <v>6300</v>
      </c>
      <c r="F74" s="28"/>
      <c r="G74" s="22" t="s">
        <v>482</v>
      </c>
      <c r="H74" s="22" t="s">
        <v>483</v>
      </c>
      <c r="I74" s="22"/>
      <c r="K74" s="22"/>
    </row>
    <row r="75" spans="1:11" x14ac:dyDescent="0.25">
      <c r="A75" s="22" t="b">
        <v>0</v>
      </c>
      <c r="B75" s="22" t="s">
        <v>2153</v>
      </c>
      <c r="C75" s="37">
        <v>45826</v>
      </c>
      <c r="D75" s="22" t="s">
        <v>3693</v>
      </c>
      <c r="E75" s="22">
        <v>-10498.53</v>
      </c>
      <c r="F75" s="28"/>
      <c r="G75" s="22" t="s">
        <v>489</v>
      </c>
      <c r="H75" s="22" t="s">
        <v>483</v>
      </c>
      <c r="I75" s="22"/>
      <c r="K75" s="22"/>
    </row>
    <row r="76" spans="1:11" x14ac:dyDescent="0.25">
      <c r="A76" s="22" t="b">
        <v>0</v>
      </c>
      <c r="B76" s="22" t="s">
        <v>921</v>
      </c>
      <c r="C76" s="34">
        <v>45828</v>
      </c>
      <c r="D76" s="22" t="s">
        <v>3337</v>
      </c>
      <c r="E76" s="22">
        <v>-17.91</v>
      </c>
      <c r="F76" s="28">
        <v>-2.98</v>
      </c>
      <c r="G76" s="22" t="s">
        <v>489</v>
      </c>
      <c r="H76" s="22" t="s">
        <v>483</v>
      </c>
      <c r="I76" s="22"/>
      <c r="K76" s="22"/>
    </row>
    <row r="77" spans="1:11" x14ac:dyDescent="0.25">
      <c r="A77" s="22" t="b">
        <v>0</v>
      </c>
      <c r="B77" s="22" t="s">
        <v>890</v>
      </c>
      <c r="C77" s="34">
        <v>45830</v>
      </c>
      <c r="D77" s="22" t="s">
        <v>3337</v>
      </c>
      <c r="E77" s="22">
        <v>-7.98</v>
      </c>
      <c r="F77" s="28">
        <v>-1.33</v>
      </c>
      <c r="G77" s="22" t="s">
        <v>489</v>
      </c>
      <c r="H77" s="22" t="s">
        <v>483</v>
      </c>
      <c r="I77" s="22"/>
      <c r="K77" s="22"/>
    </row>
    <row r="78" spans="1:11" x14ac:dyDescent="0.25">
      <c r="A78" s="22" t="b">
        <v>0</v>
      </c>
      <c r="B78" s="22" t="s">
        <v>1937</v>
      </c>
      <c r="C78" s="34">
        <v>45833</v>
      </c>
      <c r="D78" s="22" t="s">
        <v>3694</v>
      </c>
      <c r="E78" s="22">
        <v>29.74</v>
      </c>
      <c r="F78" s="28"/>
      <c r="G78" s="22" t="s">
        <v>482</v>
      </c>
      <c r="H78" s="22" t="s">
        <v>483</v>
      </c>
      <c r="I78" s="22"/>
      <c r="K78" s="22"/>
    </row>
    <row r="79" spans="1:11" x14ac:dyDescent="0.25">
      <c r="A79" s="22" t="b">
        <v>0</v>
      </c>
      <c r="B79" s="22" t="s">
        <v>866</v>
      </c>
      <c r="C79" s="34">
        <v>45833</v>
      </c>
      <c r="D79" s="22" t="s">
        <v>3289</v>
      </c>
      <c r="E79" s="22">
        <v>-4.3899999999999997</v>
      </c>
      <c r="F79" s="28"/>
      <c r="G79" s="22" t="s">
        <v>489</v>
      </c>
      <c r="H79" s="22" t="s">
        <v>483</v>
      </c>
      <c r="I79" s="22"/>
      <c r="K79" s="22"/>
    </row>
    <row r="80" spans="1:11" x14ac:dyDescent="0.25">
      <c r="A80" s="22" t="b">
        <v>0</v>
      </c>
      <c r="B80" s="22" t="s">
        <v>867</v>
      </c>
      <c r="C80" s="34">
        <v>45832</v>
      </c>
      <c r="D80" s="22" t="s">
        <v>3587</v>
      </c>
      <c r="E80" s="22">
        <v>-1600.2</v>
      </c>
      <c r="F80" s="28"/>
      <c r="G80" s="22" t="s">
        <v>489</v>
      </c>
      <c r="H80" s="22" t="s">
        <v>483</v>
      </c>
      <c r="I80" s="22"/>
      <c r="K80" s="22"/>
    </row>
    <row r="81" spans="1:11" x14ac:dyDescent="0.25">
      <c r="A81" s="22" t="b">
        <v>0</v>
      </c>
      <c r="B81" s="22" t="s">
        <v>863</v>
      </c>
      <c r="C81" s="34">
        <v>45833</v>
      </c>
      <c r="D81" s="22" t="s">
        <v>3695</v>
      </c>
      <c r="E81" s="22">
        <v>-15.2</v>
      </c>
      <c r="F81" s="28"/>
      <c r="G81" s="22" t="s">
        <v>489</v>
      </c>
      <c r="H81" s="22" t="s">
        <v>483</v>
      </c>
      <c r="I81" s="22"/>
      <c r="K81" s="22"/>
    </row>
    <row r="82" spans="1:11" x14ac:dyDescent="0.25">
      <c r="A82" s="22" t="b">
        <v>0</v>
      </c>
      <c r="B82" s="22" t="s">
        <v>1936</v>
      </c>
      <c r="C82" s="34">
        <v>45834</v>
      </c>
      <c r="D82" s="22" t="s">
        <v>3696</v>
      </c>
      <c r="E82" s="22">
        <v>131.49</v>
      </c>
      <c r="F82" s="28"/>
      <c r="G82" s="22" t="s">
        <v>482</v>
      </c>
      <c r="H82" s="22" t="s">
        <v>483</v>
      </c>
      <c r="I82" s="22"/>
      <c r="K82" s="22"/>
    </row>
    <row r="83" spans="1:11" x14ac:dyDescent="0.25">
      <c r="A83" s="22" t="b">
        <v>0</v>
      </c>
      <c r="B83" s="22" t="s">
        <v>832</v>
      </c>
      <c r="C83" s="34">
        <v>45836</v>
      </c>
      <c r="D83" s="22" t="s">
        <v>3697</v>
      </c>
      <c r="E83" s="22">
        <v>-60.91</v>
      </c>
      <c r="F83" s="28">
        <v>-10.15</v>
      </c>
      <c r="G83" s="22" t="s">
        <v>489</v>
      </c>
      <c r="H83" s="22" t="s">
        <v>483</v>
      </c>
      <c r="I83" s="22"/>
      <c r="K83" s="22"/>
    </row>
    <row r="84" spans="1:11" x14ac:dyDescent="0.25">
      <c r="A84" s="22" t="b">
        <v>0</v>
      </c>
      <c r="B84" s="22" t="s">
        <v>836</v>
      </c>
      <c r="C84" s="34">
        <v>45835</v>
      </c>
      <c r="D84" s="22" t="s">
        <v>3698</v>
      </c>
      <c r="E84" s="22">
        <v>-8.99</v>
      </c>
      <c r="F84" s="28">
        <v>-1.5</v>
      </c>
      <c r="G84" s="22" t="s">
        <v>489</v>
      </c>
      <c r="H84" s="22" t="s">
        <v>483</v>
      </c>
      <c r="I84" s="22"/>
      <c r="K84" s="22"/>
    </row>
    <row r="85" spans="1:11" x14ac:dyDescent="0.25">
      <c r="A85" s="22" t="b">
        <v>0</v>
      </c>
      <c r="B85" s="22" t="s">
        <v>835</v>
      </c>
      <c r="D85" s="22" t="s">
        <v>2837</v>
      </c>
      <c r="E85" s="22">
        <v>700</v>
      </c>
      <c r="F85" s="28"/>
      <c r="G85" s="22" t="s">
        <v>482</v>
      </c>
      <c r="H85" s="22" t="s">
        <v>483</v>
      </c>
      <c r="I85" s="22"/>
    </row>
    <row r="86" spans="1:11" x14ac:dyDescent="0.25">
      <c r="A86" s="22" t="b">
        <v>0</v>
      </c>
      <c r="B86" s="22" t="s">
        <v>822</v>
      </c>
      <c r="C86" s="34">
        <v>45837</v>
      </c>
      <c r="D86" s="22" t="s">
        <v>3692</v>
      </c>
      <c r="E86" s="22">
        <v>150</v>
      </c>
      <c r="F86" s="28"/>
      <c r="G86" s="22" t="s">
        <v>482</v>
      </c>
      <c r="H86" s="22" t="s">
        <v>483</v>
      </c>
      <c r="I86" s="22"/>
      <c r="K86" s="22"/>
    </row>
    <row r="87" spans="1:11" x14ac:dyDescent="0.25">
      <c r="A87" s="22" t="b">
        <v>0</v>
      </c>
      <c r="B87" s="22" t="s">
        <v>821</v>
      </c>
      <c r="C87" s="34">
        <v>45837</v>
      </c>
      <c r="D87" s="22" t="s">
        <v>3692</v>
      </c>
      <c r="E87" s="22">
        <v>150</v>
      </c>
      <c r="F87" s="28"/>
      <c r="G87" s="22" t="s">
        <v>482</v>
      </c>
      <c r="H87" s="22" t="s">
        <v>483</v>
      </c>
      <c r="I87" s="22"/>
      <c r="K87" s="22"/>
    </row>
    <row r="88" spans="1:11" x14ac:dyDescent="0.25">
      <c r="A88" s="22" t="b">
        <v>0</v>
      </c>
      <c r="B88" s="22" t="s">
        <v>810</v>
      </c>
      <c r="C88" s="34">
        <v>45838</v>
      </c>
      <c r="D88" s="22" t="s">
        <v>3699</v>
      </c>
      <c r="E88" s="22">
        <v>500</v>
      </c>
      <c r="F88" s="28"/>
      <c r="G88" s="22" t="s">
        <v>482</v>
      </c>
      <c r="H88" s="22" t="s">
        <v>483</v>
      </c>
      <c r="I88" s="22"/>
      <c r="K88" s="22"/>
    </row>
    <row r="89" spans="1:11" x14ac:dyDescent="0.25">
      <c r="A89" s="22" t="b">
        <v>0</v>
      </c>
      <c r="B89" s="22" t="s">
        <v>2169</v>
      </c>
      <c r="C89" s="34">
        <v>45839</v>
      </c>
      <c r="D89" s="22" t="s">
        <v>3657</v>
      </c>
      <c r="E89" s="22">
        <v>-16.62</v>
      </c>
      <c r="F89" s="28"/>
      <c r="G89" s="22" t="s">
        <v>489</v>
      </c>
      <c r="H89" s="22" t="s">
        <v>483</v>
      </c>
      <c r="I89" s="22"/>
      <c r="K89" s="22"/>
    </row>
    <row r="90" spans="1:11" x14ac:dyDescent="0.25">
      <c r="A90" s="22" t="b">
        <v>0</v>
      </c>
      <c r="B90" s="22" t="s">
        <v>799</v>
      </c>
      <c r="C90" s="34">
        <v>45839</v>
      </c>
      <c r="D90" s="22" t="s">
        <v>3700</v>
      </c>
      <c r="E90" s="22">
        <v>568</v>
      </c>
      <c r="F90" s="28"/>
      <c r="G90" s="22" t="s">
        <v>482</v>
      </c>
      <c r="H90" s="22" t="s">
        <v>483</v>
      </c>
      <c r="I90" s="22"/>
      <c r="K90" s="22"/>
    </row>
    <row r="91" spans="1:11" x14ac:dyDescent="0.25">
      <c r="A91" s="22" t="b">
        <v>0</v>
      </c>
      <c r="B91" s="22" t="s">
        <v>798</v>
      </c>
      <c r="C91" s="34">
        <v>45839</v>
      </c>
      <c r="D91" s="22" t="s">
        <v>3700</v>
      </c>
      <c r="E91" s="22">
        <v>1000</v>
      </c>
      <c r="F91" s="28"/>
      <c r="G91" s="22" t="s">
        <v>482</v>
      </c>
      <c r="H91" s="22" t="s">
        <v>483</v>
      </c>
      <c r="I91" s="22"/>
      <c r="K91" s="22"/>
    </row>
    <row r="92" spans="1:11" x14ac:dyDescent="0.25">
      <c r="A92" s="22" t="b">
        <v>0</v>
      </c>
      <c r="B92" s="22" t="s">
        <v>791</v>
      </c>
      <c r="C92" s="34">
        <v>45840</v>
      </c>
      <c r="D92" s="22" t="s">
        <v>3701</v>
      </c>
      <c r="E92" s="22">
        <v>-315.2</v>
      </c>
      <c r="F92" s="28"/>
      <c r="G92" s="22" t="s">
        <v>489</v>
      </c>
      <c r="H92" s="22" t="s">
        <v>483</v>
      </c>
      <c r="I92" s="22"/>
      <c r="K92" s="22"/>
    </row>
    <row r="93" spans="1:11" x14ac:dyDescent="0.25">
      <c r="A93" s="22" t="b">
        <v>0</v>
      </c>
      <c r="B93" s="22" t="s">
        <v>787</v>
      </c>
      <c r="C93" s="34">
        <v>45841</v>
      </c>
      <c r="D93" s="22" t="s">
        <v>3289</v>
      </c>
      <c r="E93" s="22">
        <v>-12.07</v>
      </c>
      <c r="F93" s="28"/>
      <c r="G93" s="22" t="s">
        <v>489</v>
      </c>
      <c r="H93" s="22" t="s">
        <v>483</v>
      </c>
      <c r="I93" s="22"/>
      <c r="K93" s="22"/>
    </row>
    <row r="94" spans="1:11" x14ac:dyDescent="0.25">
      <c r="A94" s="22" t="b">
        <v>0</v>
      </c>
      <c r="B94" s="22" t="s">
        <v>786</v>
      </c>
      <c r="C94" s="34">
        <v>45841</v>
      </c>
      <c r="D94" s="22" t="s">
        <v>3337</v>
      </c>
      <c r="E94" s="22">
        <v>-11.27</v>
      </c>
      <c r="F94" s="28">
        <v>-1.88</v>
      </c>
      <c r="G94" s="22" t="s">
        <v>489</v>
      </c>
      <c r="H94" s="22" t="s">
        <v>483</v>
      </c>
      <c r="I94" s="22"/>
      <c r="K94" s="22"/>
    </row>
    <row r="95" spans="1:11" x14ac:dyDescent="0.25">
      <c r="A95" s="22" t="b">
        <v>0</v>
      </c>
      <c r="B95" s="22" t="s">
        <v>789</v>
      </c>
      <c r="C95" s="34">
        <v>45840</v>
      </c>
      <c r="D95" s="22" t="s">
        <v>3702</v>
      </c>
      <c r="E95" s="22">
        <v>2200</v>
      </c>
      <c r="F95" s="28"/>
      <c r="G95" s="22" t="s">
        <v>482</v>
      </c>
      <c r="H95" s="22" t="s">
        <v>483</v>
      </c>
      <c r="I95" s="22"/>
      <c r="K95" s="22"/>
    </row>
    <row r="96" spans="1:11" x14ac:dyDescent="0.25">
      <c r="A96" s="22" t="b">
        <v>0</v>
      </c>
      <c r="B96" s="22" t="s">
        <v>1934</v>
      </c>
      <c r="C96" s="34">
        <v>45842</v>
      </c>
      <c r="D96" s="22" t="s">
        <v>3703</v>
      </c>
      <c r="E96" s="22">
        <v>24.98</v>
      </c>
      <c r="F96" s="28">
        <v>4.16</v>
      </c>
      <c r="G96" s="22" t="s">
        <v>482</v>
      </c>
      <c r="H96" s="22" t="s">
        <v>483</v>
      </c>
      <c r="I96" s="22"/>
      <c r="K96" s="22"/>
    </row>
    <row r="97" spans="1:11" x14ac:dyDescent="0.25">
      <c r="A97" s="22" t="b">
        <v>0</v>
      </c>
      <c r="B97" s="22" t="s">
        <v>773</v>
      </c>
      <c r="C97" s="34">
        <v>45842</v>
      </c>
      <c r="D97" s="22" t="s">
        <v>3574</v>
      </c>
      <c r="E97" s="22">
        <v>-185</v>
      </c>
      <c r="F97" s="28"/>
      <c r="G97" s="22" t="s">
        <v>489</v>
      </c>
      <c r="H97" s="22" t="s">
        <v>483</v>
      </c>
      <c r="I97" s="22"/>
      <c r="K97" s="22"/>
    </row>
    <row r="98" spans="1:11" x14ac:dyDescent="0.25">
      <c r="A98" s="22" t="b">
        <v>0</v>
      </c>
      <c r="B98" s="22" t="s">
        <v>774</v>
      </c>
      <c r="C98" s="34">
        <v>45842</v>
      </c>
      <c r="D98" s="22" t="s">
        <v>3682</v>
      </c>
      <c r="E98" s="22">
        <v>792</v>
      </c>
      <c r="F98" s="28"/>
      <c r="G98" s="22" t="s">
        <v>482</v>
      </c>
      <c r="H98" s="22" t="s">
        <v>483</v>
      </c>
      <c r="I98" s="22"/>
    </row>
    <row r="99" spans="1:11" x14ac:dyDescent="0.25">
      <c r="A99" s="22" t="b">
        <v>0</v>
      </c>
      <c r="B99" s="22" t="s">
        <v>755</v>
      </c>
      <c r="C99" s="34">
        <v>45843</v>
      </c>
      <c r="D99" s="22" t="s">
        <v>3704</v>
      </c>
      <c r="E99" s="22">
        <v>-78.540000000000006</v>
      </c>
      <c r="F99" s="28"/>
      <c r="G99" s="22" t="s">
        <v>489</v>
      </c>
      <c r="H99" s="22" t="s">
        <v>483</v>
      </c>
      <c r="I99" s="22"/>
      <c r="K99" s="22"/>
    </row>
    <row r="100" spans="1:11" x14ac:dyDescent="0.25">
      <c r="A100" s="22" t="b">
        <v>0</v>
      </c>
      <c r="B100" s="22" t="s">
        <v>765</v>
      </c>
      <c r="C100" s="34">
        <v>45842</v>
      </c>
      <c r="D100" s="22" t="s">
        <v>3705</v>
      </c>
      <c r="E100" s="22">
        <v>-2200.1999999999998</v>
      </c>
      <c r="F100" s="28"/>
      <c r="G100" s="22" t="s">
        <v>489</v>
      </c>
      <c r="H100" s="22" t="s">
        <v>483</v>
      </c>
      <c r="I100" s="22"/>
      <c r="K100" s="22"/>
    </row>
    <row r="101" spans="1:11" x14ac:dyDescent="0.25">
      <c r="A101" s="22" t="b">
        <v>0</v>
      </c>
      <c r="B101" s="22" t="s">
        <v>718</v>
      </c>
      <c r="C101" s="34">
        <v>45848</v>
      </c>
      <c r="D101" s="22" t="s">
        <v>3337</v>
      </c>
      <c r="E101" s="22">
        <v>-16.72</v>
      </c>
      <c r="F101" s="28">
        <v>-2.79</v>
      </c>
      <c r="G101" s="22" t="s">
        <v>489</v>
      </c>
      <c r="H101" s="22" t="s">
        <v>483</v>
      </c>
      <c r="I101" s="22"/>
      <c r="K101" s="22"/>
    </row>
    <row r="102" spans="1:11" x14ac:dyDescent="0.25">
      <c r="A102" s="22" t="b">
        <v>0</v>
      </c>
      <c r="B102" s="22" t="s">
        <v>2168</v>
      </c>
      <c r="C102" s="34">
        <v>45847</v>
      </c>
      <c r="D102" s="22" t="s">
        <v>3706</v>
      </c>
      <c r="E102" s="22">
        <v>-108.5</v>
      </c>
      <c r="F102" s="28"/>
      <c r="G102" s="22" t="s">
        <v>489</v>
      </c>
      <c r="H102" s="22" t="s">
        <v>483</v>
      </c>
      <c r="I102" s="22"/>
      <c r="K102" s="22"/>
    </row>
    <row r="103" spans="1:11" x14ac:dyDescent="0.25">
      <c r="A103" s="22" t="b">
        <v>0</v>
      </c>
      <c r="B103" s="22" t="s">
        <v>712</v>
      </c>
      <c r="C103" s="34">
        <v>45849</v>
      </c>
      <c r="D103" s="22" t="s">
        <v>3337</v>
      </c>
      <c r="E103" s="22">
        <v>-1</v>
      </c>
      <c r="F103" s="28">
        <v>-0.17</v>
      </c>
      <c r="G103" s="22" t="s">
        <v>489</v>
      </c>
      <c r="H103" s="22" t="s">
        <v>483</v>
      </c>
      <c r="I103" s="22"/>
      <c r="K103" s="22"/>
    </row>
    <row r="104" spans="1:11" x14ac:dyDescent="0.25">
      <c r="A104" s="22" t="b">
        <v>0</v>
      </c>
      <c r="B104" s="22" t="s">
        <v>706</v>
      </c>
      <c r="C104" s="34">
        <v>45850</v>
      </c>
      <c r="D104" s="22" t="s">
        <v>3707</v>
      </c>
      <c r="E104" s="22">
        <v>-37.01</v>
      </c>
      <c r="F104" s="28">
        <v>-6.17</v>
      </c>
      <c r="G104" s="22" t="s">
        <v>489</v>
      </c>
      <c r="H104" s="22" t="s">
        <v>483</v>
      </c>
      <c r="I104" s="22"/>
      <c r="K104" s="22"/>
    </row>
    <row r="105" spans="1:11" x14ac:dyDescent="0.25">
      <c r="A105" s="22" t="b">
        <v>0</v>
      </c>
      <c r="B105" s="22" t="s">
        <v>684</v>
      </c>
      <c r="C105" s="34">
        <v>45852</v>
      </c>
      <c r="D105" s="22" t="s">
        <v>3669</v>
      </c>
      <c r="E105" s="22">
        <v>-6.12</v>
      </c>
      <c r="F105" s="28">
        <v>-1.02</v>
      </c>
      <c r="G105" s="22" t="s">
        <v>489</v>
      </c>
      <c r="H105" s="22" t="s">
        <v>483</v>
      </c>
      <c r="I105" s="22"/>
      <c r="K105" s="22"/>
    </row>
    <row r="106" spans="1:11" x14ac:dyDescent="0.25">
      <c r="A106" s="22" t="b">
        <v>0</v>
      </c>
      <c r="B106" s="22" t="s">
        <v>1933</v>
      </c>
      <c r="C106" s="34">
        <v>45855</v>
      </c>
      <c r="D106" s="22" t="s">
        <v>3292</v>
      </c>
      <c r="E106" s="22">
        <v>11.99</v>
      </c>
      <c r="F106" s="28"/>
      <c r="G106" s="22" t="s">
        <v>482</v>
      </c>
      <c r="H106" s="22" t="s">
        <v>483</v>
      </c>
      <c r="I106" s="22"/>
      <c r="K106" s="22"/>
    </row>
    <row r="107" spans="1:11" x14ac:dyDescent="0.25">
      <c r="A107" s="22" t="b">
        <v>0</v>
      </c>
      <c r="B107" s="22" t="s">
        <v>657</v>
      </c>
      <c r="C107" s="34">
        <v>45855</v>
      </c>
      <c r="D107" s="22" t="s">
        <v>3708</v>
      </c>
      <c r="E107" s="22">
        <v>-19.989999999999998</v>
      </c>
      <c r="F107" s="28"/>
      <c r="G107" s="22" t="s">
        <v>489</v>
      </c>
      <c r="H107" s="22" t="s">
        <v>483</v>
      </c>
      <c r="I107" s="22"/>
      <c r="K107" s="22"/>
    </row>
    <row r="108" spans="1:11" x14ac:dyDescent="0.25">
      <c r="A108" s="22" t="b">
        <v>0</v>
      </c>
      <c r="B108" s="22" t="s">
        <v>1932</v>
      </c>
      <c r="C108" s="34">
        <v>45856</v>
      </c>
      <c r="D108" s="22" t="s">
        <v>3709</v>
      </c>
      <c r="E108" s="22">
        <v>18.52</v>
      </c>
      <c r="F108" s="28">
        <v>3.09</v>
      </c>
      <c r="G108" s="22" t="s">
        <v>482</v>
      </c>
      <c r="H108" s="22" t="s">
        <v>483</v>
      </c>
      <c r="I108" s="22"/>
      <c r="K108" s="22"/>
    </row>
    <row r="109" spans="1:11" x14ac:dyDescent="0.25">
      <c r="A109" s="22" t="b">
        <v>0</v>
      </c>
      <c r="B109" s="22" t="s">
        <v>634</v>
      </c>
      <c r="C109" s="34">
        <v>45857</v>
      </c>
      <c r="D109" s="22" t="s">
        <v>3337</v>
      </c>
      <c r="E109" s="22">
        <v>-4.83</v>
      </c>
      <c r="F109" s="28">
        <v>-0.8</v>
      </c>
      <c r="G109" s="22" t="s">
        <v>489</v>
      </c>
      <c r="H109" s="22" t="s">
        <v>483</v>
      </c>
      <c r="I109" s="22"/>
      <c r="K109" s="22"/>
    </row>
    <row r="110" spans="1:11" x14ac:dyDescent="0.25">
      <c r="A110" s="22" t="b">
        <v>0</v>
      </c>
      <c r="B110" s="22" t="s">
        <v>646</v>
      </c>
      <c r="C110" s="34">
        <v>45856</v>
      </c>
      <c r="D110" s="22" t="s">
        <v>3702</v>
      </c>
      <c r="E110" s="22">
        <v>800</v>
      </c>
      <c r="F110" s="28"/>
      <c r="G110" s="22" t="s">
        <v>482</v>
      </c>
      <c r="H110" s="22" t="s">
        <v>483</v>
      </c>
      <c r="I110" s="22"/>
      <c r="K110" s="22"/>
    </row>
    <row r="111" spans="1:11" x14ac:dyDescent="0.25">
      <c r="A111" s="22" t="b">
        <v>0</v>
      </c>
      <c r="B111" s="22" t="s">
        <v>623</v>
      </c>
      <c r="C111" s="34">
        <v>45858</v>
      </c>
      <c r="D111" s="22" t="s">
        <v>3337</v>
      </c>
      <c r="E111" s="22">
        <v>-19.29</v>
      </c>
      <c r="F111" s="28">
        <v>-3.21</v>
      </c>
      <c r="G111" s="22" t="s">
        <v>489</v>
      </c>
      <c r="H111" s="22" t="s">
        <v>483</v>
      </c>
      <c r="I111" s="22"/>
      <c r="K111" s="22"/>
    </row>
    <row r="112" spans="1:11" x14ac:dyDescent="0.25">
      <c r="A112" s="22" t="b">
        <v>0</v>
      </c>
      <c r="B112" s="22" t="s">
        <v>609</v>
      </c>
      <c r="C112" s="34">
        <v>45859</v>
      </c>
      <c r="D112" s="22" t="s">
        <v>3710</v>
      </c>
      <c r="E112" s="22">
        <v>-7.25</v>
      </c>
      <c r="F112" s="28"/>
      <c r="G112" s="22" t="s">
        <v>489</v>
      </c>
      <c r="H112" s="22" t="s">
        <v>483</v>
      </c>
      <c r="I112" s="22"/>
      <c r="K112" s="22"/>
    </row>
    <row r="113" spans="1:11" x14ac:dyDescent="0.25">
      <c r="A113" s="22" t="b">
        <v>0</v>
      </c>
      <c r="B113" s="22" t="s">
        <v>2151</v>
      </c>
      <c r="C113" s="34">
        <v>45862</v>
      </c>
      <c r="D113" s="22" t="s">
        <v>3711</v>
      </c>
      <c r="E113" s="22">
        <v>-2136.42</v>
      </c>
      <c r="F113" s="28"/>
      <c r="G113" s="22" t="s">
        <v>489</v>
      </c>
      <c r="H113" s="22" t="s">
        <v>483</v>
      </c>
      <c r="I113" s="22"/>
      <c r="K113" s="22"/>
    </row>
    <row r="114" spans="1:11" x14ac:dyDescent="0.25">
      <c r="A114" s="22" t="b">
        <v>0</v>
      </c>
      <c r="B114" s="22" t="s">
        <v>590</v>
      </c>
      <c r="C114" s="34">
        <v>45863</v>
      </c>
      <c r="D114" s="22" t="s">
        <v>3712</v>
      </c>
      <c r="E114" s="22">
        <v>-12.99</v>
      </c>
      <c r="F114" s="28">
        <v>-2.16</v>
      </c>
      <c r="G114" s="22" t="s">
        <v>489</v>
      </c>
      <c r="H114" s="22" t="s">
        <v>483</v>
      </c>
      <c r="I114" s="22"/>
      <c r="K114" s="22"/>
    </row>
    <row r="115" spans="1:11" x14ac:dyDescent="0.25">
      <c r="A115" s="22" t="b">
        <v>0</v>
      </c>
      <c r="B115" s="22" t="s">
        <v>588</v>
      </c>
      <c r="C115" s="34">
        <v>45863</v>
      </c>
      <c r="D115" s="22" t="s">
        <v>3713</v>
      </c>
      <c r="E115" s="22">
        <v>-10.119999999999999</v>
      </c>
      <c r="F115" s="28">
        <v>-1.69</v>
      </c>
      <c r="G115" s="22" t="s">
        <v>489</v>
      </c>
      <c r="H115" s="22" t="s">
        <v>483</v>
      </c>
      <c r="I115" s="22"/>
      <c r="K115" s="22"/>
    </row>
    <row r="116" spans="1:11" x14ac:dyDescent="0.25">
      <c r="A116" s="22" t="b">
        <v>0</v>
      </c>
      <c r="B116" s="22" t="s">
        <v>589</v>
      </c>
      <c r="C116" s="34">
        <v>45863</v>
      </c>
      <c r="D116" s="22" t="s">
        <v>3714</v>
      </c>
      <c r="E116" s="22">
        <v>-26.03</v>
      </c>
      <c r="F116" s="28">
        <v>-4.34</v>
      </c>
      <c r="G116" s="22" t="s">
        <v>489</v>
      </c>
      <c r="H116" s="22" t="s">
        <v>483</v>
      </c>
      <c r="I116" s="22"/>
      <c r="K116" s="22"/>
    </row>
    <row r="117" spans="1:11" x14ac:dyDescent="0.25">
      <c r="A117" s="22" t="b">
        <v>0</v>
      </c>
      <c r="B117" s="22" t="s">
        <v>580</v>
      </c>
      <c r="C117" s="34">
        <v>45866</v>
      </c>
      <c r="D117" s="22" t="s">
        <v>3337</v>
      </c>
      <c r="E117" s="22">
        <v>-5.27</v>
      </c>
      <c r="F117" s="28">
        <v>-0.88</v>
      </c>
      <c r="G117" s="22" t="s">
        <v>489</v>
      </c>
      <c r="H117" s="22" t="s">
        <v>483</v>
      </c>
      <c r="I117" s="22"/>
      <c r="K117" s="22"/>
    </row>
    <row r="118" spans="1:11" x14ac:dyDescent="0.25">
      <c r="A118" s="22" t="b">
        <v>0</v>
      </c>
      <c r="B118" s="22" t="s">
        <v>583</v>
      </c>
      <c r="C118" s="34">
        <v>45865</v>
      </c>
      <c r="D118" s="22" t="s">
        <v>3715</v>
      </c>
      <c r="E118" s="22">
        <v>-8.99</v>
      </c>
      <c r="F118" s="28">
        <v>-1.5</v>
      </c>
      <c r="G118" s="22" t="s">
        <v>489</v>
      </c>
      <c r="H118" s="22" t="s">
        <v>483</v>
      </c>
      <c r="I118" s="22"/>
      <c r="K118" s="22"/>
    </row>
    <row r="119" spans="1:11" x14ac:dyDescent="0.25">
      <c r="A119" s="22" t="b">
        <v>0</v>
      </c>
      <c r="B119" s="22" t="s">
        <v>570</v>
      </c>
      <c r="C119" s="34">
        <v>45866</v>
      </c>
      <c r="D119" s="22" t="s">
        <v>3678</v>
      </c>
      <c r="E119" s="22">
        <v>-29</v>
      </c>
      <c r="F119" s="28">
        <v>-4.83</v>
      </c>
      <c r="G119" s="22" t="s">
        <v>489</v>
      </c>
      <c r="H119" s="22" t="s">
        <v>483</v>
      </c>
      <c r="I119" s="22"/>
      <c r="K119" s="22"/>
    </row>
    <row r="120" spans="1:11" x14ac:dyDescent="0.25">
      <c r="A120" s="22" t="b">
        <v>0</v>
      </c>
      <c r="B120" s="22" t="s">
        <v>581</v>
      </c>
      <c r="C120" s="34">
        <v>45865</v>
      </c>
      <c r="D120" s="22" t="s">
        <v>3587</v>
      </c>
      <c r="E120" s="22">
        <v>-500.2</v>
      </c>
      <c r="F120" s="28"/>
      <c r="G120" s="22" t="s">
        <v>489</v>
      </c>
      <c r="H120" s="22" t="s">
        <v>483</v>
      </c>
      <c r="I120" s="22"/>
      <c r="K120" s="22"/>
    </row>
    <row r="121" spans="1:11" x14ac:dyDescent="0.25">
      <c r="A121" s="22" t="b">
        <v>0</v>
      </c>
      <c r="B121" s="22" t="s">
        <v>569</v>
      </c>
      <c r="C121" s="34">
        <v>45866</v>
      </c>
      <c r="D121" s="22" t="s">
        <v>3716</v>
      </c>
      <c r="E121" s="22">
        <v>500</v>
      </c>
      <c r="F121" s="28"/>
      <c r="G121" s="22" t="s">
        <v>482</v>
      </c>
      <c r="H121" s="22" t="s">
        <v>483</v>
      </c>
      <c r="I121" s="22"/>
      <c r="K121" s="22"/>
    </row>
    <row r="122" spans="1:11" x14ac:dyDescent="0.25">
      <c r="A122" s="22" t="b">
        <v>0</v>
      </c>
      <c r="B122" s="22" t="s">
        <v>2049</v>
      </c>
      <c r="C122" s="34">
        <v>45867</v>
      </c>
      <c r="D122" s="22" t="s">
        <v>3717</v>
      </c>
      <c r="E122" s="22">
        <v>-1808.2</v>
      </c>
      <c r="F122" s="28"/>
      <c r="G122" s="22" t="s">
        <v>489</v>
      </c>
      <c r="H122" s="22" t="s">
        <v>483</v>
      </c>
      <c r="I122" s="22"/>
      <c r="K122" s="22"/>
    </row>
    <row r="123" spans="1:11" x14ac:dyDescent="0.25">
      <c r="A123" s="22" t="b">
        <v>0</v>
      </c>
      <c r="B123" s="22" t="s">
        <v>544</v>
      </c>
      <c r="C123" s="34">
        <v>45870</v>
      </c>
      <c r="D123" s="22" t="s">
        <v>3337</v>
      </c>
      <c r="E123" s="22">
        <v>-16.73</v>
      </c>
      <c r="F123" s="28">
        <v>-2.79</v>
      </c>
      <c r="G123" s="22" t="s">
        <v>489</v>
      </c>
      <c r="H123" s="22" t="s">
        <v>483</v>
      </c>
      <c r="I123" s="22"/>
      <c r="K123" s="22"/>
    </row>
    <row r="124" spans="1:11" x14ac:dyDescent="0.25">
      <c r="A124" s="22" t="b">
        <v>0</v>
      </c>
      <c r="B124" s="22" t="s">
        <v>2167</v>
      </c>
      <c r="C124" s="34">
        <v>45870</v>
      </c>
      <c r="D124" s="22" t="s">
        <v>3657</v>
      </c>
      <c r="E124" s="22">
        <v>-16.62</v>
      </c>
      <c r="F124" s="28"/>
      <c r="G124" s="22" t="s">
        <v>489</v>
      </c>
      <c r="H124" s="22" t="s">
        <v>483</v>
      </c>
      <c r="I124" s="22"/>
      <c r="K124" s="22"/>
    </row>
    <row r="125" spans="1:11" x14ac:dyDescent="0.25">
      <c r="A125" s="22" t="b">
        <v>0</v>
      </c>
      <c r="B125" s="22" t="s">
        <v>2165</v>
      </c>
      <c r="C125" s="34">
        <v>45870</v>
      </c>
      <c r="D125" s="22" t="s">
        <v>3706</v>
      </c>
      <c r="E125" s="22">
        <v>-54.25</v>
      </c>
      <c r="F125" s="28"/>
      <c r="G125" s="22" t="s">
        <v>489</v>
      </c>
      <c r="H125" s="22" t="s">
        <v>483</v>
      </c>
      <c r="I125" s="22"/>
      <c r="K125" s="22"/>
    </row>
    <row r="126" spans="1:11" x14ac:dyDescent="0.25">
      <c r="A126" s="22" t="b">
        <v>0</v>
      </c>
      <c r="B126" s="22" t="s">
        <v>523</v>
      </c>
      <c r="C126" s="34">
        <v>45875</v>
      </c>
      <c r="D126" s="22" t="s">
        <v>2859</v>
      </c>
      <c r="E126" s="22">
        <v>105</v>
      </c>
      <c r="F126" s="28"/>
      <c r="G126" s="22" t="s">
        <v>482</v>
      </c>
      <c r="H126" s="22" t="s">
        <v>483</v>
      </c>
      <c r="I126" s="22"/>
    </row>
    <row r="127" spans="1:11" x14ac:dyDescent="0.25">
      <c r="A127" s="22" t="b">
        <v>0</v>
      </c>
      <c r="B127" s="22" t="s">
        <v>520</v>
      </c>
      <c r="C127" s="34">
        <v>45877</v>
      </c>
      <c r="D127" s="22" t="s">
        <v>3337</v>
      </c>
      <c r="E127" s="22">
        <v>-12.35</v>
      </c>
      <c r="F127" s="28">
        <v>-2.06</v>
      </c>
      <c r="G127" s="22" t="s">
        <v>489</v>
      </c>
      <c r="H127" s="22" t="s">
        <v>483</v>
      </c>
      <c r="I127" s="22"/>
      <c r="K127" s="22"/>
    </row>
    <row r="128" spans="1:11" x14ac:dyDescent="0.25">
      <c r="A128" s="22" t="b">
        <v>0</v>
      </c>
      <c r="B128" s="22" t="s">
        <v>509</v>
      </c>
      <c r="C128" s="34">
        <v>45879</v>
      </c>
      <c r="D128" s="22" t="s">
        <v>3425</v>
      </c>
      <c r="E128" s="22">
        <v>-442.63</v>
      </c>
      <c r="F128" s="28">
        <v>-73.77</v>
      </c>
      <c r="G128" s="22" t="s">
        <v>489</v>
      </c>
      <c r="H128" s="22" t="s">
        <v>483</v>
      </c>
      <c r="I128" s="22"/>
      <c r="K128" s="22"/>
    </row>
    <row r="129" spans="1:11" x14ac:dyDescent="0.25">
      <c r="A129" s="22" t="b">
        <v>0</v>
      </c>
      <c r="B129" s="22" t="s">
        <v>506</v>
      </c>
      <c r="C129" s="34">
        <v>45879</v>
      </c>
      <c r="D129" s="22" t="s">
        <v>3671</v>
      </c>
      <c r="E129" s="22">
        <v>-18.07</v>
      </c>
      <c r="F129" s="28">
        <v>-3.01</v>
      </c>
      <c r="G129" s="22" t="s">
        <v>489</v>
      </c>
      <c r="H129" s="22" t="s">
        <v>483</v>
      </c>
      <c r="I129" s="22"/>
      <c r="K129" s="22"/>
    </row>
    <row r="130" spans="1:11" x14ac:dyDescent="0.25">
      <c r="A130" s="22" t="b">
        <v>0</v>
      </c>
      <c r="B130" s="22" t="s">
        <v>2330</v>
      </c>
      <c r="C130" s="34">
        <v>45877</v>
      </c>
      <c r="D130" s="22" t="s">
        <v>3718</v>
      </c>
      <c r="E130" s="22">
        <v>-500</v>
      </c>
      <c r="F130" s="28"/>
      <c r="G130" s="22" t="s">
        <v>489</v>
      </c>
      <c r="H130" s="22" t="s">
        <v>483</v>
      </c>
      <c r="I130" s="22"/>
      <c r="K130" s="22"/>
    </row>
    <row r="131" spans="1:11" x14ac:dyDescent="0.25">
      <c r="A131" s="22" t="b">
        <v>0</v>
      </c>
      <c r="B131" s="22" t="s">
        <v>505</v>
      </c>
      <c r="C131" s="34">
        <v>45879</v>
      </c>
      <c r="D131" s="22" t="s">
        <v>3719</v>
      </c>
      <c r="E131" s="22">
        <v>-36.479999999999997</v>
      </c>
      <c r="F131" s="28"/>
      <c r="G131" s="22" t="s">
        <v>489</v>
      </c>
      <c r="H131" s="22" t="s">
        <v>483</v>
      </c>
      <c r="I131" s="22"/>
      <c r="K131" s="22"/>
    </row>
    <row r="132" spans="1:11" x14ac:dyDescent="0.25">
      <c r="A132" s="22" t="b">
        <v>0</v>
      </c>
      <c r="B132" s="22" t="s">
        <v>1930</v>
      </c>
      <c r="C132" s="34">
        <v>45880</v>
      </c>
      <c r="D132" s="22" t="s">
        <v>3720</v>
      </c>
      <c r="E132" s="22">
        <v>59.94</v>
      </c>
      <c r="F132" s="28"/>
      <c r="G132" s="22" t="s">
        <v>482</v>
      </c>
      <c r="H132" s="22" t="s">
        <v>483</v>
      </c>
      <c r="I132" s="22"/>
      <c r="K132" s="22"/>
    </row>
    <row r="133" spans="1:11" x14ac:dyDescent="0.25">
      <c r="A133" s="22" t="b">
        <v>0</v>
      </c>
      <c r="B133" s="22" t="s">
        <v>501</v>
      </c>
      <c r="C133" s="34">
        <v>45882</v>
      </c>
      <c r="D133" s="22" t="s">
        <v>3687</v>
      </c>
      <c r="E133" s="22">
        <v>-152.1</v>
      </c>
      <c r="F133" s="28">
        <v>-25.35</v>
      </c>
      <c r="G133" s="22" t="s">
        <v>489</v>
      </c>
      <c r="H133" s="22" t="s">
        <v>483</v>
      </c>
      <c r="I133" s="22"/>
      <c r="K133" s="22"/>
    </row>
    <row r="134" spans="1:11" x14ac:dyDescent="0.25">
      <c r="A134" s="22" t="b">
        <v>0</v>
      </c>
      <c r="B134" s="22" t="s">
        <v>497</v>
      </c>
      <c r="C134" s="34">
        <v>45883</v>
      </c>
      <c r="D134" s="22" t="s">
        <v>3721</v>
      </c>
      <c r="E134" s="22">
        <v>-26.01</v>
      </c>
      <c r="F134" s="28">
        <v>-4.34</v>
      </c>
      <c r="G134" s="22" t="s">
        <v>489</v>
      </c>
      <c r="H134" s="22" t="s">
        <v>483</v>
      </c>
      <c r="I134" s="22"/>
      <c r="K134" s="22"/>
    </row>
    <row r="135" spans="1:11" x14ac:dyDescent="0.25">
      <c r="A135" s="22" t="b">
        <v>0</v>
      </c>
      <c r="B135" s="22" t="s">
        <v>488</v>
      </c>
      <c r="C135" s="34">
        <v>45885</v>
      </c>
      <c r="D135" s="22" t="s">
        <v>3671</v>
      </c>
      <c r="E135" s="22">
        <v>-21.53</v>
      </c>
      <c r="F135" s="28">
        <v>-3.59</v>
      </c>
      <c r="G135" s="22" t="s">
        <v>489</v>
      </c>
      <c r="H135" s="22" t="s">
        <v>483</v>
      </c>
      <c r="I135" s="22"/>
      <c r="K135" s="22"/>
    </row>
    <row r="136" spans="1:11" x14ac:dyDescent="0.25">
      <c r="A136" s="22" t="b">
        <v>0</v>
      </c>
      <c r="B136" s="22" t="s">
        <v>1887</v>
      </c>
      <c r="C136" s="34">
        <v>45886</v>
      </c>
      <c r="D136" s="22" t="s">
        <v>3671</v>
      </c>
      <c r="E136" s="22">
        <v>-25.65</v>
      </c>
      <c r="F136" s="28">
        <v>-4.2699999999999996</v>
      </c>
      <c r="G136" s="22" t="s">
        <v>489</v>
      </c>
      <c r="H136" s="22" t="s">
        <v>483</v>
      </c>
      <c r="I136" s="22"/>
      <c r="K136" s="22"/>
    </row>
    <row r="137" spans="1:11" x14ac:dyDescent="0.25">
      <c r="A137" s="22" t="b">
        <v>0</v>
      </c>
      <c r="B137" s="22" t="s">
        <v>1884</v>
      </c>
      <c r="C137" s="34">
        <v>45887</v>
      </c>
      <c r="D137" s="22" t="s">
        <v>3671</v>
      </c>
      <c r="E137" s="22">
        <v>-25.04</v>
      </c>
      <c r="F137" s="28">
        <v>-4.17</v>
      </c>
      <c r="G137" s="22" t="s">
        <v>489</v>
      </c>
      <c r="H137" s="22" t="s">
        <v>483</v>
      </c>
      <c r="I137" s="22"/>
      <c r="K137" s="22"/>
    </row>
    <row r="138" spans="1:11" x14ac:dyDescent="0.25">
      <c r="A138" s="22" t="b">
        <v>0</v>
      </c>
      <c r="B138" s="22" t="s">
        <v>1880</v>
      </c>
      <c r="C138" s="34">
        <v>45887</v>
      </c>
      <c r="D138" s="22" t="s">
        <v>3721</v>
      </c>
      <c r="E138" s="22">
        <v>-42.17</v>
      </c>
      <c r="F138" s="28">
        <v>-7.03</v>
      </c>
      <c r="G138" s="22" t="s">
        <v>489</v>
      </c>
      <c r="H138" s="22" t="s">
        <v>483</v>
      </c>
      <c r="I138" s="22"/>
      <c r="K138" s="22"/>
    </row>
    <row r="139" spans="1:11" x14ac:dyDescent="0.25">
      <c r="A139" s="22" t="b">
        <v>0</v>
      </c>
      <c r="B139" s="22" t="s">
        <v>1886</v>
      </c>
      <c r="C139" s="34">
        <v>45886</v>
      </c>
      <c r="D139" s="22" t="s">
        <v>3587</v>
      </c>
      <c r="E139" s="22">
        <v>-1000.2</v>
      </c>
      <c r="F139" s="28"/>
      <c r="G139" s="22" t="s">
        <v>489</v>
      </c>
      <c r="H139" s="22" t="s">
        <v>483</v>
      </c>
      <c r="I139" s="22"/>
      <c r="K139" s="22"/>
    </row>
    <row r="140" spans="1:11" x14ac:dyDescent="0.25">
      <c r="A140" s="22" t="b">
        <v>0</v>
      </c>
      <c r="B140" s="22" t="s">
        <v>1875</v>
      </c>
      <c r="C140" s="34">
        <v>45887</v>
      </c>
      <c r="D140" s="22" t="s">
        <v>3722</v>
      </c>
      <c r="E140" s="22">
        <v>7200</v>
      </c>
      <c r="F140" s="28">
        <v>1200</v>
      </c>
      <c r="G140" s="22" t="s">
        <v>482</v>
      </c>
      <c r="H140" s="22" t="s">
        <v>483</v>
      </c>
      <c r="I140" s="22"/>
      <c r="K140" s="22"/>
    </row>
    <row r="141" spans="1:11" x14ac:dyDescent="0.25">
      <c r="A141" s="22" t="b">
        <v>0</v>
      </c>
      <c r="B141" s="22" t="s">
        <v>1868</v>
      </c>
      <c r="C141" s="34">
        <v>45889</v>
      </c>
      <c r="D141" s="22" t="s">
        <v>3723</v>
      </c>
      <c r="E141" s="22">
        <v>-45.98</v>
      </c>
      <c r="F141" s="28">
        <v>-7.66</v>
      </c>
      <c r="G141" s="22" t="s">
        <v>489</v>
      </c>
      <c r="H141" s="22" t="s">
        <v>483</v>
      </c>
      <c r="I141" s="22"/>
      <c r="K141" s="22"/>
    </row>
    <row r="142" spans="1:11" x14ac:dyDescent="0.25">
      <c r="A142" s="22" t="b">
        <v>0</v>
      </c>
      <c r="B142" s="22" t="s">
        <v>1864</v>
      </c>
      <c r="C142" s="34">
        <v>45889</v>
      </c>
      <c r="D142" s="22" t="s">
        <v>2791</v>
      </c>
      <c r="E142" s="22">
        <v>1000</v>
      </c>
      <c r="F142" s="28"/>
      <c r="G142" s="22" t="s">
        <v>482</v>
      </c>
      <c r="H142" s="22" t="s">
        <v>483</v>
      </c>
      <c r="I142" s="22"/>
      <c r="K142" s="22"/>
    </row>
    <row r="143" spans="1:11" x14ac:dyDescent="0.25">
      <c r="A143" s="22" t="b">
        <v>0</v>
      </c>
      <c r="B143" s="22" t="s">
        <v>2426</v>
      </c>
      <c r="C143" s="34">
        <v>45889</v>
      </c>
      <c r="D143" s="22" t="s">
        <v>3724</v>
      </c>
      <c r="E143" s="22">
        <v>-4060.2</v>
      </c>
      <c r="F143" s="28"/>
      <c r="G143" s="22" t="s">
        <v>489</v>
      </c>
      <c r="H143" s="22" t="s">
        <v>483</v>
      </c>
      <c r="I143" s="22"/>
      <c r="K143" s="22"/>
    </row>
    <row r="144" spans="1:11" x14ac:dyDescent="0.25">
      <c r="A144" s="22" t="b">
        <v>0</v>
      </c>
      <c r="B144" s="22" t="s">
        <v>1863</v>
      </c>
      <c r="C144" s="34">
        <v>45889</v>
      </c>
      <c r="D144" s="22" t="s">
        <v>2859</v>
      </c>
      <c r="E144" s="22">
        <v>120</v>
      </c>
      <c r="F144" s="28"/>
      <c r="G144" s="22" t="s">
        <v>482</v>
      </c>
      <c r="H144" s="22" t="s">
        <v>483</v>
      </c>
      <c r="I144" s="22"/>
    </row>
    <row r="145" spans="1:11" x14ac:dyDescent="0.25">
      <c r="A145" s="22" t="b">
        <v>0</v>
      </c>
      <c r="B145" s="22" t="s">
        <v>1855</v>
      </c>
      <c r="C145" s="34">
        <v>45890</v>
      </c>
      <c r="D145" s="22" t="s">
        <v>3721</v>
      </c>
      <c r="E145" s="22">
        <v>-25.18</v>
      </c>
      <c r="F145" s="28">
        <v>-4.2</v>
      </c>
      <c r="G145" s="22" t="s">
        <v>489</v>
      </c>
      <c r="H145" s="22" t="s">
        <v>483</v>
      </c>
      <c r="I145" s="22"/>
      <c r="K145" s="22"/>
    </row>
    <row r="146" spans="1:11" x14ac:dyDescent="0.25">
      <c r="A146" s="22" t="b">
        <v>0</v>
      </c>
      <c r="B146" s="22" t="s">
        <v>1850</v>
      </c>
      <c r="C146" s="34">
        <v>45893</v>
      </c>
      <c r="D146" s="22" t="s">
        <v>3671</v>
      </c>
      <c r="E146" s="22">
        <v>-26.12</v>
      </c>
      <c r="F146" s="28">
        <v>-4.3499999999999996</v>
      </c>
      <c r="G146" s="22" t="s">
        <v>489</v>
      </c>
      <c r="H146" s="22" t="s">
        <v>483</v>
      </c>
      <c r="I146" s="22"/>
      <c r="K146" s="22"/>
    </row>
    <row r="147" spans="1:11" x14ac:dyDescent="0.25">
      <c r="A147" s="22" t="b">
        <v>0</v>
      </c>
      <c r="B147" s="22" t="s">
        <v>1845</v>
      </c>
      <c r="C147" s="34">
        <v>45894</v>
      </c>
      <c r="D147" s="22" t="s">
        <v>3337</v>
      </c>
      <c r="E147" s="22">
        <v>-7.91</v>
      </c>
      <c r="F147" s="28">
        <v>-1.32</v>
      </c>
      <c r="G147" s="22" t="s">
        <v>489</v>
      </c>
      <c r="H147" s="22" t="s">
        <v>483</v>
      </c>
      <c r="I147" s="22"/>
      <c r="K147" s="22"/>
    </row>
    <row r="148" spans="1:11" x14ac:dyDescent="0.25">
      <c r="A148" s="22" t="b">
        <v>0</v>
      </c>
      <c r="B148" s="22" t="s">
        <v>1848</v>
      </c>
      <c r="C148" s="34">
        <v>45893</v>
      </c>
      <c r="D148" s="22" t="s">
        <v>3725</v>
      </c>
      <c r="E148" s="22">
        <v>-6.25</v>
      </c>
      <c r="F148" s="28">
        <v>-1.04</v>
      </c>
      <c r="G148" s="22" t="s">
        <v>489</v>
      </c>
      <c r="H148" s="22" t="s">
        <v>483</v>
      </c>
      <c r="I148" s="22"/>
      <c r="K148" s="22"/>
    </row>
    <row r="149" spans="1:11" x14ac:dyDescent="0.25">
      <c r="A149" s="22" t="b">
        <v>0</v>
      </c>
      <c r="B149" s="22" t="s">
        <v>1847</v>
      </c>
      <c r="C149" s="34">
        <v>45893</v>
      </c>
      <c r="D149" s="22" t="s">
        <v>3725</v>
      </c>
      <c r="E149" s="22">
        <v>-12.5</v>
      </c>
      <c r="F149" s="28">
        <v>-2.08</v>
      </c>
      <c r="G149" s="22" t="s">
        <v>489</v>
      </c>
      <c r="H149" s="22" t="s">
        <v>483</v>
      </c>
      <c r="I149" s="22"/>
      <c r="K149" s="22"/>
    </row>
    <row r="150" spans="1:11" x14ac:dyDescent="0.25">
      <c r="A150" s="22" t="b">
        <v>0</v>
      </c>
      <c r="B150" s="22" t="s">
        <v>1841</v>
      </c>
      <c r="C150" s="34">
        <v>45894</v>
      </c>
      <c r="D150" s="22" t="s">
        <v>3726</v>
      </c>
      <c r="E150" s="22">
        <v>-4</v>
      </c>
      <c r="F150" s="28"/>
      <c r="G150" s="22" t="s">
        <v>489</v>
      </c>
      <c r="H150" s="22" t="s">
        <v>483</v>
      </c>
      <c r="I150" s="22"/>
      <c r="K150" s="22"/>
    </row>
    <row r="151" spans="1:11" x14ac:dyDescent="0.25">
      <c r="A151" s="22" t="b">
        <v>0</v>
      </c>
      <c r="B151" s="22" t="s">
        <v>1844</v>
      </c>
      <c r="C151" s="34">
        <v>45894</v>
      </c>
      <c r="D151" s="22" t="s">
        <v>3337</v>
      </c>
      <c r="E151" s="22">
        <v>-9.7200000000000006</v>
      </c>
      <c r="F151" s="28">
        <v>-1.62</v>
      </c>
      <c r="G151" s="22" t="s">
        <v>489</v>
      </c>
      <c r="H151" s="22" t="s">
        <v>483</v>
      </c>
      <c r="I151" s="22"/>
      <c r="K151" s="22"/>
    </row>
    <row r="152" spans="1:11" x14ac:dyDescent="0.25">
      <c r="A152" s="22" t="b">
        <v>0</v>
      </c>
      <c r="B152" s="22" t="s">
        <v>1840</v>
      </c>
      <c r="C152" s="34">
        <v>45894</v>
      </c>
      <c r="D152" s="22" t="s">
        <v>3727</v>
      </c>
      <c r="E152" s="22">
        <v>7980</v>
      </c>
      <c r="F152" s="28">
        <v>1330</v>
      </c>
      <c r="G152" s="22" t="s">
        <v>482</v>
      </c>
      <c r="H152" s="22" t="s">
        <v>483</v>
      </c>
      <c r="I152" s="22"/>
      <c r="K152" s="22"/>
    </row>
    <row r="153" spans="1:11" x14ac:dyDescent="0.25">
      <c r="A153" s="22" t="b">
        <v>0</v>
      </c>
      <c r="B153" s="22" t="s">
        <v>2425</v>
      </c>
      <c r="C153" s="34">
        <v>45894</v>
      </c>
      <c r="D153" s="22" t="s">
        <v>3724</v>
      </c>
      <c r="E153" s="22">
        <v>-3920.2</v>
      </c>
      <c r="F153" s="28"/>
      <c r="G153" s="22" t="s">
        <v>489</v>
      </c>
      <c r="H153" s="22" t="s">
        <v>483</v>
      </c>
      <c r="I153" s="22"/>
      <c r="K153" s="22"/>
    </row>
    <row r="154" spans="1:11" x14ac:dyDescent="0.25">
      <c r="A154" s="22" t="b">
        <v>0</v>
      </c>
      <c r="B154" s="22" t="s">
        <v>2164</v>
      </c>
      <c r="C154" s="34">
        <v>45895</v>
      </c>
      <c r="D154" s="22" t="s">
        <v>3711</v>
      </c>
      <c r="E154" s="22">
        <v>-1841.42</v>
      </c>
      <c r="F154" s="28"/>
      <c r="G154" s="22" t="s">
        <v>489</v>
      </c>
      <c r="H154" s="22" t="s">
        <v>483</v>
      </c>
      <c r="I154" s="22"/>
      <c r="K154" s="22"/>
    </row>
    <row r="155" spans="1:11" x14ac:dyDescent="0.25">
      <c r="A155" s="22" t="b">
        <v>0</v>
      </c>
      <c r="B155" s="22" t="s">
        <v>1823</v>
      </c>
      <c r="C155" s="34">
        <v>45897</v>
      </c>
      <c r="D155" s="22" t="s">
        <v>3679</v>
      </c>
      <c r="E155" s="22">
        <v>-382.26</v>
      </c>
      <c r="F155" s="28">
        <v>-63.71</v>
      </c>
      <c r="G155" s="22" t="s">
        <v>489</v>
      </c>
      <c r="H155" s="22" t="s">
        <v>483</v>
      </c>
      <c r="I155" s="22"/>
      <c r="K155" s="22"/>
    </row>
    <row r="156" spans="1:11" x14ac:dyDescent="0.25">
      <c r="A156" s="22" t="b">
        <v>0</v>
      </c>
      <c r="B156" s="22" t="s">
        <v>1827</v>
      </c>
      <c r="C156" s="34">
        <v>45897</v>
      </c>
      <c r="D156" s="22" t="s">
        <v>3337</v>
      </c>
      <c r="E156" s="22">
        <v>-19.899999999999999</v>
      </c>
      <c r="F156" s="28">
        <v>-3.32</v>
      </c>
      <c r="G156" s="22" t="s">
        <v>489</v>
      </c>
      <c r="H156" s="22" t="s">
        <v>483</v>
      </c>
      <c r="I156" s="22"/>
      <c r="K156" s="22"/>
    </row>
    <row r="157" spans="1:11" x14ac:dyDescent="0.25">
      <c r="A157" s="22" t="b">
        <v>0</v>
      </c>
      <c r="B157" s="22" t="s">
        <v>1808</v>
      </c>
      <c r="C157" s="34">
        <v>45900</v>
      </c>
      <c r="D157" s="22" t="s">
        <v>3728</v>
      </c>
      <c r="E157" s="22">
        <v>-25.98</v>
      </c>
      <c r="F157" s="28"/>
      <c r="G157" s="22" t="s">
        <v>489</v>
      </c>
      <c r="H157" s="22" t="s">
        <v>483</v>
      </c>
      <c r="I157" s="22"/>
      <c r="K157" s="22"/>
    </row>
    <row r="158" spans="1:11" x14ac:dyDescent="0.25">
      <c r="A158" s="22" t="b">
        <v>0</v>
      </c>
      <c r="B158" s="22" t="s">
        <v>2184</v>
      </c>
      <c r="C158" s="34">
        <v>45901</v>
      </c>
      <c r="D158" s="22" t="s">
        <v>3657</v>
      </c>
      <c r="E158" s="22">
        <v>-16.62</v>
      </c>
      <c r="F158" s="28"/>
      <c r="G158" s="22" t="s">
        <v>489</v>
      </c>
      <c r="H158" s="22" t="s">
        <v>483</v>
      </c>
      <c r="I158" s="22"/>
      <c r="K158" s="22"/>
    </row>
    <row r="159" spans="1:11" x14ac:dyDescent="0.25">
      <c r="A159" s="22" t="b">
        <v>0</v>
      </c>
      <c r="B159" s="22" t="s">
        <v>2182</v>
      </c>
      <c r="C159" s="34">
        <v>45901</v>
      </c>
      <c r="D159" s="22" t="s">
        <v>3706</v>
      </c>
      <c r="E159" s="22">
        <v>-54.25</v>
      </c>
      <c r="F159" s="28"/>
      <c r="G159" s="22" t="s">
        <v>489</v>
      </c>
      <c r="H159" s="22" t="s">
        <v>483</v>
      </c>
      <c r="I159" s="22"/>
      <c r="K159" s="22"/>
    </row>
    <row r="160" spans="1:11" x14ac:dyDescent="0.25">
      <c r="A160" s="22" t="b">
        <v>0</v>
      </c>
      <c r="B160" s="22" t="s">
        <v>1761</v>
      </c>
      <c r="C160" s="34">
        <v>45909</v>
      </c>
      <c r="D160" s="22" t="s">
        <v>3337</v>
      </c>
      <c r="E160" s="22">
        <v>-12.96</v>
      </c>
      <c r="F160" s="28">
        <v>-2.16</v>
      </c>
      <c r="G160" s="22" t="s">
        <v>489</v>
      </c>
      <c r="H160" s="22" t="s">
        <v>483</v>
      </c>
      <c r="I160" s="22"/>
      <c r="K160" s="22"/>
    </row>
    <row r="161" spans="1:11" x14ac:dyDescent="0.25">
      <c r="A161" s="22" t="b">
        <v>0</v>
      </c>
      <c r="B161" s="22" t="s">
        <v>1763</v>
      </c>
      <c r="C161" s="34">
        <v>45908</v>
      </c>
      <c r="D161" s="22" t="s">
        <v>3729</v>
      </c>
      <c r="E161" s="22">
        <v>10260</v>
      </c>
      <c r="F161" s="28">
        <v>1710</v>
      </c>
      <c r="G161" s="22" t="s">
        <v>482</v>
      </c>
      <c r="H161" s="22" t="s">
        <v>483</v>
      </c>
      <c r="I161" s="22"/>
      <c r="K161" s="22"/>
    </row>
    <row r="162" spans="1:11" x14ac:dyDescent="0.25">
      <c r="A162" s="22" t="b">
        <v>0</v>
      </c>
      <c r="B162" s="22" t="s">
        <v>1753</v>
      </c>
      <c r="C162" s="34">
        <v>45910</v>
      </c>
      <c r="D162" s="22" t="s">
        <v>3494</v>
      </c>
      <c r="E162" s="22">
        <v>-15.44</v>
      </c>
      <c r="F162" s="28">
        <v>-2.57</v>
      </c>
      <c r="G162" s="22" t="s">
        <v>489</v>
      </c>
      <c r="H162" s="22" t="s">
        <v>483</v>
      </c>
      <c r="I162" s="22"/>
      <c r="K162" s="22"/>
    </row>
    <row r="163" spans="1:11" x14ac:dyDescent="0.25">
      <c r="A163" s="22" t="b">
        <v>0</v>
      </c>
      <c r="B163" s="22" t="s">
        <v>1742</v>
      </c>
      <c r="C163" s="34">
        <v>45912</v>
      </c>
      <c r="D163" s="22" t="s">
        <v>3730</v>
      </c>
      <c r="E163" s="22">
        <v>-29.03</v>
      </c>
      <c r="F163" s="28">
        <v>-4.84</v>
      </c>
      <c r="G163" s="22" t="s">
        <v>489</v>
      </c>
      <c r="H163" s="22" t="s">
        <v>483</v>
      </c>
      <c r="I163" s="22"/>
      <c r="K163" s="22"/>
    </row>
    <row r="164" spans="1:11" x14ac:dyDescent="0.25">
      <c r="A164" s="22" t="b">
        <v>0</v>
      </c>
      <c r="B164" s="22" t="s">
        <v>1750</v>
      </c>
      <c r="C164" s="34">
        <v>45911</v>
      </c>
      <c r="D164" s="22" t="s">
        <v>3731</v>
      </c>
      <c r="E164" s="22">
        <v>-14.99</v>
      </c>
      <c r="F164" s="28"/>
      <c r="G164" s="22" t="s">
        <v>489</v>
      </c>
      <c r="H164" s="22" t="s">
        <v>483</v>
      </c>
      <c r="I164" s="22"/>
      <c r="K164" s="22"/>
    </row>
    <row r="165" spans="1:11" x14ac:dyDescent="0.25">
      <c r="A165" s="22" t="b">
        <v>0</v>
      </c>
      <c r="B165" s="22" t="s">
        <v>2287</v>
      </c>
      <c r="C165" s="34">
        <v>45912</v>
      </c>
      <c r="D165" s="22" t="s">
        <v>3495</v>
      </c>
      <c r="E165" s="22">
        <v>-374.2</v>
      </c>
      <c r="F165" s="28">
        <v>-62.37</v>
      </c>
      <c r="G165" s="22" t="s">
        <v>489</v>
      </c>
      <c r="H165" s="22" t="s">
        <v>483</v>
      </c>
      <c r="I165" s="22"/>
      <c r="K165" s="22"/>
    </row>
    <row r="166" spans="1:11" x14ac:dyDescent="0.25">
      <c r="A166" s="22" t="b">
        <v>0</v>
      </c>
      <c r="B166" s="22" t="s">
        <v>1730</v>
      </c>
      <c r="C166" s="34">
        <v>45914</v>
      </c>
      <c r="D166" s="22" t="s">
        <v>3337</v>
      </c>
      <c r="E166" s="22">
        <v>-11.03</v>
      </c>
      <c r="F166" s="28">
        <v>-1.84</v>
      </c>
      <c r="G166" s="22" t="s">
        <v>489</v>
      </c>
      <c r="H166" s="22" t="s">
        <v>483</v>
      </c>
      <c r="I166" s="22"/>
      <c r="K166" s="22"/>
    </row>
    <row r="167" spans="1:11" x14ac:dyDescent="0.25">
      <c r="A167" s="22" t="b">
        <v>0</v>
      </c>
      <c r="B167" s="22" t="s">
        <v>1728</v>
      </c>
      <c r="C167" s="34">
        <v>45914</v>
      </c>
      <c r="D167" s="22" t="s">
        <v>3337</v>
      </c>
      <c r="E167" s="22">
        <v>-6.48</v>
      </c>
      <c r="F167" s="28">
        <v>-1.08</v>
      </c>
      <c r="G167" s="22" t="s">
        <v>489</v>
      </c>
      <c r="H167" s="22" t="s">
        <v>483</v>
      </c>
      <c r="I167" s="22"/>
      <c r="K167" s="22"/>
    </row>
    <row r="168" spans="1:11" x14ac:dyDescent="0.25">
      <c r="A168" s="22" t="b">
        <v>0</v>
      </c>
      <c r="B168" s="22" t="s">
        <v>1731</v>
      </c>
      <c r="C168" s="34">
        <v>45914</v>
      </c>
      <c r="D168" s="22" t="s">
        <v>3289</v>
      </c>
      <c r="E168" s="22">
        <v>-7.38</v>
      </c>
      <c r="F168" s="28"/>
      <c r="G168" s="22" t="s">
        <v>489</v>
      </c>
      <c r="H168" s="22" t="s">
        <v>483</v>
      </c>
      <c r="I168" s="22"/>
      <c r="K168" s="22"/>
    </row>
    <row r="169" spans="1:11" x14ac:dyDescent="0.25">
      <c r="A169" s="22" t="b">
        <v>0</v>
      </c>
      <c r="B169" s="22" t="s">
        <v>1716</v>
      </c>
      <c r="C169" s="34">
        <v>45915</v>
      </c>
      <c r="D169" s="22" t="s">
        <v>3730</v>
      </c>
      <c r="E169" s="22">
        <v>-18.7</v>
      </c>
      <c r="F169" s="28">
        <v>-3.12</v>
      </c>
      <c r="G169" s="22" t="s">
        <v>489</v>
      </c>
      <c r="H169" s="22" t="s">
        <v>483</v>
      </c>
      <c r="I169" s="22"/>
      <c r="K169" s="22"/>
    </row>
    <row r="170" spans="1:11" x14ac:dyDescent="0.25">
      <c r="A170" s="22" t="b">
        <v>0</v>
      </c>
      <c r="B170" s="22" t="s">
        <v>1710</v>
      </c>
      <c r="C170" s="34">
        <v>45915</v>
      </c>
      <c r="D170" s="22" t="s">
        <v>3732</v>
      </c>
      <c r="E170" s="22">
        <v>-10.99</v>
      </c>
      <c r="F170" s="28">
        <v>-1.83</v>
      </c>
      <c r="G170" s="22" t="s">
        <v>489</v>
      </c>
      <c r="H170" s="22" t="s">
        <v>483</v>
      </c>
      <c r="I170" s="22"/>
      <c r="K170" s="22"/>
    </row>
    <row r="171" spans="1:11" x14ac:dyDescent="0.25">
      <c r="A171" s="22" t="b">
        <v>0</v>
      </c>
      <c r="B171" s="22" t="s">
        <v>1703</v>
      </c>
      <c r="C171" s="34">
        <v>45916</v>
      </c>
      <c r="D171" s="22" t="s">
        <v>3733</v>
      </c>
      <c r="E171" s="22">
        <v>1740</v>
      </c>
      <c r="F171" s="28"/>
      <c r="G171" s="22" t="s">
        <v>482</v>
      </c>
      <c r="H171" s="22" t="s">
        <v>483</v>
      </c>
      <c r="I171" s="22"/>
      <c r="K171" s="22"/>
    </row>
    <row r="172" spans="1:11" x14ac:dyDescent="0.25">
      <c r="A172" s="22" t="b">
        <v>0</v>
      </c>
      <c r="B172" s="22" t="s">
        <v>1682</v>
      </c>
      <c r="C172" s="34">
        <v>45920</v>
      </c>
      <c r="D172" s="22" t="s">
        <v>3734</v>
      </c>
      <c r="E172" s="22">
        <v>-5.37</v>
      </c>
      <c r="F172" s="28">
        <v>-0.89</v>
      </c>
      <c r="G172" s="22" t="s">
        <v>489</v>
      </c>
      <c r="H172" s="22" t="s">
        <v>483</v>
      </c>
      <c r="I172" s="22"/>
      <c r="K172" s="22"/>
    </row>
    <row r="173" spans="1:11" x14ac:dyDescent="0.25">
      <c r="A173" s="22" t="b">
        <v>0</v>
      </c>
      <c r="B173" s="22" t="s">
        <v>2162</v>
      </c>
      <c r="C173" s="34">
        <v>45924</v>
      </c>
      <c r="D173" s="22" t="s">
        <v>3735</v>
      </c>
      <c r="E173" s="22">
        <v>-1841.42</v>
      </c>
      <c r="F173" s="28"/>
      <c r="G173" s="22" t="s">
        <v>489</v>
      </c>
      <c r="H173" s="22" t="s">
        <v>483</v>
      </c>
      <c r="I173" s="22"/>
      <c r="K173" s="22"/>
    </row>
    <row r="174" spans="1:11" x14ac:dyDescent="0.25">
      <c r="A174" s="22" t="b">
        <v>0</v>
      </c>
      <c r="B174" s="22" t="s">
        <v>1656</v>
      </c>
      <c r="C174" s="34">
        <v>45925</v>
      </c>
      <c r="D174" s="22" t="s">
        <v>3736</v>
      </c>
      <c r="E174" s="22">
        <v>-7.5</v>
      </c>
      <c r="F174" s="28"/>
      <c r="G174" s="22" t="s">
        <v>489</v>
      </c>
      <c r="H174" s="22" t="s">
        <v>483</v>
      </c>
      <c r="I174" s="22"/>
      <c r="K174" s="22"/>
    </row>
    <row r="175" spans="1:11" x14ac:dyDescent="0.25">
      <c r="A175" s="22" t="b">
        <v>0</v>
      </c>
      <c r="B175" s="22" t="s">
        <v>1665</v>
      </c>
      <c r="C175" s="34">
        <v>45924</v>
      </c>
      <c r="D175" s="22" t="s">
        <v>3737</v>
      </c>
      <c r="E175" s="22">
        <v>1165</v>
      </c>
      <c r="F175" s="28"/>
      <c r="G175" s="22" t="s">
        <v>482</v>
      </c>
      <c r="H175" s="22" t="s">
        <v>483</v>
      </c>
      <c r="I175" s="22"/>
      <c r="K175" s="22"/>
    </row>
    <row r="176" spans="1:11" x14ac:dyDescent="0.25">
      <c r="A176" s="22" t="b">
        <v>0</v>
      </c>
      <c r="B176" s="22" t="s">
        <v>2181</v>
      </c>
      <c r="C176" s="34">
        <v>45931</v>
      </c>
      <c r="D176" s="22" t="s">
        <v>3738</v>
      </c>
      <c r="E176" s="22">
        <v>-16.62</v>
      </c>
      <c r="F176" s="28"/>
      <c r="G176" s="22" t="s">
        <v>489</v>
      </c>
      <c r="H176" s="22" t="s">
        <v>483</v>
      </c>
      <c r="I176" s="22"/>
      <c r="K176" s="22"/>
    </row>
    <row r="177" spans="1:11" x14ac:dyDescent="0.25">
      <c r="A177" s="22" t="b">
        <v>0</v>
      </c>
      <c r="B177" s="22" t="s">
        <v>2180</v>
      </c>
      <c r="C177" s="34">
        <v>45931</v>
      </c>
      <c r="D177" s="22" t="s">
        <v>3567</v>
      </c>
      <c r="E177" s="22">
        <v>-54.25</v>
      </c>
      <c r="F177" s="28"/>
      <c r="G177" s="22" t="s">
        <v>489</v>
      </c>
      <c r="H177" s="22" t="s">
        <v>483</v>
      </c>
      <c r="I177" s="22"/>
      <c r="K177" s="22"/>
    </row>
    <row r="178" spans="1:11" x14ac:dyDescent="0.25">
      <c r="A178" s="22" t="b">
        <v>0</v>
      </c>
      <c r="B178" s="22" t="s">
        <v>1606</v>
      </c>
      <c r="C178" s="34">
        <v>45933</v>
      </c>
      <c r="D178" s="36" t="s">
        <v>3497</v>
      </c>
      <c r="E178" s="22">
        <v>-1199</v>
      </c>
      <c r="F178" s="22">
        <v>-199.83</v>
      </c>
      <c r="G178" s="22" t="s">
        <v>489</v>
      </c>
      <c r="H178" s="22"/>
    </row>
    <row r="179" spans="1:11" x14ac:dyDescent="0.25">
      <c r="A179" s="22" t="b">
        <v>0</v>
      </c>
      <c r="B179" s="22" t="s">
        <v>1605</v>
      </c>
      <c r="C179" s="34">
        <v>45933</v>
      </c>
      <c r="D179" s="22" t="s">
        <v>3587</v>
      </c>
      <c r="E179" s="22">
        <v>-1700.2</v>
      </c>
      <c r="F179" s="28"/>
      <c r="G179" s="22" t="s">
        <v>489</v>
      </c>
      <c r="H179" s="22" t="s">
        <v>483</v>
      </c>
      <c r="I179" s="22"/>
      <c r="K179" s="22"/>
    </row>
    <row r="180" spans="1:11" x14ac:dyDescent="0.25">
      <c r="A180" s="22" t="b">
        <v>0</v>
      </c>
      <c r="B180" s="22" t="s">
        <v>1943</v>
      </c>
      <c r="C180" s="34">
        <v>45935</v>
      </c>
      <c r="D180" s="22" t="s">
        <v>3739</v>
      </c>
      <c r="E180" s="22">
        <v>1399</v>
      </c>
      <c r="F180" s="28"/>
      <c r="G180" s="22" t="s">
        <v>482</v>
      </c>
      <c r="H180" s="22" t="s">
        <v>483</v>
      </c>
      <c r="I180" s="22"/>
      <c r="K180" s="22"/>
    </row>
    <row r="181" spans="1:11" x14ac:dyDescent="0.25">
      <c r="A181" s="22" t="b">
        <v>0</v>
      </c>
      <c r="B181" s="22" t="s">
        <v>1597</v>
      </c>
      <c r="C181" s="34">
        <v>45935</v>
      </c>
      <c r="D181" s="22" t="s">
        <v>3740</v>
      </c>
      <c r="E181" s="22">
        <v>-169</v>
      </c>
      <c r="F181" s="28">
        <v>-28.17</v>
      </c>
      <c r="G181" s="22" t="s">
        <v>489</v>
      </c>
      <c r="H181" s="22" t="s">
        <v>483</v>
      </c>
      <c r="I181" s="22"/>
      <c r="K181" s="22"/>
    </row>
    <row r="182" spans="1:11" x14ac:dyDescent="0.25">
      <c r="A182" s="22" t="b">
        <v>0</v>
      </c>
      <c r="B182" s="22" t="s">
        <v>1596</v>
      </c>
      <c r="C182" s="34">
        <v>45935</v>
      </c>
      <c r="D182" s="22" t="s">
        <v>3740</v>
      </c>
      <c r="E182" s="22">
        <v>-322.2</v>
      </c>
      <c r="F182" s="28">
        <v>-53.7</v>
      </c>
      <c r="G182" s="22" t="s">
        <v>489</v>
      </c>
      <c r="H182" s="22" t="s">
        <v>483</v>
      </c>
      <c r="I182" s="22"/>
      <c r="K182" s="22"/>
    </row>
    <row r="183" spans="1:11" x14ac:dyDescent="0.25">
      <c r="A183" s="22" t="b">
        <v>0</v>
      </c>
      <c r="B183" s="22" t="s">
        <v>1585</v>
      </c>
      <c r="C183" s="34">
        <v>45936</v>
      </c>
      <c r="D183" s="22" t="s">
        <v>3337</v>
      </c>
      <c r="E183" s="22">
        <v>-7.06</v>
      </c>
      <c r="F183" s="28">
        <v>-1.18</v>
      </c>
      <c r="G183" s="22" t="s">
        <v>489</v>
      </c>
      <c r="H183" s="22" t="s">
        <v>483</v>
      </c>
      <c r="I183" s="22"/>
      <c r="K183" s="22"/>
    </row>
    <row r="184" spans="1:11" x14ac:dyDescent="0.25">
      <c r="A184" s="22" t="b">
        <v>0</v>
      </c>
      <c r="B184" s="22" t="s">
        <v>1584</v>
      </c>
      <c r="C184" s="34">
        <v>45936</v>
      </c>
      <c r="D184" s="22" t="s">
        <v>3337</v>
      </c>
      <c r="E184" s="22">
        <v>-21.08</v>
      </c>
      <c r="F184" s="28">
        <v>-3.51</v>
      </c>
      <c r="G184" s="22" t="s">
        <v>489</v>
      </c>
      <c r="H184" s="22" t="s">
        <v>483</v>
      </c>
      <c r="I184" s="22"/>
      <c r="K184" s="22"/>
    </row>
    <row r="185" spans="1:11" x14ac:dyDescent="0.25">
      <c r="A185" s="22" t="b">
        <v>0</v>
      </c>
      <c r="B185" s="22" t="s">
        <v>1914</v>
      </c>
      <c r="C185" s="34">
        <v>45943</v>
      </c>
      <c r="D185" s="22" t="s">
        <v>2927</v>
      </c>
      <c r="E185" s="22">
        <v>399</v>
      </c>
      <c r="F185" s="28"/>
      <c r="G185" s="22" t="s">
        <v>482</v>
      </c>
      <c r="H185" s="22" t="s">
        <v>483</v>
      </c>
      <c r="I185" s="22"/>
    </row>
    <row r="186" spans="1:11" x14ac:dyDescent="0.25">
      <c r="A186" s="22" t="b">
        <v>0</v>
      </c>
      <c r="B186" s="22" t="s">
        <v>2365</v>
      </c>
      <c r="C186" s="34">
        <v>45944</v>
      </c>
      <c r="D186" s="22" t="s">
        <v>3741</v>
      </c>
      <c r="E186" s="22">
        <v>-1450</v>
      </c>
      <c r="F186" s="28"/>
      <c r="G186" s="22" t="s">
        <v>489</v>
      </c>
      <c r="H186" s="22" t="s">
        <v>483</v>
      </c>
      <c r="I186" s="22"/>
      <c r="K186" s="22"/>
    </row>
    <row r="187" spans="1:11" x14ac:dyDescent="0.25">
      <c r="A187" s="22" t="b">
        <v>0</v>
      </c>
      <c r="B187" s="22" t="s">
        <v>1551</v>
      </c>
      <c r="C187" s="34">
        <v>45954</v>
      </c>
      <c r="D187" s="22" t="s">
        <v>3587</v>
      </c>
      <c r="E187" s="22">
        <v>-2500.1999999999998</v>
      </c>
      <c r="F187" s="28"/>
      <c r="G187" s="22" t="s">
        <v>489</v>
      </c>
      <c r="H187" s="22" t="s">
        <v>483</v>
      </c>
      <c r="I187" s="22"/>
      <c r="K187" s="22"/>
    </row>
    <row r="188" spans="1:11" x14ac:dyDescent="0.25">
      <c r="A188" s="22" t="b">
        <v>0</v>
      </c>
      <c r="B188" s="22" t="s">
        <v>2160</v>
      </c>
      <c r="C188" s="34">
        <v>45954</v>
      </c>
      <c r="D188" s="22" t="s">
        <v>3735</v>
      </c>
      <c r="E188" s="22">
        <v>-1841.42</v>
      </c>
      <c r="F188" s="28"/>
      <c r="G188" s="22" t="s">
        <v>489</v>
      </c>
      <c r="H188" s="22" t="s">
        <v>483</v>
      </c>
      <c r="I188" s="22"/>
      <c r="K188" s="22"/>
    </row>
    <row r="189" spans="1:11" x14ac:dyDescent="0.25">
      <c r="A189" s="22" t="b">
        <v>0</v>
      </c>
      <c r="B189" s="22" t="s">
        <v>1545</v>
      </c>
      <c r="C189" s="34">
        <v>45955</v>
      </c>
      <c r="D189" s="22" t="s">
        <v>3687</v>
      </c>
      <c r="E189" s="22">
        <v>-21.96</v>
      </c>
      <c r="F189" s="28">
        <v>-3.66</v>
      </c>
      <c r="G189" s="22" t="s">
        <v>489</v>
      </c>
      <c r="H189" s="22" t="s">
        <v>483</v>
      </c>
      <c r="I189" s="22"/>
      <c r="K189" s="22"/>
    </row>
    <row r="190" spans="1:11" x14ac:dyDescent="0.25">
      <c r="A190" s="22" t="b">
        <v>0</v>
      </c>
      <c r="B190" s="22" t="s">
        <v>1546</v>
      </c>
      <c r="C190" s="34">
        <v>45955</v>
      </c>
      <c r="D190" s="22" t="s">
        <v>3337</v>
      </c>
      <c r="E190" s="22">
        <v>-10.65</v>
      </c>
      <c r="F190" s="28">
        <v>-1.77</v>
      </c>
      <c r="G190" s="22" t="s">
        <v>489</v>
      </c>
      <c r="H190" s="22" t="s">
        <v>483</v>
      </c>
      <c r="I190" s="22"/>
      <c r="K190" s="22"/>
    </row>
    <row r="191" spans="1:11" x14ac:dyDescent="0.25">
      <c r="A191" s="22" t="b">
        <v>0</v>
      </c>
      <c r="B191" s="22" t="s">
        <v>1544</v>
      </c>
      <c r="C191" s="34">
        <v>45955</v>
      </c>
      <c r="D191" s="22" t="s">
        <v>3705</v>
      </c>
      <c r="E191" s="22">
        <v>-200.2</v>
      </c>
      <c r="F191" s="28"/>
      <c r="G191" s="22" t="s">
        <v>489</v>
      </c>
      <c r="H191" s="22" t="s">
        <v>483</v>
      </c>
      <c r="I191" s="22"/>
      <c r="K191" s="22"/>
    </row>
    <row r="192" spans="1:11" x14ac:dyDescent="0.25">
      <c r="A192" s="22" t="b">
        <v>0</v>
      </c>
      <c r="B192" s="22" t="s">
        <v>1541</v>
      </c>
      <c r="C192" s="34">
        <v>45957</v>
      </c>
      <c r="D192" s="22" t="s">
        <v>3337</v>
      </c>
      <c r="E192" s="22">
        <v>-33.700000000000003</v>
      </c>
      <c r="F192" s="28">
        <v>-5.62</v>
      </c>
      <c r="G192" s="22" t="s">
        <v>489</v>
      </c>
      <c r="H192" s="22" t="s">
        <v>483</v>
      </c>
      <c r="I192" s="22"/>
      <c r="K192" s="22"/>
    </row>
    <row r="193" spans="1:11" x14ac:dyDescent="0.25">
      <c r="A193" s="22" t="b">
        <v>0</v>
      </c>
      <c r="B193" s="22" t="s">
        <v>1536</v>
      </c>
      <c r="C193" s="34">
        <v>45958</v>
      </c>
      <c r="D193" s="22" t="s">
        <v>3587</v>
      </c>
      <c r="E193" s="22">
        <v>-1500.2</v>
      </c>
      <c r="F193" s="28"/>
      <c r="G193" s="22" t="s">
        <v>489</v>
      </c>
      <c r="H193" s="22" t="s">
        <v>483</v>
      </c>
      <c r="I193" s="22"/>
      <c r="K193" s="22"/>
    </row>
    <row r="194" spans="1:11" x14ac:dyDescent="0.25">
      <c r="A194" s="22" t="b">
        <v>0</v>
      </c>
      <c r="B194" s="22" t="s">
        <v>1535</v>
      </c>
      <c r="C194" s="34">
        <v>45960</v>
      </c>
      <c r="D194" s="22" t="s">
        <v>3337</v>
      </c>
      <c r="E194" s="22">
        <v>-6.42</v>
      </c>
      <c r="F194" s="28">
        <v>-1.07</v>
      </c>
      <c r="G194" s="22" t="s">
        <v>489</v>
      </c>
      <c r="H194" s="22" t="s">
        <v>483</v>
      </c>
      <c r="I194" s="22"/>
      <c r="K194" s="22"/>
    </row>
    <row r="195" spans="1:11" x14ac:dyDescent="0.25">
      <c r="A195" s="22" t="b">
        <v>0</v>
      </c>
      <c r="B195" s="22" t="s">
        <v>1529</v>
      </c>
      <c r="C195" s="34">
        <v>45961</v>
      </c>
      <c r="D195" s="22" t="s">
        <v>3337</v>
      </c>
      <c r="E195" s="22">
        <v>-8.4700000000000006</v>
      </c>
      <c r="F195" s="28">
        <v>-1.41</v>
      </c>
      <c r="G195" s="22" t="s">
        <v>489</v>
      </c>
      <c r="H195" s="22" t="s">
        <v>483</v>
      </c>
      <c r="I195" s="22"/>
      <c r="K195" s="22"/>
    </row>
    <row r="196" spans="1:11" x14ac:dyDescent="0.25">
      <c r="A196" s="22" t="b">
        <v>0</v>
      </c>
      <c r="B196" s="22" t="s">
        <v>2177</v>
      </c>
      <c r="C196" s="34">
        <v>45964</v>
      </c>
      <c r="D196" s="22" t="s">
        <v>3567</v>
      </c>
      <c r="E196" s="22">
        <v>-54.25</v>
      </c>
      <c r="F196" s="28"/>
      <c r="G196" s="22" t="s">
        <v>489</v>
      </c>
      <c r="H196" s="22" t="s">
        <v>483</v>
      </c>
      <c r="I196" s="22"/>
      <c r="K196" s="22"/>
    </row>
    <row r="197" spans="1:11" x14ac:dyDescent="0.25">
      <c r="A197" s="22" t="b">
        <v>0</v>
      </c>
      <c r="B197" s="22" t="s">
        <v>2176</v>
      </c>
      <c r="C197" s="34">
        <v>45964</v>
      </c>
      <c r="D197" s="22" t="s">
        <v>3738</v>
      </c>
      <c r="E197" s="22">
        <v>-16.62</v>
      </c>
      <c r="F197" s="28"/>
      <c r="G197" s="22" t="s">
        <v>489</v>
      </c>
      <c r="H197" s="22" t="s">
        <v>483</v>
      </c>
      <c r="I197" s="22"/>
      <c r="K197" s="22"/>
    </row>
    <row r="198" spans="1:11" x14ac:dyDescent="0.25">
      <c r="A198" s="22" t="b">
        <v>0</v>
      </c>
      <c r="B198" s="22" t="s">
        <v>1511</v>
      </c>
      <c r="C198" s="34">
        <v>45966</v>
      </c>
      <c r="D198" s="22" t="s">
        <v>3337</v>
      </c>
      <c r="E198" s="22">
        <v>-1</v>
      </c>
      <c r="F198" s="28">
        <v>-0.17</v>
      </c>
      <c r="G198" s="22" t="s">
        <v>489</v>
      </c>
      <c r="H198" s="22" t="s">
        <v>483</v>
      </c>
      <c r="I198" s="22"/>
      <c r="K198" s="22"/>
    </row>
    <row r="199" spans="1:11" x14ac:dyDescent="0.25">
      <c r="A199" s="22" t="b">
        <v>0</v>
      </c>
      <c r="B199" s="22" t="s">
        <v>1510</v>
      </c>
      <c r="C199" s="34">
        <v>45966</v>
      </c>
      <c r="D199" s="22" t="s">
        <v>3337</v>
      </c>
      <c r="E199" s="22">
        <v>-9.94</v>
      </c>
      <c r="F199" s="28">
        <v>-1.66</v>
      </c>
      <c r="G199" s="22" t="s">
        <v>489</v>
      </c>
      <c r="H199" s="22" t="s">
        <v>483</v>
      </c>
      <c r="I199" s="22"/>
      <c r="K199" s="22"/>
    </row>
    <row r="200" spans="1:11" x14ac:dyDescent="0.25">
      <c r="A200" s="22" t="b">
        <v>0</v>
      </c>
      <c r="B200" s="22" t="s">
        <v>1509</v>
      </c>
      <c r="C200" s="34">
        <v>45966</v>
      </c>
      <c r="D200" s="22" t="s">
        <v>3337</v>
      </c>
      <c r="E200" s="22">
        <v>-7.43</v>
      </c>
      <c r="F200" s="28">
        <v>-1.24</v>
      </c>
      <c r="G200" s="22" t="s">
        <v>489</v>
      </c>
      <c r="H200" s="22" t="s">
        <v>483</v>
      </c>
      <c r="I200" s="22"/>
      <c r="K200" s="22"/>
    </row>
    <row r="201" spans="1:11" x14ac:dyDescent="0.25">
      <c r="A201" s="22" t="b">
        <v>0</v>
      </c>
      <c r="B201" s="22" t="s">
        <v>1506</v>
      </c>
      <c r="C201" s="34">
        <v>45968</v>
      </c>
      <c r="D201" s="22" t="s">
        <v>3337</v>
      </c>
      <c r="E201" s="22">
        <v>-10.65</v>
      </c>
      <c r="F201" s="28">
        <v>-1.77</v>
      </c>
      <c r="G201" s="22" t="s">
        <v>489</v>
      </c>
      <c r="H201" s="22" t="s">
        <v>483</v>
      </c>
      <c r="I201" s="22"/>
      <c r="K201" s="22"/>
    </row>
    <row r="202" spans="1:11" x14ac:dyDescent="0.25">
      <c r="A202" s="22" t="b">
        <v>0</v>
      </c>
      <c r="B202" s="22" t="s">
        <v>1507</v>
      </c>
      <c r="C202" s="34">
        <v>45967</v>
      </c>
      <c r="D202" s="22" t="s">
        <v>2879</v>
      </c>
      <c r="E202" s="22">
        <v>170</v>
      </c>
      <c r="F202" s="28"/>
      <c r="G202" s="22" t="s">
        <v>482</v>
      </c>
      <c r="H202" s="22" t="s">
        <v>483</v>
      </c>
      <c r="I202" s="22"/>
    </row>
    <row r="203" spans="1:11" x14ac:dyDescent="0.25">
      <c r="A203" s="22" t="b">
        <v>0</v>
      </c>
      <c r="B203" s="22" t="s">
        <v>1505</v>
      </c>
      <c r="C203" s="34">
        <v>45968</v>
      </c>
      <c r="D203" s="22" t="s">
        <v>3742</v>
      </c>
      <c r="E203" s="22">
        <v>-68.400000000000006</v>
      </c>
      <c r="F203" s="28"/>
      <c r="G203" s="22" t="s">
        <v>489</v>
      </c>
      <c r="H203" s="22" t="s">
        <v>483</v>
      </c>
      <c r="I203" s="22"/>
      <c r="K203" s="22"/>
    </row>
    <row r="204" spans="1:11" x14ac:dyDescent="0.25">
      <c r="A204" s="22" t="b">
        <v>0</v>
      </c>
      <c r="B204" s="22" t="s">
        <v>1493</v>
      </c>
      <c r="C204" s="34">
        <v>45970</v>
      </c>
      <c r="D204" s="22" t="s">
        <v>3743</v>
      </c>
      <c r="E204" s="22">
        <v>-1.99</v>
      </c>
      <c r="F204" s="28"/>
      <c r="G204" s="22" t="s">
        <v>489</v>
      </c>
      <c r="H204" s="22" t="s">
        <v>483</v>
      </c>
      <c r="I204" s="22"/>
      <c r="K204" s="22"/>
    </row>
    <row r="205" spans="1:11" x14ac:dyDescent="0.25">
      <c r="A205" s="22" t="b">
        <v>0</v>
      </c>
      <c r="B205" s="22" t="s">
        <v>1478</v>
      </c>
      <c r="C205" s="34">
        <v>45975</v>
      </c>
      <c r="D205" s="22" t="s">
        <v>3337</v>
      </c>
      <c r="E205" s="22">
        <v>-9.42</v>
      </c>
      <c r="F205" s="28">
        <v>-1.57</v>
      </c>
      <c r="G205" s="22" t="s">
        <v>489</v>
      </c>
      <c r="H205" s="22" t="s">
        <v>483</v>
      </c>
      <c r="I205" s="22"/>
      <c r="K205" s="22"/>
    </row>
    <row r="206" spans="1:11" x14ac:dyDescent="0.25">
      <c r="A206" s="22" t="b">
        <v>0</v>
      </c>
      <c r="B206" s="22" t="s">
        <v>1473</v>
      </c>
      <c r="C206" s="34">
        <v>45976</v>
      </c>
      <c r="D206" s="22" t="s">
        <v>3337</v>
      </c>
      <c r="E206" s="22">
        <v>-7.16</v>
      </c>
      <c r="F206" s="28">
        <v>-1.19</v>
      </c>
      <c r="G206" s="22" t="s">
        <v>489</v>
      </c>
      <c r="H206" s="22" t="s">
        <v>483</v>
      </c>
      <c r="I206" s="22"/>
      <c r="K206" s="22"/>
    </row>
    <row r="207" spans="1:11" x14ac:dyDescent="0.25">
      <c r="A207" s="22" t="b">
        <v>0</v>
      </c>
      <c r="B207" s="22" t="s">
        <v>1469</v>
      </c>
      <c r="C207" s="34">
        <v>45978</v>
      </c>
      <c r="D207" s="22" t="s">
        <v>3587</v>
      </c>
      <c r="E207" s="22">
        <v>-500</v>
      </c>
      <c r="F207" s="28"/>
      <c r="G207" s="22" t="s">
        <v>489</v>
      </c>
      <c r="H207" s="22" t="s">
        <v>483</v>
      </c>
      <c r="I207" s="22"/>
      <c r="K207" s="22"/>
    </row>
    <row r="208" spans="1:11" x14ac:dyDescent="0.25">
      <c r="A208" s="22" t="b">
        <v>0</v>
      </c>
      <c r="B208" s="22" t="s">
        <v>1464</v>
      </c>
      <c r="C208" s="34">
        <v>45979</v>
      </c>
      <c r="D208" s="22" t="s">
        <v>2791</v>
      </c>
      <c r="E208" s="22">
        <v>500</v>
      </c>
      <c r="F208" s="28"/>
      <c r="G208" s="22" t="s">
        <v>482</v>
      </c>
      <c r="H208" s="22" t="s">
        <v>483</v>
      </c>
      <c r="I208" s="22"/>
      <c r="K208" s="22"/>
    </row>
    <row r="209" spans="1:11" x14ac:dyDescent="0.25">
      <c r="A209" s="22" t="b">
        <v>0</v>
      </c>
      <c r="B209" s="22" t="s">
        <v>1462</v>
      </c>
      <c r="C209" s="34">
        <v>45979</v>
      </c>
      <c r="D209" s="22" t="s">
        <v>3587</v>
      </c>
      <c r="E209" s="22">
        <v>-1000</v>
      </c>
      <c r="F209" s="28"/>
      <c r="G209" s="22" t="s">
        <v>489</v>
      </c>
      <c r="H209" s="22" t="s">
        <v>483</v>
      </c>
      <c r="I209" s="22"/>
      <c r="K209" s="22"/>
    </row>
    <row r="210" spans="1:11" x14ac:dyDescent="0.25">
      <c r="A210" s="22" t="b">
        <v>0</v>
      </c>
      <c r="B210" s="22" t="s">
        <v>1454</v>
      </c>
      <c r="C210" s="34">
        <v>45982</v>
      </c>
      <c r="D210" s="22" t="s">
        <v>3337</v>
      </c>
      <c r="E210" s="22">
        <v>-5.6</v>
      </c>
      <c r="F210" s="28">
        <v>-0.93</v>
      </c>
      <c r="G210" s="22" t="s">
        <v>489</v>
      </c>
      <c r="H210" s="22" t="s">
        <v>483</v>
      </c>
      <c r="I210" s="22"/>
      <c r="K210" s="22"/>
    </row>
    <row r="211" spans="1:11" x14ac:dyDescent="0.25">
      <c r="A211" s="22" t="b">
        <v>0</v>
      </c>
      <c r="B211" s="22" t="s">
        <v>2158</v>
      </c>
      <c r="C211" s="34">
        <v>45985</v>
      </c>
      <c r="D211" s="22" t="s">
        <v>3735</v>
      </c>
      <c r="E211" s="22">
        <v>-1841.42</v>
      </c>
      <c r="F211" s="28"/>
      <c r="G211" s="22" t="s">
        <v>489</v>
      </c>
      <c r="H211" s="22" t="s">
        <v>483</v>
      </c>
      <c r="I211" s="22"/>
      <c r="K211" s="22"/>
    </row>
    <row r="212" spans="1:11" x14ac:dyDescent="0.25">
      <c r="A212" s="22" t="b">
        <v>0</v>
      </c>
      <c r="B212" s="22" t="s">
        <v>1432</v>
      </c>
      <c r="C212" s="34">
        <v>45986</v>
      </c>
      <c r="D212" s="22" t="s">
        <v>3744</v>
      </c>
      <c r="E212" s="22">
        <v>-19</v>
      </c>
      <c r="F212" s="28"/>
      <c r="G212" s="22" t="s">
        <v>489</v>
      </c>
      <c r="H212" s="22" t="s">
        <v>483</v>
      </c>
      <c r="I212" s="22"/>
      <c r="K212" s="22"/>
    </row>
    <row r="213" spans="1:11" x14ac:dyDescent="0.25">
      <c r="A213" s="22" t="b">
        <v>0</v>
      </c>
      <c r="B213" s="22" t="s">
        <v>1437</v>
      </c>
      <c r="C213" s="34">
        <v>45986</v>
      </c>
      <c r="D213" s="22" t="s">
        <v>3337</v>
      </c>
      <c r="E213" s="22">
        <v>-7.68</v>
      </c>
      <c r="F213" s="28">
        <v>-1.28</v>
      </c>
      <c r="G213" s="22" t="s">
        <v>489</v>
      </c>
      <c r="H213" s="22" t="s">
        <v>483</v>
      </c>
      <c r="I213" s="22"/>
      <c r="K213" s="22"/>
    </row>
    <row r="214" spans="1:11" x14ac:dyDescent="0.25">
      <c r="A214" s="22" t="b">
        <v>0</v>
      </c>
      <c r="B214" s="22" t="s">
        <v>1438</v>
      </c>
      <c r="C214" s="34">
        <v>45986</v>
      </c>
      <c r="D214" s="22" t="s">
        <v>3587</v>
      </c>
      <c r="E214" s="22">
        <v>-500.2</v>
      </c>
      <c r="F214" s="28"/>
      <c r="G214" s="22" t="s">
        <v>489</v>
      </c>
      <c r="H214" s="22" t="s">
        <v>483</v>
      </c>
      <c r="I214" s="22"/>
      <c r="K214" s="22"/>
    </row>
    <row r="215" spans="1:11" x14ac:dyDescent="0.25">
      <c r="A215" s="22" t="b">
        <v>0</v>
      </c>
      <c r="B215" s="22" t="s">
        <v>1431</v>
      </c>
      <c r="C215" s="34">
        <v>45986</v>
      </c>
      <c r="D215" s="22" t="s">
        <v>2859</v>
      </c>
      <c r="E215" s="22">
        <v>125</v>
      </c>
      <c r="F215" s="28"/>
      <c r="G215" s="22" t="s">
        <v>482</v>
      </c>
      <c r="H215" s="22" t="s">
        <v>483</v>
      </c>
      <c r="I215" s="22"/>
    </row>
    <row r="216" spans="1:11" x14ac:dyDescent="0.25">
      <c r="A216" s="22" t="b">
        <v>0</v>
      </c>
      <c r="B216" s="22" t="s">
        <v>1430</v>
      </c>
      <c r="C216" s="34">
        <v>45987</v>
      </c>
      <c r="D216" s="22" t="s">
        <v>3705</v>
      </c>
      <c r="E216" s="22">
        <v>-1700.2</v>
      </c>
      <c r="F216" s="28"/>
      <c r="G216" s="22" t="s">
        <v>489</v>
      </c>
      <c r="H216" s="22" t="s">
        <v>483</v>
      </c>
      <c r="I216" s="22"/>
      <c r="K216" s="22"/>
    </row>
    <row r="217" spans="1:11" x14ac:dyDescent="0.25">
      <c r="A217" s="22" t="b">
        <v>0</v>
      </c>
      <c r="B217" s="22" t="s">
        <v>2236</v>
      </c>
      <c r="C217" s="34">
        <v>45988</v>
      </c>
      <c r="D217" s="22" t="s">
        <v>3745</v>
      </c>
      <c r="E217" s="22">
        <v>-270.2</v>
      </c>
      <c r="F217" s="28"/>
      <c r="G217" s="22" t="s">
        <v>489</v>
      </c>
      <c r="H217" s="22" t="s">
        <v>483</v>
      </c>
      <c r="I217" s="22"/>
      <c r="K217" s="22"/>
    </row>
    <row r="218" spans="1:11" x14ac:dyDescent="0.25">
      <c r="A218" s="22" t="b">
        <v>0</v>
      </c>
      <c r="B218" s="22" t="s">
        <v>1418</v>
      </c>
      <c r="C218" s="34">
        <v>45989</v>
      </c>
      <c r="D218" s="22" t="s">
        <v>2879</v>
      </c>
      <c r="E218" s="22">
        <v>110</v>
      </c>
      <c r="F218" s="28"/>
      <c r="G218" s="22" t="s">
        <v>482</v>
      </c>
      <c r="H218" s="22" t="s">
        <v>483</v>
      </c>
      <c r="I218" s="22"/>
      <c r="K218" s="22"/>
    </row>
    <row r="219" spans="1:11" x14ac:dyDescent="0.25">
      <c r="A219" s="22" t="b">
        <v>0</v>
      </c>
      <c r="B219" s="22" t="s">
        <v>2234</v>
      </c>
      <c r="C219" s="34">
        <v>45990</v>
      </c>
      <c r="D219" s="22" t="s">
        <v>3746</v>
      </c>
      <c r="E219" s="22">
        <v>-110.2</v>
      </c>
      <c r="F219" s="28"/>
      <c r="G219" s="22" t="s">
        <v>489</v>
      </c>
      <c r="H219" s="22" t="s">
        <v>483</v>
      </c>
      <c r="I219" s="22"/>
      <c r="K219" s="22"/>
    </row>
    <row r="220" spans="1:11" x14ac:dyDescent="0.25">
      <c r="A220" s="22" t="b">
        <v>0</v>
      </c>
      <c r="B220" s="22" t="s">
        <v>2175</v>
      </c>
      <c r="C220" s="34">
        <v>45992</v>
      </c>
      <c r="D220" s="22" t="s">
        <v>3738</v>
      </c>
      <c r="E220" s="22">
        <v>-16.62</v>
      </c>
      <c r="F220" s="28"/>
      <c r="G220" s="22" t="s">
        <v>489</v>
      </c>
      <c r="H220" s="22" t="s">
        <v>483</v>
      </c>
      <c r="I220" s="22"/>
      <c r="K220" s="22"/>
    </row>
    <row r="221" spans="1:11" x14ac:dyDescent="0.25">
      <c r="A221" s="22" t="b">
        <v>0</v>
      </c>
      <c r="B221" s="22" t="s">
        <v>2174</v>
      </c>
      <c r="C221" s="34">
        <v>45992</v>
      </c>
      <c r="D221" s="22" t="s">
        <v>3567</v>
      </c>
      <c r="E221" s="22">
        <v>-54.25</v>
      </c>
      <c r="F221" s="28"/>
      <c r="G221" s="22" t="s">
        <v>489</v>
      </c>
      <c r="H221" s="22" t="s">
        <v>483</v>
      </c>
      <c r="I221" s="22"/>
      <c r="K221" s="22"/>
    </row>
    <row r="222" spans="1:11" x14ac:dyDescent="0.25">
      <c r="A222" s="22" t="b">
        <v>0</v>
      </c>
      <c r="B222" s="22" t="s">
        <v>1390</v>
      </c>
      <c r="C222" s="34">
        <v>45994</v>
      </c>
      <c r="D222" s="22" t="s">
        <v>3747</v>
      </c>
      <c r="E222" s="22">
        <v>1000</v>
      </c>
      <c r="F222" s="28"/>
      <c r="G222" s="22" t="s">
        <v>482</v>
      </c>
      <c r="H222" s="22" t="s">
        <v>483</v>
      </c>
      <c r="I222" s="22"/>
      <c r="K222" s="22"/>
    </row>
    <row r="223" spans="1:11" x14ac:dyDescent="0.25">
      <c r="A223" s="22" t="b">
        <v>0</v>
      </c>
      <c r="B223" s="22" t="s">
        <v>1389</v>
      </c>
      <c r="C223" s="34">
        <v>45994</v>
      </c>
      <c r="D223" s="22" t="s">
        <v>3748</v>
      </c>
      <c r="E223" s="22">
        <v>1700</v>
      </c>
      <c r="F223" s="28"/>
      <c r="G223" s="22" t="s">
        <v>482</v>
      </c>
      <c r="H223" s="22" t="s">
        <v>483</v>
      </c>
      <c r="I223" s="22"/>
      <c r="K223" s="22"/>
    </row>
    <row r="224" spans="1:11" x14ac:dyDescent="0.25">
      <c r="A224" s="22" t="b">
        <v>0</v>
      </c>
      <c r="B224" s="22" t="s">
        <v>1388</v>
      </c>
      <c r="C224" s="34">
        <v>45994</v>
      </c>
      <c r="D224" s="22" t="s">
        <v>2879</v>
      </c>
      <c r="E224" s="22">
        <v>220</v>
      </c>
      <c r="F224" s="28"/>
      <c r="G224" s="22" t="s">
        <v>482</v>
      </c>
      <c r="H224" s="22" t="s">
        <v>483</v>
      </c>
      <c r="I224" s="22"/>
    </row>
    <row r="225" spans="1:11" x14ac:dyDescent="0.25">
      <c r="A225" s="22" t="b">
        <v>0</v>
      </c>
      <c r="B225" s="22" t="s">
        <v>1369</v>
      </c>
      <c r="C225" s="34">
        <v>45996</v>
      </c>
      <c r="D225" s="22" t="s">
        <v>3749</v>
      </c>
      <c r="E225" s="22">
        <v>262.27</v>
      </c>
      <c r="F225" s="28"/>
      <c r="G225" s="22" t="s">
        <v>482</v>
      </c>
      <c r="H225" s="22" t="s">
        <v>483</v>
      </c>
      <c r="I225" s="22"/>
      <c r="K225" s="22"/>
    </row>
    <row r="226" spans="1:11" x14ac:dyDescent="0.25">
      <c r="A226" s="22" t="b">
        <v>0</v>
      </c>
      <c r="B226" s="22" t="s">
        <v>1365</v>
      </c>
      <c r="C226" s="34">
        <v>45997</v>
      </c>
      <c r="D226" s="22" t="s">
        <v>2879</v>
      </c>
      <c r="E226" s="22">
        <v>55</v>
      </c>
      <c r="F226" s="28"/>
      <c r="G226" s="22" t="s">
        <v>482</v>
      </c>
      <c r="H226" s="22" t="s">
        <v>483</v>
      </c>
      <c r="I226" s="22"/>
    </row>
    <row r="227" spans="1:11" x14ac:dyDescent="0.25">
      <c r="A227" s="22" t="b">
        <v>0</v>
      </c>
      <c r="B227" s="22" t="s">
        <v>2229</v>
      </c>
      <c r="C227" s="34">
        <v>45998</v>
      </c>
      <c r="D227" s="22" t="s">
        <v>3746</v>
      </c>
      <c r="E227" s="22">
        <v>-275.2</v>
      </c>
      <c r="F227" s="28"/>
      <c r="G227" s="22" t="s">
        <v>489</v>
      </c>
      <c r="H227" s="22" t="s">
        <v>483</v>
      </c>
      <c r="I227" s="22"/>
      <c r="K227" s="22"/>
    </row>
    <row r="228" spans="1:11" x14ac:dyDescent="0.25">
      <c r="A228" s="22" t="b">
        <v>0</v>
      </c>
      <c r="B228" s="22" t="s">
        <v>1363</v>
      </c>
      <c r="C228" s="34">
        <v>45998</v>
      </c>
      <c r="D228" s="22" t="s">
        <v>3587</v>
      </c>
      <c r="E228" s="22">
        <v>-1500.2</v>
      </c>
      <c r="F228" s="28"/>
      <c r="G228" s="22" t="s">
        <v>489</v>
      </c>
      <c r="H228" s="22" t="s">
        <v>483</v>
      </c>
      <c r="I228" s="22"/>
      <c r="K228" s="22"/>
    </row>
    <row r="229" spans="1:11" x14ac:dyDescent="0.25">
      <c r="A229" s="22" t="b">
        <v>0</v>
      </c>
      <c r="B229" s="22" t="s">
        <v>1354</v>
      </c>
      <c r="C229" s="34">
        <v>46001</v>
      </c>
      <c r="D229" s="22" t="s">
        <v>3671</v>
      </c>
      <c r="E229" s="22">
        <v>-18.440000000000001</v>
      </c>
      <c r="F229" s="28">
        <v>-3.07</v>
      </c>
      <c r="G229" s="22" t="s">
        <v>489</v>
      </c>
      <c r="H229" s="22" t="s">
        <v>483</v>
      </c>
      <c r="I229" s="22"/>
      <c r="K229" s="22"/>
    </row>
    <row r="230" spans="1:11" x14ac:dyDescent="0.25">
      <c r="A230" s="22" t="b">
        <v>0</v>
      </c>
      <c r="B230" s="22" t="s">
        <v>1351</v>
      </c>
      <c r="C230" s="34">
        <v>46001</v>
      </c>
      <c r="D230" s="22" t="s">
        <v>3750</v>
      </c>
      <c r="E230" s="22">
        <v>-13.99</v>
      </c>
      <c r="F230" s="28"/>
      <c r="G230" s="22" t="s">
        <v>489</v>
      </c>
      <c r="H230" s="22" t="s">
        <v>483</v>
      </c>
      <c r="I230" s="22"/>
      <c r="K230" s="22"/>
    </row>
    <row r="231" spans="1:11" x14ac:dyDescent="0.25">
      <c r="A231" s="22" t="b">
        <v>0</v>
      </c>
      <c r="B231" s="22" t="s">
        <v>1346</v>
      </c>
      <c r="C231" s="34">
        <v>46003</v>
      </c>
      <c r="D231" s="22" t="s">
        <v>3337</v>
      </c>
      <c r="E231" s="22">
        <v>-7.54</v>
      </c>
      <c r="F231" s="28">
        <v>-1.26</v>
      </c>
      <c r="G231" s="22" t="s">
        <v>489</v>
      </c>
      <c r="H231" s="22" t="s">
        <v>483</v>
      </c>
      <c r="I231" s="22"/>
      <c r="K231" s="22"/>
    </row>
    <row r="232" spans="1:11" x14ac:dyDescent="0.25">
      <c r="A232" s="22" t="b">
        <v>0</v>
      </c>
      <c r="B232" s="22" t="s">
        <v>2228</v>
      </c>
      <c r="C232" s="34">
        <v>46002</v>
      </c>
      <c r="D232" s="22" t="s">
        <v>3751</v>
      </c>
      <c r="E232" s="22">
        <v>-125</v>
      </c>
      <c r="F232" s="28"/>
      <c r="G232" s="22" t="s">
        <v>489</v>
      </c>
      <c r="H232" s="22" t="s">
        <v>483</v>
      </c>
      <c r="I232" s="22"/>
      <c r="K232" s="22"/>
    </row>
    <row r="233" spans="1:11" x14ac:dyDescent="0.25">
      <c r="A233" s="22" t="b">
        <v>0</v>
      </c>
      <c r="B233" s="22" t="s">
        <v>1333</v>
      </c>
      <c r="C233" s="34">
        <v>46006</v>
      </c>
      <c r="D233" s="22" t="s">
        <v>2791</v>
      </c>
      <c r="E233" s="22">
        <v>2500</v>
      </c>
      <c r="F233" s="28"/>
      <c r="G233" s="22" t="s">
        <v>482</v>
      </c>
      <c r="H233" s="22" t="s">
        <v>483</v>
      </c>
      <c r="I233" s="22"/>
      <c r="K233" s="22"/>
    </row>
    <row r="234" spans="1:11" x14ac:dyDescent="0.25">
      <c r="A234" s="22" t="b">
        <v>0</v>
      </c>
      <c r="B234" s="22" t="s">
        <v>2765</v>
      </c>
      <c r="C234" s="22" t="s">
        <v>2939</v>
      </c>
      <c r="D234" s="22" t="s">
        <v>3752</v>
      </c>
      <c r="E234" s="22">
        <v>-427.19</v>
      </c>
      <c r="F234" s="28"/>
      <c r="G234" s="22" t="s">
        <v>489</v>
      </c>
      <c r="H234" s="22" t="s">
        <v>483</v>
      </c>
      <c r="I234" s="22"/>
    </row>
    <row r="235" spans="1:11" x14ac:dyDescent="0.25">
      <c r="A235" s="22" t="b">
        <v>0</v>
      </c>
      <c r="B235" s="22" t="s">
        <v>2758</v>
      </c>
      <c r="C235" s="22" t="s">
        <v>2939</v>
      </c>
      <c r="D235" s="22" t="s">
        <v>3753</v>
      </c>
      <c r="E235" s="22">
        <v>-17.850000000000001</v>
      </c>
      <c r="F235" s="28"/>
      <c r="G235" s="22" t="s">
        <v>489</v>
      </c>
      <c r="H235" s="22" t="s">
        <v>483</v>
      </c>
      <c r="I235" s="22"/>
    </row>
    <row r="236" spans="1:11" x14ac:dyDescent="0.25">
      <c r="A236" s="22" t="b">
        <v>0</v>
      </c>
      <c r="B236" s="22" t="s">
        <v>2754</v>
      </c>
      <c r="C236" s="22" t="s">
        <v>2939</v>
      </c>
      <c r="D236" s="22" t="s">
        <v>191</v>
      </c>
      <c r="E236" s="22">
        <v>-140</v>
      </c>
      <c r="F236" s="28"/>
      <c r="G236" s="22" t="s">
        <v>489</v>
      </c>
      <c r="H236" s="22" t="s">
        <v>483</v>
      </c>
      <c r="I236" s="22"/>
    </row>
    <row r="237" spans="1:11" x14ac:dyDescent="0.25">
      <c r="A237" s="22" t="b">
        <v>0</v>
      </c>
      <c r="B237" s="22" t="s">
        <v>2773</v>
      </c>
      <c r="C237" s="22" t="s">
        <v>2939</v>
      </c>
      <c r="D237" s="22" t="s">
        <v>3735</v>
      </c>
      <c r="E237" s="22">
        <v>-1841.42</v>
      </c>
      <c r="F237" s="28"/>
      <c r="G237" s="22" t="s">
        <v>489</v>
      </c>
      <c r="H237" s="22" t="s">
        <v>483</v>
      </c>
      <c r="I237" s="22"/>
    </row>
    <row r="238" spans="1:11" x14ac:dyDescent="0.25">
      <c r="A238" s="22" t="b">
        <v>0</v>
      </c>
      <c r="B238" s="22" t="s">
        <v>2736</v>
      </c>
      <c r="C238" s="22" t="s">
        <v>2939</v>
      </c>
      <c r="D238" s="22" t="s">
        <v>3281</v>
      </c>
      <c r="E238" s="22">
        <v>-18</v>
      </c>
      <c r="F238" s="28"/>
      <c r="G238" s="22" t="s">
        <v>489</v>
      </c>
      <c r="H238" s="22" t="s">
        <v>483</v>
      </c>
      <c r="I238" s="22"/>
    </row>
    <row r="239" spans="1:11" x14ac:dyDescent="0.25">
      <c r="A239" s="22" t="b">
        <v>0</v>
      </c>
      <c r="B239" s="22" t="s">
        <v>436</v>
      </c>
      <c r="C239" s="22" t="s">
        <v>2939</v>
      </c>
      <c r="D239" s="22" t="s">
        <v>3567</v>
      </c>
      <c r="E239" s="22">
        <v>-54.25</v>
      </c>
      <c r="F239" s="28"/>
      <c r="G239" s="22" t="s">
        <v>489</v>
      </c>
      <c r="H239" s="22" t="s">
        <v>483</v>
      </c>
      <c r="I239" s="22"/>
    </row>
    <row r="240" spans="1:11" x14ac:dyDescent="0.25">
      <c r="A240" s="22" t="b">
        <v>0</v>
      </c>
      <c r="B240" s="22" t="s">
        <v>438</v>
      </c>
      <c r="C240" s="22" t="s">
        <v>2939</v>
      </c>
      <c r="D240" s="22" t="s">
        <v>3738</v>
      </c>
      <c r="E240" s="22">
        <v>-16.62</v>
      </c>
      <c r="F240" s="28"/>
      <c r="G240" s="22" t="s">
        <v>489</v>
      </c>
      <c r="H240" s="22" t="s">
        <v>483</v>
      </c>
      <c r="I240" s="22"/>
    </row>
    <row r="241" spans="1:28" x14ac:dyDescent="0.25">
      <c r="A241" s="22" t="b">
        <v>0</v>
      </c>
      <c r="B241" s="22" t="s">
        <v>431</v>
      </c>
      <c r="C241" s="34">
        <v>46024</v>
      </c>
      <c r="D241" s="22" t="s">
        <v>3754</v>
      </c>
      <c r="E241" s="22">
        <v>1500</v>
      </c>
      <c r="F241" s="22" t="s">
        <v>482</v>
      </c>
      <c r="G241" s="22" t="s">
        <v>483</v>
      </c>
      <c r="H241" s="22"/>
    </row>
    <row r="242" spans="1:28" x14ac:dyDescent="0.25">
      <c r="A242" s="22" t="b">
        <v>0</v>
      </c>
      <c r="B242" s="22" t="s">
        <v>429</v>
      </c>
      <c r="C242" s="34">
        <v>46024</v>
      </c>
      <c r="D242" s="22" t="s">
        <v>3755</v>
      </c>
      <c r="E242" s="22">
        <v>-1500.2</v>
      </c>
      <c r="F242" s="22" t="s">
        <v>489</v>
      </c>
      <c r="G242" s="22" t="s">
        <v>483</v>
      </c>
      <c r="H242" s="22"/>
      <c r="I242" s="22">
        <v>206</v>
      </c>
    </row>
    <row r="243" spans="1:28" x14ac:dyDescent="0.25">
      <c r="A243" s="22" t="b">
        <v>0</v>
      </c>
      <c r="B243" s="22" t="s">
        <v>422</v>
      </c>
      <c r="C243" s="22" t="s">
        <v>2939</v>
      </c>
      <c r="D243" s="36" t="s">
        <v>423</v>
      </c>
      <c r="E243" s="22">
        <v>-18.989999999999998</v>
      </c>
      <c r="F243" s="28"/>
      <c r="G243" s="22" t="s">
        <v>489</v>
      </c>
      <c r="H243" s="22" t="s">
        <v>483</v>
      </c>
      <c r="I243" s="22"/>
    </row>
    <row r="244" spans="1:28" x14ac:dyDescent="0.25">
      <c r="A244" s="22" t="b">
        <v>0</v>
      </c>
      <c r="B244" s="22" t="s">
        <v>406</v>
      </c>
      <c r="C244" s="22" t="s">
        <v>2939</v>
      </c>
      <c r="D244" s="22" t="s">
        <v>3587</v>
      </c>
      <c r="E244" s="22">
        <v>-2500.1999999999998</v>
      </c>
      <c r="F244" s="28"/>
      <c r="G244" s="22" t="s">
        <v>489</v>
      </c>
      <c r="H244" s="22" t="s">
        <v>483</v>
      </c>
      <c r="I244" s="22"/>
      <c r="J244" s="22">
        <v>293</v>
      </c>
    </row>
    <row r="245" spans="1:28" x14ac:dyDescent="0.25">
      <c r="A245" s="22" t="b">
        <v>0</v>
      </c>
      <c r="B245" s="22" t="s">
        <v>405</v>
      </c>
      <c r="C245" s="22" t="s">
        <v>2939</v>
      </c>
      <c r="D245" s="22" t="s">
        <v>3587</v>
      </c>
      <c r="E245" s="22">
        <v>-500.2</v>
      </c>
      <c r="F245" s="28"/>
      <c r="G245" s="22" t="s">
        <v>489</v>
      </c>
      <c r="H245" s="22" t="s">
        <v>483</v>
      </c>
      <c r="I245" s="22"/>
      <c r="J245" s="22">
        <v>292</v>
      </c>
    </row>
    <row r="246" spans="1:28" x14ac:dyDescent="0.25">
      <c r="A246" s="22" t="b">
        <v>0</v>
      </c>
      <c r="B246" s="22" t="s">
        <v>400</v>
      </c>
      <c r="C246" s="22" t="s">
        <v>2939</v>
      </c>
      <c r="D246" s="22" t="s">
        <v>401</v>
      </c>
      <c r="E246" s="22">
        <v>-80</v>
      </c>
      <c r="F246" s="28"/>
      <c r="G246" s="22" t="s">
        <v>489</v>
      </c>
      <c r="H246" s="22" t="s">
        <v>483</v>
      </c>
      <c r="I246" s="22"/>
    </row>
    <row r="247" spans="1:28" x14ac:dyDescent="0.25">
      <c r="A247" s="22" t="b">
        <v>0</v>
      </c>
      <c r="B247" s="22" t="s">
        <v>397</v>
      </c>
      <c r="C247" s="22" t="s">
        <v>2939</v>
      </c>
      <c r="D247" s="22" t="s">
        <v>2796</v>
      </c>
      <c r="E247" s="22">
        <v>10000</v>
      </c>
      <c r="F247" s="28"/>
      <c r="G247" s="22" t="s">
        <v>482</v>
      </c>
      <c r="H247" s="22" t="s">
        <v>483</v>
      </c>
      <c r="I247" s="22"/>
      <c r="J247" s="22">
        <v>286</v>
      </c>
    </row>
    <row r="248" spans="1:28" x14ac:dyDescent="0.25">
      <c r="A248" s="22" t="b">
        <v>0</v>
      </c>
      <c r="B248" s="22" t="s">
        <v>381</v>
      </c>
      <c r="C248" s="34">
        <v>46035</v>
      </c>
      <c r="D248" s="22" t="s">
        <v>382</v>
      </c>
      <c r="E248" s="22">
        <v>-60</v>
      </c>
      <c r="F248" s="22" t="s">
        <v>489</v>
      </c>
      <c r="G248" s="22" t="s">
        <v>483</v>
      </c>
      <c r="H248" s="22"/>
    </row>
    <row r="249" spans="1:28" x14ac:dyDescent="0.25">
      <c r="A249" s="22" t="b">
        <v>0</v>
      </c>
      <c r="B249" s="22" t="s">
        <v>375</v>
      </c>
      <c r="C249" s="34">
        <v>46036</v>
      </c>
      <c r="D249" s="22" t="s">
        <v>2791</v>
      </c>
      <c r="E249" s="22">
        <v>3000</v>
      </c>
      <c r="F249" s="22" t="s">
        <v>482</v>
      </c>
      <c r="G249" s="22" t="s">
        <v>483</v>
      </c>
      <c r="H249" s="22"/>
      <c r="I249" s="22">
        <v>168</v>
      </c>
    </row>
    <row r="250" spans="1:28" x14ac:dyDescent="0.25">
      <c r="A250" s="22" t="b">
        <v>0</v>
      </c>
      <c r="B250" s="22" t="s">
        <v>365</v>
      </c>
      <c r="C250" s="34">
        <v>46037</v>
      </c>
      <c r="D250" s="22" t="s">
        <v>3756</v>
      </c>
      <c r="E250" s="22">
        <v>-976</v>
      </c>
      <c r="F250" s="22" t="s">
        <v>489</v>
      </c>
      <c r="G250" s="22" t="s">
        <v>483</v>
      </c>
      <c r="H250" s="22"/>
      <c r="I250" s="22">
        <v>161</v>
      </c>
    </row>
    <row r="251" spans="1:28" x14ac:dyDescent="0.25">
      <c r="A251" s="22" t="b">
        <v>0</v>
      </c>
      <c r="B251" s="22" t="s">
        <v>361</v>
      </c>
      <c r="C251" s="34">
        <v>46037</v>
      </c>
      <c r="D251" s="22" t="s">
        <v>3757</v>
      </c>
      <c r="E251" s="22">
        <v>-976</v>
      </c>
      <c r="F251" s="22" t="s">
        <v>489</v>
      </c>
      <c r="G251" s="22" t="s">
        <v>483</v>
      </c>
      <c r="H251" s="22"/>
    </row>
    <row r="252" spans="1:28" x14ac:dyDescent="0.25">
      <c r="A252" s="22" t="b">
        <v>0</v>
      </c>
      <c r="B252" s="22" t="s">
        <v>330</v>
      </c>
      <c r="C252" s="34">
        <v>46042</v>
      </c>
      <c r="D252" s="22" t="s">
        <v>3758</v>
      </c>
      <c r="E252" s="22">
        <v>-500</v>
      </c>
      <c r="F252" s="22" t="s">
        <v>489</v>
      </c>
      <c r="G252" s="22" t="s">
        <v>483</v>
      </c>
      <c r="H252" s="22"/>
    </row>
    <row r="253" spans="1:28" x14ac:dyDescent="0.25">
      <c r="A253" s="38" t="b">
        <v>0</v>
      </c>
      <c r="B253" s="2" t="s">
        <v>301</v>
      </c>
      <c r="C253" s="39">
        <v>46045</v>
      </c>
      <c r="D253" s="2" t="s">
        <v>2960</v>
      </c>
      <c r="E253" s="9">
        <v>130</v>
      </c>
      <c r="F253" s="2" t="s">
        <v>482</v>
      </c>
      <c r="G253" s="2" t="s">
        <v>483</v>
      </c>
      <c r="H253" s="2"/>
      <c r="I253" s="9">
        <v>129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25">
      <c r="A254" s="22" t="b">
        <v>0</v>
      </c>
      <c r="B254" s="22" t="s">
        <v>288</v>
      </c>
      <c r="C254" s="34">
        <v>46048</v>
      </c>
      <c r="D254" s="22" t="s">
        <v>3735</v>
      </c>
      <c r="E254" s="22">
        <v>-1841.42</v>
      </c>
      <c r="F254" s="22" t="s">
        <v>489</v>
      </c>
      <c r="G254" s="22" t="s">
        <v>483</v>
      </c>
      <c r="H254" s="22"/>
      <c r="I254" s="22">
        <v>122</v>
      </c>
    </row>
    <row r="255" spans="1:28" x14ac:dyDescent="0.25">
      <c r="A255" s="22" t="b">
        <v>0</v>
      </c>
      <c r="B255" s="22" t="s">
        <v>286</v>
      </c>
      <c r="C255" s="34">
        <v>46048</v>
      </c>
      <c r="D255" s="22" t="s">
        <v>3759</v>
      </c>
      <c r="E255" s="22">
        <v>-900.2</v>
      </c>
      <c r="F255" s="22" t="s">
        <v>489</v>
      </c>
      <c r="G255" s="22" t="s">
        <v>483</v>
      </c>
      <c r="H255" s="22"/>
      <c r="I255" s="22">
        <v>121</v>
      </c>
    </row>
    <row r="256" spans="1:28" x14ac:dyDescent="0.25">
      <c r="A256" s="22" t="b">
        <v>0</v>
      </c>
      <c r="B256" s="22" t="s">
        <v>271</v>
      </c>
      <c r="C256" s="34">
        <v>46051</v>
      </c>
      <c r="D256" s="22" t="s">
        <v>2958</v>
      </c>
      <c r="E256" s="22">
        <v>420</v>
      </c>
      <c r="F256" s="22" t="s">
        <v>482</v>
      </c>
      <c r="G256" s="22" t="s">
        <v>483</v>
      </c>
      <c r="H256" s="22"/>
      <c r="I256" s="22">
        <v>114</v>
      </c>
    </row>
    <row r="257" spans="1:11" x14ac:dyDescent="0.25">
      <c r="A257" s="22" t="b">
        <v>0</v>
      </c>
      <c r="B257" s="22" t="s">
        <v>243</v>
      </c>
      <c r="C257" s="34">
        <v>46055</v>
      </c>
      <c r="D257" s="22" t="s">
        <v>3738</v>
      </c>
      <c r="E257" s="22">
        <v>-17.09</v>
      </c>
      <c r="F257" s="22" t="s">
        <v>489</v>
      </c>
      <c r="G257" s="22" t="s">
        <v>483</v>
      </c>
      <c r="H257" s="22"/>
      <c r="I257" s="22">
        <v>99</v>
      </c>
    </row>
    <row r="258" spans="1:11" x14ac:dyDescent="0.25">
      <c r="A258" s="22" t="b">
        <v>0</v>
      </c>
      <c r="B258" s="22" t="s">
        <v>228</v>
      </c>
      <c r="C258" s="34">
        <v>46055</v>
      </c>
      <c r="D258" s="22" t="s">
        <v>3587</v>
      </c>
      <c r="E258" s="22">
        <v>-1600.2</v>
      </c>
      <c r="F258" s="22" t="s">
        <v>489</v>
      </c>
      <c r="G258" s="22" t="s">
        <v>483</v>
      </c>
      <c r="H258" s="22"/>
      <c r="I258" s="22">
        <v>91</v>
      </c>
    </row>
    <row r="259" spans="1:11" x14ac:dyDescent="0.25">
      <c r="A259" s="22" t="b">
        <v>0</v>
      </c>
      <c r="B259" s="22" t="s">
        <v>182</v>
      </c>
      <c r="C259" s="34">
        <v>46059</v>
      </c>
      <c r="D259" s="22" t="s">
        <v>3760</v>
      </c>
      <c r="E259" s="22">
        <v>-360.2</v>
      </c>
      <c r="F259" s="22" t="s">
        <v>489</v>
      </c>
      <c r="G259" s="22" t="s">
        <v>483</v>
      </c>
      <c r="H259" s="22"/>
      <c r="I259" s="22">
        <v>69</v>
      </c>
    </row>
    <row r="260" spans="1:11" x14ac:dyDescent="0.25">
      <c r="A260" s="22" t="b">
        <v>0</v>
      </c>
      <c r="B260" s="22" t="s">
        <v>171</v>
      </c>
      <c r="C260" s="34">
        <v>46061</v>
      </c>
      <c r="D260" s="22" t="s">
        <v>3587</v>
      </c>
      <c r="E260" s="22">
        <v>-2200</v>
      </c>
      <c r="F260" s="22" t="s">
        <v>489</v>
      </c>
      <c r="G260" s="22" t="s">
        <v>483</v>
      </c>
      <c r="H260" s="22"/>
      <c r="I260" s="22">
        <v>63</v>
      </c>
    </row>
    <row r="261" spans="1:11" x14ac:dyDescent="0.25">
      <c r="A261" s="22" t="b">
        <v>0</v>
      </c>
      <c r="B261" s="22" t="s">
        <v>166</v>
      </c>
      <c r="C261" s="34">
        <v>46062</v>
      </c>
      <c r="D261" s="22" t="s">
        <v>3587</v>
      </c>
      <c r="E261" s="22">
        <v>-700</v>
      </c>
      <c r="F261" s="22" t="s">
        <v>489</v>
      </c>
      <c r="G261" s="22" t="s">
        <v>483</v>
      </c>
      <c r="H261" s="22"/>
      <c r="I261" s="22">
        <v>60</v>
      </c>
    </row>
    <row r="262" spans="1:11" x14ac:dyDescent="0.25">
      <c r="A262" s="22" t="b">
        <v>0</v>
      </c>
      <c r="B262" s="22" t="s">
        <v>164</v>
      </c>
      <c r="C262" s="34">
        <v>46062</v>
      </c>
      <c r="D262" s="22" t="s">
        <v>3587</v>
      </c>
      <c r="E262" s="22">
        <v>-900</v>
      </c>
      <c r="F262" s="22" t="s">
        <v>489</v>
      </c>
      <c r="G262" s="22" t="s">
        <v>483</v>
      </c>
      <c r="H262" s="22"/>
      <c r="I262" s="22">
        <v>59</v>
      </c>
    </row>
    <row r="263" spans="1:11" x14ac:dyDescent="0.25">
      <c r="A263" s="22" t="b">
        <v>0</v>
      </c>
      <c r="B263" s="22" t="s">
        <v>149</v>
      </c>
      <c r="C263" s="34">
        <v>46063</v>
      </c>
      <c r="D263" s="22" t="s">
        <v>2791</v>
      </c>
      <c r="E263" s="22">
        <v>1500</v>
      </c>
      <c r="F263" s="22" t="s">
        <v>482</v>
      </c>
      <c r="G263" s="22" t="s">
        <v>483</v>
      </c>
      <c r="H263" s="22"/>
      <c r="I263" s="22">
        <v>52</v>
      </c>
    </row>
    <row r="264" spans="1:11" x14ac:dyDescent="0.25">
      <c r="A264" s="22" t="b">
        <v>0</v>
      </c>
      <c r="B264" s="22" t="s">
        <v>122</v>
      </c>
      <c r="C264" s="34">
        <v>46065</v>
      </c>
      <c r="D264" s="22" t="s">
        <v>2829</v>
      </c>
      <c r="E264" s="22">
        <v>510</v>
      </c>
      <c r="F264" s="22" t="s">
        <v>482</v>
      </c>
      <c r="G264" s="22" t="s">
        <v>483</v>
      </c>
      <c r="H264" s="22"/>
      <c r="I264" s="22">
        <v>42</v>
      </c>
    </row>
    <row r="265" spans="1:11" x14ac:dyDescent="0.25">
      <c r="A265" s="22" t="b">
        <v>0</v>
      </c>
      <c r="B265" s="22" t="s">
        <v>105</v>
      </c>
      <c r="C265" s="34">
        <v>46066</v>
      </c>
      <c r="D265" s="22" t="s">
        <v>2910</v>
      </c>
      <c r="E265" s="22">
        <v>250</v>
      </c>
      <c r="F265" s="22" t="s">
        <v>482</v>
      </c>
      <c r="G265" s="22" t="s">
        <v>483</v>
      </c>
      <c r="H265" s="22"/>
      <c r="I265" s="22">
        <v>33</v>
      </c>
    </row>
    <row r="266" spans="1:11" x14ac:dyDescent="0.25">
      <c r="A266" s="22" t="b">
        <v>0</v>
      </c>
      <c r="B266" s="22" t="s">
        <v>95</v>
      </c>
      <c r="C266" s="34">
        <v>46067</v>
      </c>
      <c r="D266" s="22" t="s">
        <v>2812</v>
      </c>
      <c r="E266" s="22">
        <v>410</v>
      </c>
      <c r="F266" s="22" t="s">
        <v>482</v>
      </c>
      <c r="G266" s="22" t="s">
        <v>483</v>
      </c>
      <c r="H266" s="22"/>
      <c r="I266" s="22">
        <v>29</v>
      </c>
    </row>
    <row r="267" spans="1:11" x14ac:dyDescent="0.25">
      <c r="A267" s="22" t="b">
        <v>0</v>
      </c>
      <c r="B267" s="22" t="s">
        <v>75</v>
      </c>
      <c r="C267" s="34">
        <v>46069</v>
      </c>
      <c r="D267" s="22" t="s">
        <v>3748</v>
      </c>
      <c r="E267" s="22">
        <v>2900</v>
      </c>
      <c r="F267" s="22" t="s">
        <v>482</v>
      </c>
      <c r="G267" s="22" t="s">
        <v>483</v>
      </c>
      <c r="H267" s="22"/>
      <c r="I267" s="22">
        <v>18</v>
      </c>
    </row>
    <row r="268" spans="1:11" x14ac:dyDescent="0.25">
      <c r="A268" s="22" t="b">
        <v>0</v>
      </c>
      <c r="B268" s="22" t="s">
        <v>73</v>
      </c>
      <c r="C268" s="34">
        <v>46069</v>
      </c>
      <c r="D268" s="22" t="s">
        <v>3761</v>
      </c>
      <c r="E268" s="22">
        <v>-976.2</v>
      </c>
      <c r="F268" s="22" t="s">
        <v>489</v>
      </c>
      <c r="G268" s="22" t="s">
        <v>483</v>
      </c>
      <c r="H268" s="22"/>
      <c r="I268" s="22">
        <v>17</v>
      </c>
    </row>
    <row r="269" spans="1:11" x14ac:dyDescent="0.25">
      <c r="A269" s="22" t="b">
        <v>0</v>
      </c>
      <c r="B269" s="22" t="s">
        <v>2444</v>
      </c>
      <c r="C269" s="24">
        <v>45905</v>
      </c>
      <c r="D269" s="22" t="s">
        <v>3762</v>
      </c>
      <c r="E269" s="22">
        <v>-4135</v>
      </c>
      <c r="F269" s="28"/>
      <c r="G269" s="22" t="s">
        <v>489</v>
      </c>
      <c r="H269" s="22" t="s">
        <v>483</v>
      </c>
      <c r="I269" s="22"/>
      <c r="K269" s="22"/>
    </row>
    <row r="270" spans="1:11" x14ac:dyDescent="0.25">
      <c r="A270" s="22" t="b">
        <v>0</v>
      </c>
      <c r="B270" s="22" t="s">
        <v>2447</v>
      </c>
      <c r="C270" s="40">
        <v>45920</v>
      </c>
      <c r="D270" s="22" t="s">
        <v>3763</v>
      </c>
      <c r="E270" s="22">
        <v>-1910</v>
      </c>
      <c r="F270" s="28"/>
      <c r="G270" s="22" t="s">
        <v>489</v>
      </c>
      <c r="H270" s="22" t="s">
        <v>483</v>
      </c>
      <c r="I270" s="22"/>
      <c r="K270" s="22"/>
    </row>
    <row r="271" spans="1:11" x14ac:dyDescent="0.25">
      <c r="A271" s="22" t="b">
        <v>0</v>
      </c>
      <c r="B271" s="22" t="s">
        <v>2448</v>
      </c>
      <c r="C271" s="40">
        <v>45920</v>
      </c>
      <c r="D271" s="22" t="s">
        <v>3764</v>
      </c>
      <c r="E271" s="22">
        <v>-1235</v>
      </c>
      <c r="F271" s="28"/>
      <c r="G271" s="22" t="s">
        <v>489</v>
      </c>
      <c r="H271" s="22" t="s">
        <v>483</v>
      </c>
      <c r="I271" s="22"/>
      <c r="K271" s="22"/>
    </row>
    <row r="272" spans="1:11" x14ac:dyDescent="0.25">
      <c r="A272" s="22" t="b">
        <v>0</v>
      </c>
      <c r="B272" s="22" t="s">
        <v>2455</v>
      </c>
      <c r="C272" s="41">
        <v>46011</v>
      </c>
      <c r="D272" s="22" t="s">
        <v>3765</v>
      </c>
      <c r="E272" s="22">
        <v>8982.5</v>
      </c>
      <c r="F272" s="28"/>
      <c r="G272" s="22" t="s">
        <v>482</v>
      </c>
      <c r="H272" s="22" t="s">
        <v>483</v>
      </c>
      <c r="I272" s="22"/>
      <c r="K272" s="22"/>
    </row>
    <row r="273" spans="1:9" x14ac:dyDescent="0.25">
      <c r="A273" s="22" t="b">
        <v>0</v>
      </c>
      <c r="B273" s="22" t="s">
        <v>2456</v>
      </c>
      <c r="C273" s="42">
        <v>45813</v>
      </c>
      <c r="D273" s="22" t="s">
        <v>3766</v>
      </c>
      <c r="E273" s="22">
        <v>500</v>
      </c>
      <c r="F273" s="28"/>
      <c r="G273" s="22" t="s">
        <v>482</v>
      </c>
      <c r="H273" s="22" t="s">
        <v>483</v>
      </c>
      <c r="I273" s="22"/>
    </row>
    <row r="274" spans="1:9" x14ac:dyDescent="0.25">
      <c r="A274" s="22" t="b">
        <v>0</v>
      </c>
      <c r="B274" s="22" t="s">
        <v>2459</v>
      </c>
      <c r="C274" s="24">
        <v>46030</v>
      </c>
      <c r="D274" s="22" t="s">
        <v>3767</v>
      </c>
      <c r="E274" s="22">
        <v>468</v>
      </c>
      <c r="F274" s="28"/>
      <c r="G274" s="22" t="s">
        <v>482</v>
      </c>
      <c r="H274" s="22" t="s">
        <v>483</v>
      </c>
      <c r="I274" s="22"/>
    </row>
    <row r="275" spans="1:9" x14ac:dyDescent="0.25">
      <c r="D275" s="22" t="s">
        <v>3768</v>
      </c>
      <c r="E275" s="22">
        <v>-265</v>
      </c>
    </row>
    <row r="276" spans="1:9" x14ac:dyDescent="0.25">
      <c r="D276" s="22" t="s">
        <v>3765</v>
      </c>
      <c r="E276" s="22">
        <v>4250</v>
      </c>
    </row>
    <row r="277" spans="1:9" x14ac:dyDescent="0.25">
      <c r="D277" s="22" t="s">
        <v>3769</v>
      </c>
      <c r="E277" s="22">
        <v>1425</v>
      </c>
    </row>
    <row r="278" spans="1:9" x14ac:dyDescent="0.25">
      <c r="D278" s="22" t="s">
        <v>3770</v>
      </c>
      <c r="E278" s="22">
        <v>-2850</v>
      </c>
    </row>
    <row r="279" spans="1:9" x14ac:dyDescent="0.25">
      <c r="D279" s="22" t="s">
        <v>3771</v>
      </c>
      <c r="E279" s="22">
        <v>-4221</v>
      </c>
    </row>
  </sheetData>
  <dataValidations count="2">
    <dataValidation type="list" allowBlank="1" showErrorMessage="1" sqref="I2:I177 H178 I179:I240 H241:H242 I243:I247 H248:H268 I269:I274" xr:uid="{00000000-0002-0000-0B00-000000000000}">
      <formula1>"JOBS IN,WX21VZN IN,EQV IN,KM20YYX IN,MISC PAYMENT IN,JOBS OUT,WX21VZN OUT,EQV OUT,MISC PAYMENT OUT,EXPENSES,FUEL,PARKING,WATER + OTHER,WALEED EXPENSE,IMRAN EXPENSE,WAYZ MOTORS,1ST NATIONWIDE,1ST NATIONWIDE"</formula1>
    </dataValidation>
    <dataValidation type="list" allowBlank="1" showErrorMessage="1" sqref="K4:K8 K10:K31 K33:K43 K45:K46 K49:K50 K52:K56 K58:K60 K63:K84 K86:K97 K99:K125 K127:K143 K145:K177 K179:K184 K186:K201 K203:K214 K216:K223 K225 K227:K233 K269:K272" xr:uid="{00000000-0002-0000-0B00-000001000000}">
      <formula1>"JOBS IN,WX21VZN IN,EQV IN,KM20YYX IN,MISC PAYMENT IN,JOBS OUT,WX21VZN OUT,EQV OUT,MISC PAYMENT OUT,EXPENSES,FUEL,PARKING,WATER + OTHER,WALEED EXPENSE,IMRAN EXPENSE,WAYZ MOTORS"</formula1>
    </dataValidation>
  </dataValidations>
  <hyperlinks>
    <hyperlink ref="D178" r:id="rId1" xr:uid="{00000000-0004-0000-0B00-000000000000}"/>
    <hyperlink ref="D243" r:id="rId2" xr:uid="{00000000-0004-0000-0B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2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4" max="4" width="36.33203125" customWidth="1"/>
  </cols>
  <sheetData>
    <row r="1" spans="1:12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 t="s">
        <v>480</v>
      </c>
      <c r="L1" s="22"/>
    </row>
    <row r="2" spans="1:12" x14ac:dyDescent="0.25">
      <c r="A2" s="22" t="b">
        <v>0</v>
      </c>
      <c r="B2" s="22" t="s">
        <v>527</v>
      </c>
      <c r="C2" s="34">
        <v>45874</v>
      </c>
      <c r="D2" s="22" t="s">
        <v>3399</v>
      </c>
      <c r="E2" s="22">
        <v>-693.59</v>
      </c>
      <c r="F2" s="28"/>
      <c r="G2" s="28"/>
      <c r="H2" s="28"/>
      <c r="I2" s="22" t="s">
        <v>489</v>
      </c>
      <c r="J2" s="22" t="s">
        <v>483</v>
      </c>
      <c r="K2" s="22"/>
    </row>
    <row r="3" spans="1:12" x14ac:dyDescent="0.25">
      <c r="A3" s="22" t="b">
        <v>0</v>
      </c>
      <c r="B3" s="22" t="s">
        <v>2452</v>
      </c>
      <c r="C3" s="43">
        <v>45876</v>
      </c>
      <c r="D3" s="22" t="s">
        <v>3772</v>
      </c>
      <c r="E3" s="22">
        <v>-2000</v>
      </c>
      <c r="F3" s="28"/>
      <c r="G3" s="28"/>
      <c r="H3" s="28"/>
      <c r="I3" s="22" t="s">
        <v>489</v>
      </c>
      <c r="J3" s="22" t="s">
        <v>483</v>
      </c>
      <c r="K3" s="22"/>
    </row>
    <row r="4" spans="1:12" x14ac:dyDescent="0.25">
      <c r="A4" s="22" t="b">
        <v>0</v>
      </c>
      <c r="B4" s="22" t="s">
        <v>2424</v>
      </c>
      <c r="C4" s="34">
        <v>45896</v>
      </c>
      <c r="D4" s="22" t="s">
        <v>3773</v>
      </c>
      <c r="E4" s="22">
        <v>-360.2</v>
      </c>
      <c r="F4" s="28"/>
      <c r="G4" s="28"/>
      <c r="H4" s="28">
        <v>-60.03</v>
      </c>
      <c r="I4" s="22" t="s">
        <v>489</v>
      </c>
      <c r="J4" s="22" t="s">
        <v>483</v>
      </c>
      <c r="K4" s="22"/>
    </row>
    <row r="5" spans="1:12" x14ac:dyDescent="0.25">
      <c r="A5" s="22" t="b">
        <v>0</v>
      </c>
      <c r="B5" s="22" t="s">
        <v>1775</v>
      </c>
      <c r="C5" s="34">
        <v>45906</v>
      </c>
      <c r="D5" s="22" t="s">
        <v>3774</v>
      </c>
      <c r="E5" s="22">
        <v>-139.88999999999999</v>
      </c>
      <c r="F5" s="28"/>
      <c r="G5" s="28"/>
      <c r="H5" s="28"/>
      <c r="I5" s="22" t="s">
        <v>489</v>
      </c>
      <c r="J5" s="22" t="s">
        <v>483</v>
      </c>
      <c r="K5" s="22"/>
    </row>
    <row r="6" spans="1:12" x14ac:dyDescent="0.25">
      <c r="A6" s="22" t="b">
        <v>0</v>
      </c>
      <c r="B6" s="22" t="s">
        <v>1757</v>
      </c>
      <c r="C6" s="34">
        <v>45909</v>
      </c>
      <c r="D6" s="22" t="s">
        <v>3775</v>
      </c>
      <c r="E6" s="22">
        <v>-125.48</v>
      </c>
      <c r="F6" s="28"/>
      <c r="G6" s="28"/>
      <c r="H6" s="28"/>
      <c r="I6" s="22" t="s">
        <v>489</v>
      </c>
      <c r="J6" s="22" t="s">
        <v>483</v>
      </c>
      <c r="K6" s="22"/>
    </row>
    <row r="7" spans="1:12" x14ac:dyDescent="0.25">
      <c r="A7" s="22" t="b">
        <v>0</v>
      </c>
      <c r="B7" s="22" t="s">
        <v>2451</v>
      </c>
      <c r="C7" s="42">
        <v>45910</v>
      </c>
      <c r="D7" s="22" t="s">
        <v>3776</v>
      </c>
      <c r="E7" s="22">
        <v>-1000</v>
      </c>
      <c r="F7" s="28"/>
      <c r="G7" s="28"/>
      <c r="H7" s="28"/>
      <c r="I7" s="22" t="s">
        <v>489</v>
      </c>
      <c r="J7" s="22" t="s">
        <v>483</v>
      </c>
      <c r="K7" s="22"/>
    </row>
    <row r="8" spans="1:12" x14ac:dyDescent="0.25">
      <c r="A8" s="22" t="b">
        <v>0</v>
      </c>
      <c r="B8" s="22" t="s">
        <v>2449</v>
      </c>
      <c r="C8" s="42">
        <v>45920</v>
      </c>
      <c r="D8" s="22" t="s">
        <v>3777</v>
      </c>
      <c r="E8" s="22">
        <v>-1000</v>
      </c>
      <c r="F8" s="28"/>
      <c r="G8" s="28"/>
      <c r="H8" s="28"/>
      <c r="I8" s="22" t="s">
        <v>489</v>
      </c>
      <c r="J8" s="22" t="s">
        <v>483</v>
      </c>
      <c r="K8" s="22"/>
    </row>
    <row r="9" spans="1:12" x14ac:dyDescent="0.25">
      <c r="A9" s="22" t="b">
        <v>0</v>
      </c>
      <c r="B9" s="22" t="s">
        <v>2450</v>
      </c>
      <c r="C9" s="42">
        <v>45920</v>
      </c>
      <c r="D9" s="22" t="s">
        <v>3776</v>
      </c>
      <c r="E9" s="22">
        <v>-800</v>
      </c>
      <c r="F9" s="28"/>
      <c r="G9" s="28"/>
      <c r="H9" s="28"/>
      <c r="I9" s="22" t="s">
        <v>489</v>
      </c>
      <c r="J9" s="22" t="s">
        <v>483</v>
      </c>
      <c r="K9" s="22"/>
    </row>
    <row r="10" spans="1:12" x14ac:dyDescent="0.25">
      <c r="A10" s="22" t="b">
        <v>0</v>
      </c>
      <c r="B10" s="22" t="s">
        <v>2453</v>
      </c>
      <c r="C10" s="42">
        <v>45925</v>
      </c>
      <c r="D10" s="22" t="s">
        <v>3778</v>
      </c>
      <c r="E10" s="22">
        <v>-1000</v>
      </c>
      <c r="F10" s="28"/>
      <c r="G10" s="28"/>
      <c r="H10" s="28"/>
      <c r="I10" s="22" t="s">
        <v>489</v>
      </c>
      <c r="J10" s="22" t="s">
        <v>483</v>
      </c>
      <c r="K10" s="22"/>
    </row>
    <row r="11" spans="1:12" x14ac:dyDescent="0.25">
      <c r="A11" s="22" t="b">
        <v>0</v>
      </c>
      <c r="B11" s="22" t="s">
        <v>2423</v>
      </c>
      <c r="C11" s="34">
        <v>45926</v>
      </c>
      <c r="D11" s="22" t="s">
        <v>3779</v>
      </c>
      <c r="E11" s="22">
        <v>-350.2</v>
      </c>
      <c r="F11" s="28"/>
      <c r="G11" s="28"/>
      <c r="H11" s="28"/>
      <c r="I11" s="22" t="s">
        <v>489</v>
      </c>
      <c r="J11" s="22" t="s">
        <v>483</v>
      </c>
      <c r="K11" s="22"/>
    </row>
    <row r="12" spans="1:12" x14ac:dyDescent="0.25">
      <c r="A12" s="22" t="b">
        <v>0</v>
      </c>
      <c r="B12" s="22" t="s">
        <v>1941</v>
      </c>
      <c r="C12" s="34">
        <v>45955</v>
      </c>
      <c r="D12" s="22" t="s">
        <v>3780</v>
      </c>
      <c r="E12" s="22">
        <v>117.55</v>
      </c>
      <c r="F12" s="28"/>
      <c r="G12" s="28"/>
      <c r="H12" s="28"/>
      <c r="I12" s="22" t="s">
        <v>482</v>
      </c>
      <c r="J12" s="22" t="s">
        <v>483</v>
      </c>
      <c r="K12" s="22"/>
    </row>
    <row r="13" spans="1:12" x14ac:dyDescent="0.25">
      <c r="A13" s="22" t="b">
        <v>0</v>
      </c>
      <c r="B13" s="22" t="s">
        <v>2454</v>
      </c>
      <c r="C13" s="24">
        <v>46009</v>
      </c>
      <c r="D13" s="22" t="s">
        <v>3781</v>
      </c>
      <c r="E13" s="22">
        <v>-3780</v>
      </c>
      <c r="F13" s="28"/>
      <c r="G13" s="28"/>
      <c r="H13" s="28"/>
      <c r="I13" s="22" t="s">
        <v>489</v>
      </c>
      <c r="J13" s="22" t="s">
        <v>483</v>
      </c>
      <c r="K13" s="22"/>
    </row>
    <row r="14" spans="1:12" x14ac:dyDescent="0.25">
      <c r="A14" s="22" t="b">
        <v>0</v>
      </c>
      <c r="B14" s="22" t="s">
        <v>2077</v>
      </c>
      <c r="C14" s="34">
        <v>45847</v>
      </c>
      <c r="D14" s="22" t="s">
        <v>3782</v>
      </c>
      <c r="E14" s="22">
        <v>-300</v>
      </c>
      <c r="F14" s="28"/>
      <c r="G14" s="28"/>
      <c r="H14" s="28"/>
      <c r="I14" s="22" t="s">
        <v>489</v>
      </c>
      <c r="J14" s="22" t="s">
        <v>483</v>
      </c>
      <c r="K14" s="22"/>
    </row>
    <row r="15" spans="1:12" x14ac:dyDescent="0.25">
      <c r="A15" s="22" t="b">
        <v>0</v>
      </c>
      <c r="B15" s="22" t="s">
        <v>2256</v>
      </c>
      <c r="C15" s="34">
        <v>45929</v>
      </c>
      <c r="D15" s="22" t="s">
        <v>3783</v>
      </c>
      <c r="E15" s="22">
        <v>-450.2</v>
      </c>
      <c r="F15" s="28"/>
      <c r="G15" s="28"/>
      <c r="H15" s="28"/>
      <c r="I15" s="22" t="s">
        <v>489</v>
      </c>
      <c r="J15" s="22" t="s">
        <v>483</v>
      </c>
      <c r="K15" s="22"/>
    </row>
    <row r="16" spans="1:12" x14ac:dyDescent="0.25">
      <c r="A16" s="22" t="b">
        <v>0</v>
      </c>
      <c r="B16" s="22" t="s">
        <v>2457</v>
      </c>
      <c r="C16" s="41">
        <v>46006</v>
      </c>
      <c r="D16" s="22" t="s">
        <v>3784</v>
      </c>
      <c r="E16" s="22">
        <v>19881</v>
      </c>
      <c r="F16" s="28"/>
      <c r="G16" s="28"/>
      <c r="I16" s="28" t="s">
        <v>482</v>
      </c>
      <c r="J16" s="22" t="s">
        <v>483</v>
      </c>
      <c r="K16" s="22"/>
    </row>
    <row r="17" spans="1:11" x14ac:dyDescent="0.25">
      <c r="A17" s="22" t="b">
        <v>0</v>
      </c>
      <c r="B17" s="22" t="s">
        <v>2774</v>
      </c>
      <c r="C17" s="24">
        <v>46031</v>
      </c>
      <c r="D17" s="22" t="s">
        <v>3785</v>
      </c>
      <c r="E17" s="22">
        <v>-510</v>
      </c>
      <c r="F17" s="22" t="s">
        <v>489</v>
      </c>
      <c r="G17" s="22" t="s">
        <v>483</v>
      </c>
      <c r="K17" s="22"/>
    </row>
    <row r="18" spans="1:11" x14ac:dyDescent="0.25">
      <c r="A18" s="22" t="b">
        <v>0</v>
      </c>
      <c r="B18" s="22" t="s">
        <v>2775</v>
      </c>
      <c r="C18" s="24">
        <v>46072</v>
      </c>
      <c r="D18" s="22" t="s">
        <v>3786</v>
      </c>
      <c r="E18" s="22">
        <v>-1730</v>
      </c>
      <c r="F18" s="22" t="s">
        <v>482</v>
      </c>
      <c r="G18" s="22" t="s">
        <v>483</v>
      </c>
      <c r="K18" s="22"/>
    </row>
    <row r="19" spans="1:11" x14ac:dyDescent="0.25">
      <c r="A19" s="22" t="b">
        <v>0</v>
      </c>
      <c r="B19" s="22" t="s">
        <v>2776</v>
      </c>
      <c r="C19" s="24">
        <v>46072</v>
      </c>
      <c r="D19" s="22" t="s">
        <v>3787</v>
      </c>
      <c r="E19" s="22">
        <v>-697</v>
      </c>
      <c r="F19" s="22" t="s">
        <v>489</v>
      </c>
      <c r="G19" s="22" t="s">
        <v>483</v>
      </c>
      <c r="K19" s="22"/>
    </row>
    <row r="20" spans="1:11" x14ac:dyDescent="0.25">
      <c r="D20" s="22" t="s">
        <v>3788</v>
      </c>
      <c r="E20" s="22">
        <v>-922</v>
      </c>
    </row>
    <row r="21" spans="1:11" x14ac:dyDescent="0.25">
      <c r="D21" s="22" t="s">
        <v>3789</v>
      </c>
      <c r="E21" s="22">
        <v>256</v>
      </c>
    </row>
    <row r="22" spans="1:11" x14ac:dyDescent="0.25">
      <c r="D22" s="22" t="s">
        <v>3790</v>
      </c>
      <c r="E22" s="22">
        <v>1178</v>
      </c>
    </row>
    <row r="23" spans="1:11" x14ac:dyDescent="0.25">
      <c r="D23" s="22" t="s">
        <v>3791</v>
      </c>
      <c r="E23" s="22">
        <v>-5000</v>
      </c>
    </row>
    <row r="24" spans="1:11" x14ac:dyDescent="0.25">
      <c r="D24" s="22" t="s">
        <v>3792</v>
      </c>
      <c r="E24" s="22">
        <v>575</v>
      </c>
    </row>
    <row r="25" spans="1:11" x14ac:dyDescent="0.25">
      <c r="A25" s="22" t="b">
        <v>0</v>
      </c>
      <c r="B25" s="22" t="s">
        <v>100</v>
      </c>
      <c r="C25" s="34">
        <v>46067</v>
      </c>
      <c r="D25" s="22" t="s">
        <v>101</v>
      </c>
      <c r="E25" s="22">
        <v>-80</v>
      </c>
      <c r="F25" s="22" t="s">
        <v>489</v>
      </c>
      <c r="G25" s="22" t="s">
        <v>483</v>
      </c>
      <c r="H25" s="22"/>
    </row>
    <row r="26" spans="1:11" x14ac:dyDescent="0.25">
      <c r="A26" s="22" t="b">
        <v>0</v>
      </c>
      <c r="B26" s="22" t="s">
        <v>49</v>
      </c>
      <c r="C26" s="34">
        <v>46071</v>
      </c>
      <c r="D26" s="22" t="s">
        <v>50</v>
      </c>
      <c r="E26" s="22">
        <v>-42.5</v>
      </c>
      <c r="F26" s="22" t="s">
        <v>489</v>
      </c>
      <c r="G26" s="22" t="s">
        <v>483</v>
      </c>
      <c r="H26" s="22"/>
    </row>
  </sheetData>
  <dataValidations count="2">
    <dataValidation type="list" allowBlank="1" showErrorMessage="1" sqref="J2:J16 K17:K19 H25:H26" xr:uid="{00000000-0002-0000-0C00-000000000000}">
      <formula1>"JOBS IN,WX21VZN IN,EQV IN,KM20YYX IN,MISC PAYMENT IN,JOBS OUT,WX21VZN OUT,EQV OUT,MISC PAYMENT OUT,EXPENSES,FUEL,PARKING,WATER + OTHER,WALEED EXPENSE,IMRAN EXPENSE,WAYZ MOTORS,1ST NATIONWIDE,1ST NATIONWIDE"</formula1>
    </dataValidation>
    <dataValidation type="list" allowBlank="1" showErrorMessage="1" sqref="K2:K16" xr:uid="{00000000-0002-0000-0C00-000001000000}">
      <formula1>"JOBS IN,WX21VZN IN,EQV IN,KM20YYX IN,MISC PAYMENT IN,JOBS OUT,WX21VZN OUT,EQV OUT,MISC PAYMENT OUT,EXPENSES,FUEL,PARKING,WATER + OTHER,WALEED EXPENSE,IMRAN EXPENSE,WAYZ MOTORS"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16"/>
  <sheetViews>
    <sheetView workbookViewId="0"/>
  </sheetViews>
  <sheetFormatPr defaultColWidth="12.6640625" defaultRowHeight="15.75" customHeight="1" x14ac:dyDescent="0.25"/>
  <cols>
    <col min="4" max="4" width="32.8867187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1</v>
      </c>
      <c r="B2" s="22" t="s">
        <v>1923</v>
      </c>
      <c r="C2" s="34">
        <v>45822</v>
      </c>
      <c r="D2" s="22" t="s">
        <v>3793</v>
      </c>
      <c r="E2" s="22">
        <v>1482</v>
      </c>
      <c r="F2" s="28"/>
      <c r="G2" s="22" t="s">
        <v>482</v>
      </c>
      <c r="H2" s="22" t="s">
        <v>483</v>
      </c>
      <c r="I2" s="22"/>
    </row>
    <row r="3" spans="1:11" x14ac:dyDescent="0.25">
      <c r="A3" s="22" t="b">
        <v>1</v>
      </c>
      <c r="B3" s="22" t="s">
        <v>1924</v>
      </c>
      <c r="C3" s="34">
        <v>45792</v>
      </c>
      <c r="D3" s="22" t="s">
        <v>3793</v>
      </c>
      <c r="E3" s="22">
        <v>1482</v>
      </c>
      <c r="F3" s="28"/>
      <c r="G3" s="22" t="s">
        <v>482</v>
      </c>
      <c r="H3" s="22" t="s">
        <v>483</v>
      </c>
      <c r="I3" s="22"/>
    </row>
    <row r="4" spans="1:11" x14ac:dyDescent="0.25">
      <c r="A4" s="22" t="b">
        <v>1</v>
      </c>
      <c r="B4" s="22" t="s">
        <v>1925</v>
      </c>
      <c r="C4" s="34">
        <v>45758</v>
      </c>
      <c r="D4" s="22" t="s">
        <v>3793</v>
      </c>
      <c r="E4" s="22">
        <v>1082</v>
      </c>
      <c r="F4" s="28"/>
      <c r="G4" s="22" t="s">
        <v>482</v>
      </c>
      <c r="H4" s="22" t="s">
        <v>483</v>
      </c>
      <c r="I4" s="22"/>
    </row>
    <row r="5" spans="1:11" x14ac:dyDescent="0.25">
      <c r="A5" s="22" t="b">
        <v>1</v>
      </c>
      <c r="B5" s="22" t="s">
        <v>1926</v>
      </c>
      <c r="C5" s="34">
        <v>45944</v>
      </c>
      <c r="D5" s="22" t="s">
        <v>3794</v>
      </c>
      <c r="E5" s="22">
        <v>600</v>
      </c>
      <c r="F5" s="28"/>
      <c r="G5" s="22" t="s">
        <v>482</v>
      </c>
      <c r="H5" s="22" t="s">
        <v>483</v>
      </c>
      <c r="I5" s="22"/>
    </row>
    <row r="6" spans="1:11" x14ac:dyDescent="0.25">
      <c r="A6" s="22" t="b">
        <v>0</v>
      </c>
      <c r="B6" s="22" t="s">
        <v>1294</v>
      </c>
      <c r="C6" s="34">
        <v>45758</v>
      </c>
      <c r="D6" s="22" t="s">
        <v>2794</v>
      </c>
      <c r="E6" s="22">
        <v>65</v>
      </c>
      <c r="F6" s="28"/>
      <c r="G6" s="22" t="s">
        <v>482</v>
      </c>
      <c r="H6" s="22" t="s">
        <v>483</v>
      </c>
      <c r="I6" s="22"/>
    </row>
    <row r="7" spans="1:11" x14ac:dyDescent="0.25">
      <c r="A7" s="22" t="b">
        <v>0</v>
      </c>
      <c r="B7" s="22" t="s">
        <v>2692</v>
      </c>
      <c r="C7" s="34">
        <v>45747</v>
      </c>
      <c r="D7" s="22" t="s">
        <v>3793</v>
      </c>
      <c r="E7" s="22">
        <v>370.5</v>
      </c>
      <c r="F7" s="28"/>
      <c r="G7" s="22" t="s">
        <v>482</v>
      </c>
      <c r="H7" s="22" t="s">
        <v>483</v>
      </c>
      <c r="I7" s="22"/>
      <c r="J7" s="22">
        <v>2</v>
      </c>
    </row>
    <row r="8" spans="1:11" x14ac:dyDescent="0.25">
      <c r="A8" s="22" t="b">
        <v>0</v>
      </c>
      <c r="B8" s="22" t="s">
        <v>2693</v>
      </c>
      <c r="C8" s="34">
        <v>45739</v>
      </c>
      <c r="D8" s="22" t="s">
        <v>3793</v>
      </c>
      <c r="E8" s="22">
        <v>370.5</v>
      </c>
      <c r="F8" s="28"/>
      <c r="G8" s="22" t="s">
        <v>482</v>
      </c>
      <c r="H8" s="22" t="s">
        <v>483</v>
      </c>
      <c r="I8" s="22"/>
      <c r="J8" s="22">
        <v>36</v>
      </c>
    </row>
    <row r="9" spans="1:11" x14ac:dyDescent="0.25">
      <c r="A9" s="22" t="b">
        <v>0</v>
      </c>
      <c r="B9" s="22" t="s">
        <v>2694</v>
      </c>
      <c r="C9" s="34">
        <v>45732</v>
      </c>
      <c r="D9" s="22" t="s">
        <v>3793</v>
      </c>
      <c r="E9" s="22">
        <v>370.5</v>
      </c>
      <c r="F9" s="28"/>
      <c r="G9" s="22" t="s">
        <v>482</v>
      </c>
      <c r="H9" s="22" t="s">
        <v>483</v>
      </c>
      <c r="I9" s="22"/>
      <c r="J9" s="22">
        <v>82</v>
      </c>
    </row>
    <row r="10" spans="1:11" x14ac:dyDescent="0.25">
      <c r="A10" s="22" t="b">
        <v>0</v>
      </c>
      <c r="B10" s="22" t="s">
        <v>2695</v>
      </c>
      <c r="C10" s="34">
        <v>45725</v>
      </c>
      <c r="D10" s="22" t="s">
        <v>3795</v>
      </c>
      <c r="E10" s="22">
        <v>3000</v>
      </c>
      <c r="F10" s="28"/>
      <c r="G10" s="22" t="s">
        <v>482</v>
      </c>
      <c r="H10" s="22" t="s">
        <v>483</v>
      </c>
      <c r="I10" s="22"/>
      <c r="J10" s="22">
        <v>130</v>
      </c>
    </row>
    <row r="11" spans="1:11" x14ac:dyDescent="0.25">
      <c r="A11" s="22" t="b">
        <v>0</v>
      </c>
      <c r="B11" s="22" t="s">
        <v>2696</v>
      </c>
      <c r="C11" s="34">
        <v>45724</v>
      </c>
      <c r="D11" s="22" t="s">
        <v>3795</v>
      </c>
      <c r="E11" s="22">
        <v>370.5</v>
      </c>
      <c r="F11" s="28"/>
      <c r="G11" s="22" t="s">
        <v>482</v>
      </c>
      <c r="H11" s="22" t="s">
        <v>483</v>
      </c>
      <c r="I11" s="22"/>
      <c r="J11" s="22">
        <v>132</v>
      </c>
    </row>
    <row r="12" spans="1:11" x14ac:dyDescent="0.25">
      <c r="A12" s="22" t="b">
        <v>0</v>
      </c>
      <c r="B12" s="22" t="s">
        <v>98</v>
      </c>
      <c r="C12" s="34">
        <v>46067</v>
      </c>
      <c r="D12" s="22" t="s">
        <v>2789</v>
      </c>
      <c r="E12" s="22">
        <v>287</v>
      </c>
      <c r="F12" s="22" t="s">
        <v>482</v>
      </c>
      <c r="G12" s="22" t="s">
        <v>483</v>
      </c>
      <c r="H12" s="22"/>
      <c r="I12" s="22">
        <v>30</v>
      </c>
    </row>
    <row r="13" spans="1:11" x14ac:dyDescent="0.25">
      <c r="A13" s="22" t="b">
        <v>0</v>
      </c>
      <c r="B13" s="22" t="s">
        <v>131</v>
      </c>
      <c r="C13" s="34">
        <v>46064</v>
      </c>
      <c r="D13" s="22" t="s">
        <v>3796</v>
      </c>
      <c r="E13" s="22">
        <v>370</v>
      </c>
      <c r="F13" s="22" t="s">
        <v>482</v>
      </c>
      <c r="G13" s="22" t="s">
        <v>483</v>
      </c>
      <c r="H13" s="22"/>
      <c r="I13" s="22">
        <v>46</v>
      </c>
    </row>
    <row r="14" spans="1:11" x14ac:dyDescent="0.25">
      <c r="A14" s="22" t="b">
        <v>0</v>
      </c>
      <c r="B14" s="22" t="s">
        <v>212</v>
      </c>
      <c r="C14" s="34">
        <v>46057</v>
      </c>
      <c r="D14" s="22" t="s">
        <v>3796</v>
      </c>
      <c r="E14" s="22">
        <v>370</v>
      </c>
      <c r="F14" s="22" t="s">
        <v>482</v>
      </c>
      <c r="G14" s="22" t="s">
        <v>483</v>
      </c>
      <c r="H14" s="22"/>
      <c r="I14" s="22">
        <v>83</v>
      </c>
    </row>
    <row r="15" spans="1:11" x14ac:dyDescent="0.25">
      <c r="A15" s="22" t="b">
        <v>0</v>
      </c>
      <c r="B15" s="22" t="s">
        <v>285</v>
      </c>
      <c r="C15" s="34">
        <v>46048</v>
      </c>
      <c r="D15" s="22" t="s">
        <v>3796</v>
      </c>
      <c r="E15" s="22">
        <v>370</v>
      </c>
      <c r="F15" s="22" t="s">
        <v>482</v>
      </c>
      <c r="G15" s="22" t="s">
        <v>483</v>
      </c>
      <c r="H15" s="22"/>
      <c r="I15" s="22">
        <v>120</v>
      </c>
    </row>
    <row r="16" spans="1:11" x14ac:dyDescent="0.25">
      <c r="A16" s="22" t="b">
        <v>0</v>
      </c>
      <c r="B16" s="22" t="s">
        <v>340</v>
      </c>
      <c r="C16" s="34">
        <v>46041</v>
      </c>
      <c r="D16" s="22" t="s">
        <v>3796</v>
      </c>
      <c r="E16" s="22">
        <v>370</v>
      </c>
      <c r="F16" s="22" t="s">
        <v>482</v>
      </c>
      <c r="G16" s="22" t="s">
        <v>483</v>
      </c>
      <c r="H16" s="22"/>
      <c r="I16" s="22">
        <v>147</v>
      </c>
    </row>
  </sheetData>
  <dataValidations count="1">
    <dataValidation type="list" allowBlank="1" showErrorMessage="1" sqref="I2:I11 H12:H16" xr:uid="{00000000-0002-0000-0D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1"/>
  <sheetViews>
    <sheetView workbookViewId="0"/>
  </sheetViews>
  <sheetFormatPr defaultColWidth="12.6640625" defaultRowHeight="15.75" customHeight="1" x14ac:dyDescent="0.25"/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3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28.77734375" customWidth="1"/>
    <col min="4" max="4" width="42.7773437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0</v>
      </c>
      <c r="B2" s="22" t="s">
        <v>1218</v>
      </c>
      <c r="C2" s="34">
        <v>45785</v>
      </c>
      <c r="D2" s="22" t="s">
        <v>3797</v>
      </c>
      <c r="E2" s="22">
        <v>1000</v>
      </c>
      <c r="F2" s="28"/>
      <c r="G2" s="22" t="s">
        <v>482</v>
      </c>
      <c r="H2" s="22" t="s">
        <v>483</v>
      </c>
      <c r="I2" s="22"/>
    </row>
    <row r="3" spans="1:11" x14ac:dyDescent="0.25">
      <c r="A3" s="22" t="b">
        <v>0</v>
      </c>
      <c r="B3" s="22" t="s">
        <v>1219</v>
      </c>
      <c r="C3" s="34">
        <v>45785</v>
      </c>
      <c r="D3" s="22" t="s">
        <v>3797</v>
      </c>
      <c r="E3" s="22">
        <v>430</v>
      </c>
      <c r="F3" s="28"/>
      <c r="G3" s="22" t="s">
        <v>482</v>
      </c>
      <c r="H3" s="22" t="s">
        <v>483</v>
      </c>
      <c r="I3" s="22"/>
    </row>
    <row r="4" spans="1:11" x14ac:dyDescent="0.25">
      <c r="A4" s="22" t="b">
        <v>0</v>
      </c>
      <c r="B4" s="22" t="s">
        <v>1181</v>
      </c>
      <c r="C4" s="34">
        <v>45792</v>
      </c>
      <c r="D4" s="22" t="s">
        <v>3797</v>
      </c>
      <c r="E4" s="22">
        <v>250</v>
      </c>
      <c r="F4" s="28"/>
      <c r="G4" s="22" t="s">
        <v>482</v>
      </c>
      <c r="H4" s="22" t="s">
        <v>483</v>
      </c>
      <c r="I4" s="22"/>
    </row>
    <row r="5" spans="1:11" x14ac:dyDescent="0.25">
      <c r="A5" s="22" t="b">
        <v>0</v>
      </c>
      <c r="B5" s="22" t="s">
        <v>1144</v>
      </c>
      <c r="C5" s="34">
        <v>45799</v>
      </c>
      <c r="D5" s="22" t="s">
        <v>3797</v>
      </c>
      <c r="E5" s="22">
        <v>450</v>
      </c>
      <c r="F5" s="28"/>
      <c r="G5" s="22" t="s">
        <v>482</v>
      </c>
      <c r="H5" s="22" t="s">
        <v>483</v>
      </c>
      <c r="I5" s="22"/>
    </row>
    <row r="6" spans="1:11" x14ac:dyDescent="0.25">
      <c r="A6" s="22" t="b">
        <v>0</v>
      </c>
      <c r="B6" s="22" t="s">
        <v>1086</v>
      </c>
      <c r="C6" s="34">
        <v>45807</v>
      </c>
      <c r="D6" s="22" t="s">
        <v>3797</v>
      </c>
      <c r="E6" s="22">
        <v>450</v>
      </c>
      <c r="F6" s="28"/>
      <c r="G6" s="22" t="s">
        <v>482</v>
      </c>
      <c r="H6" s="22" t="s">
        <v>483</v>
      </c>
      <c r="I6" s="22"/>
    </row>
    <row r="7" spans="1:11" x14ac:dyDescent="0.25">
      <c r="A7" s="22" t="b">
        <v>0</v>
      </c>
      <c r="B7" s="22" t="s">
        <v>970</v>
      </c>
      <c r="C7" s="34">
        <v>45821</v>
      </c>
      <c r="D7" s="22" t="s">
        <v>3797</v>
      </c>
      <c r="E7" s="22">
        <v>450</v>
      </c>
      <c r="F7" s="28"/>
      <c r="G7" s="22" t="s">
        <v>482</v>
      </c>
      <c r="H7" s="22" t="s">
        <v>483</v>
      </c>
      <c r="I7" s="22"/>
    </row>
    <row r="8" spans="1:11" x14ac:dyDescent="0.25">
      <c r="A8" s="22" t="b">
        <v>0</v>
      </c>
      <c r="B8" s="22" t="s">
        <v>905</v>
      </c>
      <c r="C8" s="34">
        <v>45828</v>
      </c>
      <c r="D8" s="22" t="s">
        <v>3797</v>
      </c>
      <c r="E8" s="22">
        <v>450</v>
      </c>
      <c r="F8" s="28"/>
      <c r="G8" s="22" t="s">
        <v>482</v>
      </c>
      <c r="H8" s="22" t="s">
        <v>483</v>
      </c>
      <c r="I8" s="22"/>
    </row>
    <row r="9" spans="1:11" x14ac:dyDescent="0.25">
      <c r="A9" s="22" t="b">
        <v>0</v>
      </c>
      <c r="B9" s="22" t="s">
        <v>776</v>
      </c>
      <c r="C9" s="34">
        <v>45841</v>
      </c>
      <c r="D9" s="22" t="s">
        <v>3797</v>
      </c>
      <c r="E9" s="22">
        <v>370</v>
      </c>
      <c r="F9" s="28"/>
      <c r="G9" s="22" t="s">
        <v>482</v>
      </c>
      <c r="H9" s="22" t="s">
        <v>483</v>
      </c>
      <c r="I9" s="22"/>
    </row>
    <row r="10" spans="1:11" x14ac:dyDescent="0.25">
      <c r="A10" s="22" t="b">
        <v>0</v>
      </c>
      <c r="B10" s="22" t="s">
        <v>777</v>
      </c>
      <c r="C10" s="34">
        <v>45841</v>
      </c>
      <c r="D10" s="22" t="s">
        <v>3797</v>
      </c>
      <c r="E10" s="22">
        <v>1000</v>
      </c>
      <c r="F10" s="28"/>
      <c r="G10" s="22" t="s">
        <v>482</v>
      </c>
      <c r="H10" s="22" t="s">
        <v>483</v>
      </c>
      <c r="I10" s="22"/>
    </row>
    <row r="11" spans="1:11" x14ac:dyDescent="0.25">
      <c r="A11" s="22" t="b">
        <v>0</v>
      </c>
      <c r="B11" s="22" t="s">
        <v>778</v>
      </c>
      <c r="C11" s="34">
        <v>45841</v>
      </c>
      <c r="D11" s="22" t="s">
        <v>3797</v>
      </c>
      <c r="E11" s="22">
        <v>1000</v>
      </c>
      <c r="F11" s="28"/>
      <c r="G11" s="22" t="s">
        <v>482</v>
      </c>
      <c r="H11" s="22" t="s">
        <v>483</v>
      </c>
      <c r="I11" s="22"/>
    </row>
    <row r="12" spans="1:11" x14ac:dyDescent="0.25">
      <c r="A12" s="22" t="b">
        <v>0</v>
      </c>
      <c r="B12" s="22" t="s">
        <v>779</v>
      </c>
      <c r="C12" s="34">
        <v>45841</v>
      </c>
      <c r="D12" s="22" t="s">
        <v>3797</v>
      </c>
      <c r="E12" s="22">
        <v>1000</v>
      </c>
      <c r="F12" s="28"/>
      <c r="G12" s="22" t="s">
        <v>482</v>
      </c>
      <c r="H12" s="22" t="s">
        <v>483</v>
      </c>
      <c r="I12" s="22"/>
    </row>
    <row r="13" spans="1:11" x14ac:dyDescent="0.25">
      <c r="A13" s="22" t="b">
        <v>0</v>
      </c>
      <c r="B13" s="22" t="s">
        <v>708</v>
      </c>
      <c r="C13" s="34">
        <v>45849</v>
      </c>
      <c r="D13" s="22" t="s">
        <v>3797</v>
      </c>
      <c r="E13" s="22">
        <v>370</v>
      </c>
      <c r="F13" s="28"/>
      <c r="G13" s="22" t="s">
        <v>482</v>
      </c>
      <c r="H13" s="22" t="s">
        <v>483</v>
      </c>
      <c r="I13" s="22"/>
    </row>
    <row r="14" spans="1:11" x14ac:dyDescent="0.25">
      <c r="A14" s="22" t="b">
        <v>0</v>
      </c>
      <c r="B14" s="22" t="s">
        <v>625</v>
      </c>
      <c r="C14" s="34">
        <v>45857</v>
      </c>
      <c r="D14" s="22" t="s">
        <v>3797</v>
      </c>
      <c r="E14" s="22">
        <v>370</v>
      </c>
      <c r="F14" s="28"/>
      <c r="G14" s="22" t="s">
        <v>482</v>
      </c>
      <c r="H14" s="22" t="s">
        <v>483</v>
      </c>
      <c r="I14" s="22"/>
    </row>
    <row r="15" spans="1:11" x14ac:dyDescent="0.25">
      <c r="A15" s="22" t="b">
        <v>0</v>
      </c>
      <c r="B15" s="22" t="s">
        <v>515</v>
      </c>
      <c r="C15" s="34">
        <v>45877</v>
      </c>
      <c r="D15" s="22" t="s">
        <v>3797</v>
      </c>
      <c r="E15" s="22">
        <v>560</v>
      </c>
      <c r="F15" s="28"/>
      <c r="G15" s="22" t="s">
        <v>482</v>
      </c>
      <c r="H15" s="22" t="s">
        <v>483</v>
      </c>
      <c r="I15" s="22"/>
    </row>
    <row r="16" spans="1:11" x14ac:dyDescent="0.25">
      <c r="A16" s="22" t="b">
        <v>0</v>
      </c>
      <c r="B16" s="22" t="s">
        <v>517</v>
      </c>
      <c r="C16" s="34">
        <v>45877</v>
      </c>
      <c r="D16" s="22" t="s">
        <v>3797</v>
      </c>
      <c r="E16" s="22">
        <v>550</v>
      </c>
      <c r="F16" s="28"/>
      <c r="G16" s="22" t="s">
        <v>482</v>
      </c>
      <c r="H16" s="22" t="s">
        <v>483</v>
      </c>
      <c r="I16" s="22"/>
    </row>
    <row r="17" spans="1:9" x14ac:dyDescent="0.25">
      <c r="A17" s="22" t="b">
        <v>0</v>
      </c>
      <c r="B17" s="22" t="s">
        <v>1878</v>
      </c>
      <c r="C17" s="34">
        <v>45887</v>
      </c>
      <c r="D17" s="22" t="s">
        <v>3797</v>
      </c>
      <c r="E17" s="22">
        <v>370</v>
      </c>
      <c r="F17" s="28"/>
      <c r="G17" s="22" t="s">
        <v>482</v>
      </c>
      <c r="H17" s="22" t="s">
        <v>483</v>
      </c>
      <c r="I17" s="22"/>
    </row>
    <row r="18" spans="1:9" x14ac:dyDescent="0.25">
      <c r="A18" s="22" t="b">
        <v>0</v>
      </c>
      <c r="B18" s="22" t="s">
        <v>1793</v>
      </c>
      <c r="C18" s="34">
        <v>45902</v>
      </c>
      <c r="D18" s="22" t="s">
        <v>3797</v>
      </c>
      <c r="E18" s="22">
        <v>740</v>
      </c>
      <c r="F18" s="28"/>
      <c r="G18" s="22" t="s">
        <v>482</v>
      </c>
      <c r="H18" s="22" t="s">
        <v>483</v>
      </c>
      <c r="I18" s="22"/>
    </row>
    <row r="19" spans="1:9" x14ac:dyDescent="0.25">
      <c r="A19" s="22" t="b">
        <v>0</v>
      </c>
      <c r="B19" s="22" t="s">
        <v>1769</v>
      </c>
      <c r="C19" s="34">
        <v>45906</v>
      </c>
      <c r="D19" s="22" t="s">
        <v>3797</v>
      </c>
      <c r="E19" s="22">
        <v>370</v>
      </c>
      <c r="F19" s="28"/>
      <c r="G19" s="22" t="s">
        <v>482</v>
      </c>
      <c r="H19" s="22" t="s">
        <v>483</v>
      </c>
      <c r="I19" s="22"/>
    </row>
    <row r="20" spans="1:9" x14ac:dyDescent="0.25">
      <c r="A20" s="22" t="b">
        <v>0</v>
      </c>
      <c r="B20" s="22" t="s">
        <v>1693</v>
      </c>
      <c r="C20" s="34">
        <v>45917</v>
      </c>
      <c r="D20" s="22" t="s">
        <v>135</v>
      </c>
      <c r="E20" s="22">
        <v>1</v>
      </c>
      <c r="F20" s="28"/>
      <c r="G20" s="22" t="s">
        <v>482</v>
      </c>
      <c r="H20" s="22" t="s">
        <v>483</v>
      </c>
      <c r="I20" s="22"/>
    </row>
    <row r="21" spans="1:9" x14ac:dyDescent="0.25">
      <c r="A21" s="22" t="b">
        <v>0</v>
      </c>
      <c r="B21" s="22" t="s">
        <v>1690</v>
      </c>
      <c r="C21" s="34">
        <v>45918</v>
      </c>
      <c r="D21" s="22" t="s">
        <v>135</v>
      </c>
      <c r="E21" s="22">
        <v>370</v>
      </c>
      <c r="F21" s="28"/>
      <c r="G21" s="22" t="s">
        <v>482</v>
      </c>
      <c r="H21" s="22" t="s">
        <v>483</v>
      </c>
      <c r="I21" s="22"/>
    </row>
    <row r="22" spans="1:9" x14ac:dyDescent="0.25">
      <c r="A22" s="22" t="b">
        <v>0</v>
      </c>
      <c r="B22" s="22" t="s">
        <v>1672</v>
      </c>
      <c r="C22" s="34">
        <v>45923</v>
      </c>
      <c r="D22" s="22" t="s">
        <v>135</v>
      </c>
      <c r="E22" s="22">
        <v>370</v>
      </c>
      <c r="F22" s="28"/>
      <c r="G22" s="22" t="s">
        <v>482</v>
      </c>
      <c r="H22" s="22" t="s">
        <v>483</v>
      </c>
      <c r="I22" s="22"/>
    </row>
    <row r="23" spans="1:9" x14ac:dyDescent="0.25">
      <c r="A23" s="22" t="b">
        <v>0</v>
      </c>
      <c r="B23" s="22" t="s">
        <v>1608</v>
      </c>
      <c r="C23" s="34">
        <v>45932</v>
      </c>
      <c r="D23" s="22" t="s">
        <v>135</v>
      </c>
      <c r="E23" s="22">
        <v>370</v>
      </c>
      <c r="F23" s="28"/>
      <c r="G23" s="22" t="s">
        <v>482</v>
      </c>
      <c r="H23" s="22" t="s">
        <v>483</v>
      </c>
      <c r="I23" s="22"/>
    </row>
    <row r="24" spans="1:9" x14ac:dyDescent="0.25">
      <c r="A24" s="22" t="b">
        <v>0</v>
      </c>
      <c r="B24" s="22" t="s">
        <v>1600</v>
      </c>
      <c r="C24" s="34">
        <v>45934</v>
      </c>
      <c r="D24" s="22" t="s">
        <v>135</v>
      </c>
      <c r="E24" s="22">
        <v>370</v>
      </c>
      <c r="F24" s="28"/>
      <c r="G24" s="22" t="s">
        <v>482</v>
      </c>
      <c r="H24" s="22" t="s">
        <v>483</v>
      </c>
      <c r="I24" s="22"/>
    </row>
    <row r="25" spans="1:9" x14ac:dyDescent="0.25">
      <c r="A25" s="22" t="b">
        <v>0</v>
      </c>
      <c r="B25" s="22" t="s">
        <v>1565</v>
      </c>
      <c r="C25" s="34">
        <v>45947</v>
      </c>
      <c r="D25" s="22" t="s">
        <v>135</v>
      </c>
      <c r="E25" s="22">
        <v>370</v>
      </c>
      <c r="F25" s="28"/>
      <c r="G25" s="22" t="s">
        <v>482</v>
      </c>
      <c r="H25" s="22" t="s">
        <v>483</v>
      </c>
      <c r="I25" s="22"/>
    </row>
    <row r="26" spans="1:9" x14ac:dyDescent="0.25">
      <c r="A26" s="22" t="b">
        <v>0</v>
      </c>
      <c r="B26" s="22" t="s">
        <v>1557</v>
      </c>
      <c r="C26" s="34">
        <v>45950</v>
      </c>
      <c r="D26" s="22" t="s">
        <v>3798</v>
      </c>
      <c r="E26" s="22">
        <v>370</v>
      </c>
      <c r="F26" s="28"/>
      <c r="G26" s="22" t="s">
        <v>482</v>
      </c>
      <c r="H26" s="22" t="s">
        <v>483</v>
      </c>
      <c r="I26" s="22"/>
    </row>
    <row r="27" spans="1:9" x14ac:dyDescent="0.25">
      <c r="A27" s="22" t="b">
        <v>0</v>
      </c>
      <c r="B27" s="22" t="s">
        <v>1528</v>
      </c>
      <c r="C27" s="34">
        <v>45961</v>
      </c>
      <c r="D27" s="22" t="s">
        <v>3799</v>
      </c>
      <c r="E27" s="22">
        <v>370</v>
      </c>
      <c r="F27" s="28"/>
      <c r="G27" s="22" t="s">
        <v>482</v>
      </c>
      <c r="H27" s="22" t="s">
        <v>483</v>
      </c>
      <c r="I27" s="22"/>
    </row>
    <row r="28" spans="1:9" x14ac:dyDescent="0.25">
      <c r="A28" s="22" t="b">
        <v>0</v>
      </c>
      <c r="B28" s="22" t="s">
        <v>1501</v>
      </c>
      <c r="C28" s="34">
        <v>45968</v>
      </c>
      <c r="D28" s="22" t="s">
        <v>3799</v>
      </c>
      <c r="E28" s="22">
        <v>370</v>
      </c>
      <c r="F28" s="28"/>
      <c r="G28" s="22" t="s">
        <v>482</v>
      </c>
      <c r="H28" s="22" t="s">
        <v>483</v>
      </c>
      <c r="I28" s="22"/>
    </row>
    <row r="29" spans="1:9" x14ac:dyDescent="0.25">
      <c r="A29" s="22" t="b">
        <v>0</v>
      </c>
      <c r="B29" s="22" t="s">
        <v>1467</v>
      </c>
      <c r="C29" s="34">
        <v>45979</v>
      </c>
      <c r="D29" s="22" t="s">
        <v>3799</v>
      </c>
      <c r="E29" s="22">
        <v>370</v>
      </c>
      <c r="F29" s="28"/>
      <c r="G29" s="22" t="s">
        <v>482</v>
      </c>
      <c r="H29" s="22" t="s">
        <v>483</v>
      </c>
      <c r="I29" s="22"/>
    </row>
    <row r="30" spans="1:9" x14ac:dyDescent="0.25">
      <c r="A30" s="22" t="b">
        <v>0</v>
      </c>
      <c r="B30" s="22" t="s">
        <v>1428</v>
      </c>
      <c r="C30" s="34">
        <v>45987</v>
      </c>
      <c r="D30" s="22" t="s">
        <v>3799</v>
      </c>
      <c r="E30" s="22">
        <v>370</v>
      </c>
      <c r="F30" s="28"/>
      <c r="G30" s="22" t="s">
        <v>482</v>
      </c>
      <c r="H30" s="22" t="s">
        <v>483</v>
      </c>
      <c r="I30" s="22"/>
    </row>
    <row r="31" spans="1:9" x14ac:dyDescent="0.25">
      <c r="A31" s="22" t="b">
        <v>0</v>
      </c>
      <c r="B31" s="22" t="s">
        <v>1423</v>
      </c>
      <c r="C31" s="34">
        <v>45989</v>
      </c>
      <c r="D31" s="22" t="s">
        <v>3799</v>
      </c>
      <c r="E31" s="22">
        <v>370</v>
      </c>
      <c r="F31" s="28"/>
      <c r="G31" s="22" t="s">
        <v>482</v>
      </c>
      <c r="H31" s="22" t="s">
        <v>483</v>
      </c>
      <c r="I31" s="22"/>
    </row>
    <row r="32" spans="1:9" x14ac:dyDescent="0.25">
      <c r="A32" s="22" t="b">
        <v>0</v>
      </c>
      <c r="B32" s="22" t="s">
        <v>1362</v>
      </c>
      <c r="C32" s="34">
        <v>45998</v>
      </c>
      <c r="D32" s="22" t="s">
        <v>3799</v>
      </c>
      <c r="E32" s="22">
        <v>370</v>
      </c>
      <c r="F32" s="28"/>
      <c r="G32" s="22" t="s">
        <v>482</v>
      </c>
      <c r="H32" s="22" t="s">
        <v>483</v>
      </c>
      <c r="I32" s="22"/>
    </row>
    <row r="33" spans="1:9" x14ac:dyDescent="0.25">
      <c r="A33" s="22" t="b">
        <v>0</v>
      </c>
      <c r="B33" s="22" t="s">
        <v>1335</v>
      </c>
      <c r="C33" s="34">
        <v>46005</v>
      </c>
      <c r="D33" s="22" t="s">
        <v>3799</v>
      </c>
      <c r="E33" s="22">
        <v>370</v>
      </c>
      <c r="F33" s="28"/>
      <c r="G33" s="22" t="s">
        <v>482</v>
      </c>
      <c r="H33" s="22" t="s">
        <v>483</v>
      </c>
      <c r="I33" s="22"/>
    </row>
    <row r="34" spans="1:9" x14ac:dyDescent="0.25">
      <c r="A34" s="22" t="b">
        <v>0</v>
      </c>
      <c r="B34" s="22" t="s">
        <v>402</v>
      </c>
      <c r="C34" s="34">
        <v>46012</v>
      </c>
      <c r="D34" s="22" t="s">
        <v>3799</v>
      </c>
      <c r="E34" s="22">
        <v>370</v>
      </c>
      <c r="F34" s="28"/>
      <c r="G34" s="22" t="s">
        <v>482</v>
      </c>
      <c r="H34" s="22" t="s">
        <v>483</v>
      </c>
      <c r="I34" s="22"/>
    </row>
    <row r="35" spans="1:9" x14ac:dyDescent="0.25">
      <c r="A35" s="22" t="b">
        <v>0</v>
      </c>
      <c r="B35" s="22" t="s">
        <v>2739</v>
      </c>
      <c r="C35" s="34">
        <v>46019</v>
      </c>
      <c r="D35" s="22" t="s">
        <v>3799</v>
      </c>
      <c r="E35" s="22">
        <v>370</v>
      </c>
      <c r="F35" s="28"/>
      <c r="G35" s="22" t="s">
        <v>482</v>
      </c>
      <c r="H35" s="22" t="s">
        <v>483</v>
      </c>
      <c r="I35" s="22"/>
    </row>
    <row r="36" spans="1:9" x14ac:dyDescent="0.25">
      <c r="A36" s="22" t="b">
        <v>0</v>
      </c>
      <c r="B36" s="22" t="s">
        <v>134</v>
      </c>
      <c r="C36" s="34">
        <v>46064</v>
      </c>
      <c r="D36" s="22" t="s">
        <v>3799</v>
      </c>
      <c r="E36" s="22">
        <v>370</v>
      </c>
      <c r="F36" s="22" t="s">
        <v>482</v>
      </c>
      <c r="G36" s="22" t="s">
        <v>483</v>
      </c>
      <c r="H36" s="22"/>
      <c r="I36" s="22">
        <v>47</v>
      </c>
    </row>
    <row r="37" spans="1:9" x14ac:dyDescent="0.25">
      <c r="A37" s="22" t="b">
        <v>0</v>
      </c>
      <c r="B37" s="22" t="s">
        <v>254</v>
      </c>
      <c r="C37" s="34">
        <v>46053</v>
      </c>
      <c r="D37" s="22" t="s">
        <v>3799</v>
      </c>
      <c r="E37" s="22">
        <v>370</v>
      </c>
      <c r="F37" s="22" t="s">
        <v>482</v>
      </c>
      <c r="G37" s="22" t="s">
        <v>483</v>
      </c>
      <c r="H37" s="22"/>
      <c r="I37" s="22">
        <v>105</v>
      </c>
    </row>
    <row r="38" spans="1:9" x14ac:dyDescent="0.25">
      <c r="A38" s="22" t="b">
        <v>0</v>
      </c>
      <c r="B38" s="22" t="s">
        <v>312</v>
      </c>
      <c r="C38" s="34">
        <v>46044</v>
      </c>
      <c r="D38" s="22" t="s">
        <v>3799</v>
      </c>
      <c r="E38" s="22">
        <v>370</v>
      </c>
      <c r="F38" s="22" t="s">
        <v>482</v>
      </c>
      <c r="G38" s="22" t="s">
        <v>483</v>
      </c>
      <c r="H38" s="22"/>
      <c r="I38" s="22">
        <v>135</v>
      </c>
    </row>
  </sheetData>
  <dataValidations count="1">
    <dataValidation type="list" allowBlank="1" showErrorMessage="1" sqref="I2:I35 H36:H38" xr:uid="{00000000-0002-0000-0F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5"/>
  <sheetViews>
    <sheetView workbookViewId="0"/>
  </sheetViews>
  <sheetFormatPr defaultColWidth="12.6640625" defaultRowHeight="15.75" customHeight="1" x14ac:dyDescent="0.25"/>
  <cols>
    <col min="4" max="4" width="2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0</v>
      </c>
      <c r="B2" s="22" t="s">
        <v>494</v>
      </c>
      <c r="C2" s="34">
        <v>45884</v>
      </c>
      <c r="D2" s="22" t="s">
        <v>3800</v>
      </c>
      <c r="E2" s="22">
        <v>-2133.29</v>
      </c>
      <c r="F2" s="28"/>
      <c r="G2" s="28">
        <v>-355.55</v>
      </c>
      <c r="H2" s="22" t="s">
        <v>489</v>
      </c>
      <c r="I2" s="22" t="s">
        <v>483</v>
      </c>
      <c r="J2" s="22"/>
    </row>
    <row r="3" spans="1:11" x14ac:dyDescent="0.25">
      <c r="A3" s="22" t="b">
        <v>0</v>
      </c>
      <c r="B3" s="22" t="s">
        <v>2422</v>
      </c>
      <c r="C3" s="34">
        <v>45947</v>
      </c>
      <c r="D3" s="22" t="s">
        <v>3801</v>
      </c>
      <c r="E3" s="22">
        <v>-1500</v>
      </c>
      <c r="F3" s="28"/>
      <c r="G3" s="28"/>
      <c r="H3" s="22" t="s">
        <v>489</v>
      </c>
      <c r="I3" s="22" t="s">
        <v>483</v>
      </c>
      <c r="J3" s="22"/>
    </row>
    <row r="4" spans="1:11" x14ac:dyDescent="0.25">
      <c r="A4" s="22" t="b">
        <v>0</v>
      </c>
      <c r="B4" s="22" t="s">
        <v>496</v>
      </c>
      <c r="C4" s="34">
        <v>45883</v>
      </c>
      <c r="D4" s="22" t="s">
        <v>3802</v>
      </c>
      <c r="E4" s="22">
        <v>-500.2</v>
      </c>
      <c r="F4" s="28"/>
      <c r="G4" s="28"/>
      <c r="H4" s="22" t="s">
        <v>489</v>
      </c>
      <c r="I4" s="22" t="s">
        <v>483</v>
      </c>
      <c r="J4" s="22"/>
    </row>
    <row r="5" spans="1:11" x14ac:dyDescent="0.25">
      <c r="A5" s="22" t="b">
        <v>0</v>
      </c>
      <c r="B5" s="22" t="s">
        <v>330</v>
      </c>
      <c r="C5" s="34">
        <v>46042</v>
      </c>
      <c r="D5" s="22" t="s">
        <v>3758</v>
      </c>
      <c r="E5" s="22">
        <v>970</v>
      </c>
      <c r="F5" s="22" t="s">
        <v>489</v>
      </c>
      <c r="G5" s="22" t="s">
        <v>483</v>
      </c>
      <c r="H5" s="22"/>
    </row>
  </sheetData>
  <dataValidations count="1">
    <dataValidation type="list" allowBlank="1" showErrorMessage="1" sqref="I2:J4 H5" xr:uid="{00000000-0002-0000-10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outlinePr summaryBelow="0" summaryRight="0"/>
  </sheetPr>
  <dimension ref="A1:K95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4" max="4" width="43.33203125" customWidth="1"/>
  </cols>
  <sheetData>
    <row r="1" spans="1:11" ht="13.2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ht="13.2" hidden="1" x14ac:dyDescent="0.25">
      <c r="A2" s="22" t="b">
        <v>0</v>
      </c>
      <c r="B2" s="22" t="s">
        <v>2431</v>
      </c>
      <c r="C2" s="34"/>
      <c r="D2" s="22" t="s">
        <v>3803</v>
      </c>
      <c r="E2" s="22">
        <v>-197.2</v>
      </c>
      <c r="F2" s="22"/>
      <c r="G2" s="28"/>
      <c r="H2" s="22" t="s">
        <v>489</v>
      </c>
      <c r="I2" s="22" t="s">
        <v>483</v>
      </c>
      <c r="J2" s="22"/>
    </row>
    <row r="3" spans="1:11" ht="13.2" hidden="1" x14ac:dyDescent="0.25">
      <c r="A3" s="22" t="b">
        <v>0</v>
      </c>
      <c r="B3" s="22" t="s">
        <v>1982</v>
      </c>
      <c r="C3" s="34"/>
      <c r="D3" s="22" t="s">
        <v>3804</v>
      </c>
      <c r="E3" s="22">
        <v>-361.2</v>
      </c>
      <c r="F3" s="22"/>
      <c r="G3" s="28"/>
      <c r="H3" s="22" t="s">
        <v>489</v>
      </c>
      <c r="I3" s="22" t="s">
        <v>483</v>
      </c>
      <c r="J3" s="22"/>
    </row>
    <row r="4" spans="1:11" ht="13.2" hidden="1" x14ac:dyDescent="0.25">
      <c r="A4" s="22" t="b">
        <v>0</v>
      </c>
      <c r="B4" s="22" t="s">
        <v>1983</v>
      </c>
      <c r="C4" s="34"/>
      <c r="D4" s="22" t="s">
        <v>3805</v>
      </c>
      <c r="E4" s="22">
        <v>-90.2</v>
      </c>
      <c r="F4" s="22"/>
      <c r="G4" s="28"/>
      <c r="H4" s="22" t="s">
        <v>489</v>
      </c>
      <c r="I4" s="22" t="s">
        <v>483</v>
      </c>
      <c r="J4" s="22"/>
    </row>
    <row r="5" spans="1:11" ht="13.2" hidden="1" x14ac:dyDescent="0.25">
      <c r="A5" s="22" t="b">
        <v>0</v>
      </c>
      <c r="B5" s="22" t="s">
        <v>1981</v>
      </c>
      <c r="C5" s="34"/>
      <c r="D5" s="22" t="s">
        <v>3806</v>
      </c>
      <c r="E5" s="22">
        <v>-146.91999999999999</v>
      </c>
      <c r="F5" s="22"/>
      <c r="G5" s="28"/>
      <c r="H5" s="22" t="s">
        <v>489</v>
      </c>
      <c r="I5" s="22" t="s">
        <v>483</v>
      </c>
      <c r="J5" s="22"/>
    </row>
    <row r="6" spans="1:11" ht="13.2" hidden="1" x14ac:dyDescent="0.25">
      <c r="A6" s="22" t="b">
        <v>0</v>
      </c>
      <c r="B6" s="22" t="s">
        <v>1980</v>
      </c>
      <c r="C6" s="34"/>
      <c r="D6" s="22" t="s">
        <v>3806</v>
      </c>
      <c r="E6" s="22">
        <v>-200.2</v>
      </c>
      <c r="F6" s="22"/>
      <c r="G6" s="28"/>
      <c r="H6" s="22" t="s">
        <v>489</v>
      </c>
      <c r="I6" s="22" t="s">
        <v>483</v>
      </c>
      <c r="J6" s="22"/>
    </row>
    <row r="7" spans="1:11" ht="13.2" hidden="1" x14ac:dyDescent="0.25">
      <c r="A7" s="22" t="b">
        <v>0</v>
      </c>
      <c r="B7" s="22" t="s">
        <v>1979</v>
      </c>
      <c r="C7" s="34"/>
      <c r="D7" s="22" t="s">
        <v>3806</v>
      </c>
      <c r="E7" s="22">
        <v>-517.44000000000005</v>
      </c>
      <c r="F7" s="22"/>
      <c r="G7" s="28"/>
      <c r="H7" s="22" t="s">
        <v>489</v>
      </c>
      <c r="I7" s="22" t="s">
        <v>483</v>
      </c>
      <c r="J7" s="22"/>
    </row>
    <row r="8" spans="1:11" ht="13.2" x14ac:dyDescent="0.25">
      <c r="A8" s="22" t="b">
        <v>0</v>
      </c>
      <c r="B8" s="22" t="s">
        <v>1257</v>
      </c>
      <c r="C8" s="34">
        <v>45776</v>
      </c>
      <c r="D8" s="22" t="s">
        <v>3807</v>
      </c>
      <c r="E8" s="22">
        <v>-6.57</v>
      </c>
      <c r="F8" s="28"/>
      <c r="G8" s="28"/>
      <c r="H8" s="22" t="s">
        <v>489</v>
      </c>
      <c r="I8" s="22" t="s">
        <v>483</v>
      </c>
      <c r="J8" s="22"/>
    </row>
    <row r="9" spans="1:11" ht="13.2" hidden="1" x14ac:dyDescent="0.25">
      <c r="A9" s="22" t="b">
        <v>0</v>
      </c>
      <c r="B9" s="22" t="s">
        <v>1978</v>
      </c>
      <c r="C9" s="34"/>
      <c r="D9" s="22" t="s">
        <v>3806</v>
      </c>
      <c r="E9" s="22">
        <v>-745</v>
      </c>
      <c r="F9" s="22"/>
      <c r="G9" s="28"/>
      <c r="H9" s="22" t="s">
        <v>489</v>
      </c>
      <c r="I9" s="22" t="s">
        <v>483</v>
      </c>
      <c r="J9" s="22"/>
    </row>
    <row r="10" spans="1:11" ht="13.2" hidden="1" x14ac:dyDescent="0.25">
      <c r="A10" s="22" t="b">
        <v>0</v>
      </c>
      <c r="B10" s="22" t="s">
        <v>1977</v>
      </c>
      <c r="C10" s="34"/>
      <c r="D10" s="22" t="s">
        <v>3806</v>
      </c>
      <c r="E10" s="22">
        <v>-353.7</v>
      </c>
      <c r="F10" s="22"/>
      <c r="G10" s="28"/>
      <c r="H10" s="22" t="s">
        <v>489</v>
      </c>
      <c r="I10" s="22" t="s">
        <v>483</v>
      </c>
      <c r="J10" s="22"/>
    </row>
    <row r="11" spans="1:11" ht="13.2" hidden="1" x14ac:dyDescent="0.25">
      <c r="A11" s="22" t="b">
        <v>0</v>
      </c>
      <c r="B11" s="22" t="s">
        <v>2290</v>
      </c>
      <c r="C11" s="34"/>
      <c r="D11" s="22" t="s">
        <v>3808</v>
      </c>
      <c r="E11" s="22">
        <v>-956.73</v>
      </c>
      <c r="F11" s="22"/>
      <c r="G11" s="28"/>
      <c r="H11" s="22" t="s">
        <v>489</v>
      </c>
      <c r="I11" s="22" t="s">
        <v>483</v>
      </c>
    </row>
    <row r="12" spans="1:11" ht="13.2" hidden="1" x14ac:dyDescent="0.25">
      <c r="A12" s="22" t="b">
        <v>0</v>
      </c>
      <c r="B12" s="22" t="s">
        <v>1976</v>
      </c>
      <c r="C12" s="34"/>
      <c r="D12" s="22" t="s">
        <v>3806</v>
      </c>
      <c r="E12" s="22">
        <v>-951.8</v>
      </c>
      <c r="F12" s="22"/>
      <c r="G12" s="28"/>
      <c r="H12" s="22" t="s">
        <v>489</v>
      </c>
      <c r="I12" s="22" t="s">
        <v>483</v>
      </c>
      <c r="J12" s="22"/>
    </row>
    <row r="13" spans="1:11" ht="13.2" hidden="1" x14ac:dyDescent="0.25">
      <c r="A13" s="22" t="b">
        <v>0</v>
      </c>
      <c r="B13" s="22" t="s">
        <v>1975</v>
      </c>
      <c r="C13" s="34"/>
      <c r="D13" s="22" t="s">
        <v>3806</v>
      </c>
      <c r="E13" s="22">
        <v>-300</v>
      </c>
      <c r="F13" s="22"/>
      <c r="G13" s="28"/>
      <c r="H13" s="22" t="s">
        <v>489</v>
      </c>
      <c r="I13" s="22" t="s">
        <v>483</v>
      </c>
      <c r="J13" s="22"/>
    </row>
    <row r="14" spans="1:11" ht="13.2" x14ac:dyDescent="0.25">
      <c r="A14" s="22" t="b">
        <v>0</v>
      </c>
      <c r="B14" s="22" t="s">
        <v>1205</v>
      </c>
      <c r="C14" s="34">
        <v>45789</v>
      </c>
      <c r="D14" s="22" t="s">
        <v>3809</v>
      </c>
      <c r="E14" s="22">
        <v>-31.61</v>
      </c>
      <c r="F14" s="28"/>
      <c r="G14" s="28">
        <v>-5.27</v>
      </c>
      <c r="H14" s="22" t="s">
        <v>489</v>
      </c>
      <c r="I14" s="22" t="s">
        <v>483</v>
      </c>
      <c r="J14" s="22"/>
    </row>
    <row r="15" spans="1:11" ht="13.2" x14ac:dyDescent="0.25">
      <c r="A15" s="22" t="b">
        <v>0</v>
      </c>
      <c r="B15" s="22" t="s">
        <v>1168</v>
      </c>
      <c r="C15" s="34">
        <v>45796</v>
      </c>
      <c r="D15" s="22" t="s">
        <v>3810</v>
      </c>
      <c r="E15" s="22">
        <v>-23.57</v>
      </c>
      <c r="F15" s="28"/>
      <c r="G15" s="28">
        <v>-3.93</v>
      </c>
      <c r="H15" s="22" t="s">
        <v>489</v>
      </c>
      <c r="I15" s="22" t="s">
        <v>483</v>
      </c>
      <c r="J15" s="22"/>
    </row>
    <row r="16" spans="1:11" ht="13.2" hidden="1" x14ac:dyDescent="0.25">
      <c r="A16" s="22" t="b">
        <v>0</v>
      </c>
      <c r="B16" s="22" t="s">
        <v>1974</v>
      </c>
      <c r="C16" s="34"/>
      <c r="D16" s="22" t="s">
        <v>3806</v>
      </c>
      <c r="E16" s="22">
        <v>-300.2</v>
      </c>
      <c r="F16" s="22"/>
      <c r="G16" s="28"/>
      <c r="H16" s="22" t="s">
        <v>489</v>
      </c>
      <c r="I16" s="22" t="s">
        <v>483</v>
      </c>
      <c r="J16" s="22"/>
    </row>
    <row r="17" spans="1:10" ht="13.2" hidden="1" x14ac:dyDescent="0.25">
      <c r="A17" s="22" t="b">
        <v>0</v>
      </c>
      <c r="B17" s="22" t="s">
        <v>2343</v>
      </c>
      <c r="C17" s="34"/>
      <c r="D17" s="22" t="s">
        <v>3811</v>
      </c>
      <c r="E17" s="22">
        <v>-15.2</v>
      </c>
      <c r="F17" s="22"/>
      <c r="G17" s="28"/>
      <c r="H17" s="22" t="s">
        <v>489</v>
      </c>
      <c r="I17" s="22" t="s">
        <v>483</v>
      </c>
      <c r="J17" s="22"/>
    </row>
    <row r="18" spans="1:10" ht="13.2" x14ac:dyDescent="0.25">
      <c r="A18" s="22" t="b">
        <v>0</v>
      </c>
      <c r="B18" s="22" t="s">
        <v>1089</v>
      </c>
      <c r="C18" s="34">
        <v>45807</v>
      </c>
      <c r="D18" s="22" t="s">
        <v>3812</v>
      </c>
      <c r="E18" s="22">
        <v>-4.99</v>
      </c>
      <c r="F18" s="28"/>
      <c r="G18" s="28"/>
      <c r="H18" s="22" t="s">
        <v>489</v>
      </c>
      <c r="I18" s="22" t="s">
        <v>483</v>
      </c>
      <c r="J18" s="22"/>
    </row>
    <row r="19" spans="1:10" ht="13.2" hidden="1" x14ac:dyDescent="0.25">
      <c r="A19" s="22" t="b">
        <v>0</v>
      </c>
      <c r="B19" s="22" t="s">
        <v>1973</v>
      </c>
      <c r="C19" s="34"/>
      <c r="D19" s="22" t="s">
        <v>3806</v>
      </c>
      <c r="E19" s="22">
        <v>-500.2</v>
      </c>
      <c r="F19" s="22"/>
      <c r="G19" s="28"/>
      <c r="H19" s="22" t="s">
        <v>489</v>
      </c>
      <c r="I19" s="22" t="s">
        <v>483</v>
      </c>
      <c r="J19" s="22"/>
    </row>
    <row r="20" spans="1:10" ht="13.2" x14ac:dyDescent="0.25">
      <c r="A20" s="22" t="b">
        <v>0</v>
      </c>
      <c r="B20" s="22" t="s">
        <v>1065</v>
      </c>
      <c r="C20" s="34">
        <v>45810</v>
      </c>
      <c r="D20" s="22" t="s">
        <v>3632</v>
      </c>
      <c r="E20" s="22">
        <v>-39.9</v>
      </c>
      <c r="F20" s="28"/>
      <c r="G20" s="28">
        <v>-6.65</v>
      </c>
      <c r="H20" s="22" t="s">
        <v>489</v>
      </c>
      <c r="I20" s="22" t="s">
        <v>483</v>
      </c>
      <c r="J20" s="22"/>
    </row>
    <row r="21" spans="1:10" ht="13.2" x14ac:dyDescent="0.25">
      <c r="A21" s="22" t="b">
        <v>0</v>
      </c>
      <c r="B21" s="22" t="s">
        <v>1054</v>
      </c>
      <c r="C21" s="34">
        <v>45811</v>
      </c>
      <c r="D21" s="22" t="s">
        <v>3632</v>
      </c>
      <c r="E21" s="22">
        <v>-13.24</v>
      </c>
      <c r="F21" s="28"/>
      <c r="G21" s="28">
        <v>-2.21</v>
      </c>
      <c r="H21" s="22" t="s">
        <v>489</v>
      </c>
      <c r="I21" s="22" t="s">
        <v>483</v>
      </c>
      <c r="J21" s="22"/>
    </row>
    <row r="22" spans="1:10" ht="13.2" hidden="1" x14ac:dyDescent="0.25">
      <c r="A22" s="22" t="b">
        <v>0</v>
      </c>
      <c r="B22" s="22" t="s">
        <v>2289</v>
      </c>
      <c r="C22" s="34"/>
      <c r="D22" s="22" t="s">
        <v>3813</v>
      </c>
      <c r="E22" s="22">
        <v>-956.53</v>
      </c>
      <c r="F22" s="22"/>
      <c r="G22" s="28"/>
      <c r="H22" s="22" t="s">
        <v>489</v>
      </c>
      <c r="I22" s="22" t="s">
        <v>483</v>
      </c>
    </row>
    <row r="23" spans="1:10" ht="13.2" hidden="1" x14ac:dyDescent="0.25">
      <c r="A23" s="22" t="b">
        <v>0</v>
      </c>
      <c r="B23" s="22" t="s">
        <v>1972</v>
      </c>
      <c r="C23" s="34"/>
      <c r="D23" s="22" t="s">
        <v>3806</v>
      </c>
      <c r="E23" s="22">
        <v>-1000.2</v>
      </c>
      <c r="F23" s="22"/>
      <c r="G23" s="28"/>
      <c r="H23" s="22" t="s">
        <v>489</v>
      </c>
      <c r="I23" s="22" t="s">
        <v>483</v>
      </c>
      <c r="J23" s="22"/>
    </row>
    <row r="24" spans="1:10" ht="13.2" x14ac:dyDescent="0.25">
      <c r="A24" s="22" t="b">
        <v>0</v>
      </c>
      <c r="B24" s="22" t="s">
        <v>1049</v>
      </c>
      <c r="C24" s="34">
        <v>45812</v>
      </c>
      <c r="D24" s="22" t="s">
        <v>3810</v>
      </c>
      <c r="E24" s="22">
        <v>-17.89</v>
      </c>
      <c r="F24" s="28"/>
      <c r="G24" s="28">
        <v>-2.98</v>
      </c>
      <c r="H24" s="22" t="s">
        <v>489</v>
      </c>
      <c r="I24" s="22" t="s">
        <v>483</v>
      </c>
      <c r="J24" s="22"/>
    </row>
    <row r="25" spans="1:10" ht="13.2" x14ac:dyDescent="0.25">
      <c r="A25" s="22" t="b">
        <v>0</v>
      </c>
      <c r="B25" s="22" t="s">
        <v>1042</v>
      </c>
      <c r="C25" s="34">
        <v>45812</v>
      </c>
      <c r="D25" s="22" t="s">
        <v>3814</v>
      </c>
      <c r="E25" s="22">
        <v>-5.49</v>
      </c>
      <c r="F25" s="28"/>
      <c r="G25" s="28">
        <v>-0.91</v>
      </c>
      <c r="H25" s="22" t="s">
        <v>489</v>
      </c>
      <c r="I25" s="22" t="s">
        <v>483</v>
      </c>
      <c r="J25" s="22"/>
    </row>
    <row r="26" spans="1:10" ht="13.2" x14ac:dyDescent="0.25">
      <c r="A26" s="22" t="b">
        <v>0</v>
      </c>
      <c r="B26" s="22" t="s">
        <v>1011</v>
      </c>
      <c r="C26" s="34">
        <v>45816</v>
      </c>
      <c r="D26" s="22" t="s">
        <v>3810</v>
      </c>
      <c r="E26" s="22">
        <v>-6.55</v>
      </c>
      <c r="F26" s="28"/>
      <c r="G26" s="28">
        <v>-1.0900000000000001</v>
      </c>
      <c r="H26" s="22" t="s">
        <v>489</v>
      </c>
      <c r="I26" s="22" t="s">
        <v>483</v>
      </c>
      <c r="J26" s="22"/>
    </row>
    <row r="27" spans="1:10" ht="13.2" x14ac:dyDescent="0.25">
      <c r="A27" s="22" t="b">
        <v>0</v>
      </c>
      <c r="B27" s="22" t="s">
        <v>1012</v>
      </c>
      <c r="C27" s="34">
        <v>45816</v>
      </c>
      <c r="D27" s="22" t="s">
        <v>3810</v>
      </c>
      <c r="E27" s="22">
        <v>-0.01</v>
      </c>
      <c r="F27" s="28"/>
      <c r="G27" s="28">
        <v>0</v>
      </c>
      <c r="H27" s="22" t="s">
        <v>489</v>
      </c>
      <c r="I27" s="22" t="s">
        <v>483</v>
      </c>
      <c r="J27" s="22"/>
    </row>
    <row r="28" spans="1:10" ht="13.2" x14ac:dyDescent="0.25">
      <c r="A28" s="22" t="b">
        <v>0</v>
      </c>
      <c r="B28" s="22" t="s">
        <v>1013</v>
      </c>
      <c r="C28" s="34">
        <v>45816</v>
      </c>
      <c r="D28" s="22" t="s">
        <v>3810</v>
      </c>
      <c r="E28" s="22">
        <v>-0.01</v>
      </c>
      <c r="F28" s="28"/>
      <c r="G28" s="28">
        <v>0</v>
      </c>
      <c r="H28" s="22" t="s">
        <v>489</v>
      </c>
      <c r="I28" s="22" t="s">
        <v>483</v>
      </c>
      <c r="J28" s="22"/>
    </row>
    <row r="29" spans="1:10" ht="13.2" x14ac:dyDescent="0.25">
      <c r="A29" s="22" t="b">
        <v>0</v>
      </c>
      <c r="B29" s="22" t="s">
        <v>1014</v>
      </c>
      <c r="C29" s="34">
        <v>45816</v>
      </c>
      <c r="D29" s="22" t="s">
        <v>3810</v>
      </c>
      <c r="E29" s="22">
        <v>-0.02</v>
      </c>
      <c r="F29" s="28"/>
      <c r="G29" s="28">
        <v>0</v>
      </c>
      <c r="H29" s="22" t="s">
        <v>489</v>
      </c>
      <c r="I29" s="22" t="s">
        <v>483</v>
      </c>
      <c r="J29" s="22"/>
    </row>
    <row r="30" spans="1:10" ht="13.2" x14ac:dyDescent="0.25">
      <c r="A30" s="22" t="b">
        <v>0</v>
      </c>
      <c r="B30" s="22" t="s">
        <v>990</v>
      </c>
      <c r="C30" s="34">
        <v>45818</v>
      </c>
      <c r="D30" s="22" t="s">
        <v>3814</v>
      </c>
      <c r="E30" s="22">
        <v>-27.41</v>
      </c>
      <c r="F30" s="28"/>
      <c r="G30" s="28">
        <v>-4.57</v>
      </c>
      <c r="H30" s="22" t="s">
        <v>489</v>
      </c>
      <c r="I30" s="22" t="s">
        <v>483</v>
      </c>
      <c r="J30" s="22"/>
    </row>
    <row r="31" spans="1:10" ht="13.2" x14ac:dyDescent="0.25">
      <c r="A31" s="22" t="b">
        <v>0</v>
      </c>
      <c r="B31" s="22" t="s">
        <v>980</v>
      </c>
      <c r="C31" s="34">
        <v>45819</v>
      </c>
      <c r="D31" s="22" t="s">
        <v>306</v>
      </c>
      <c r="E31" s="22">
        <v>-37.43</v>
      </c>
      <c r="F31" s="28"/>
      <c r="G31" s="28">
        <v>-6.24</v>
      </c>
      <c r="H31" s="22" t="s">
        <v>489</v>
      </c>
      <c r="I31" s="22" t="s">
        <v>483</v>
      </c>
      <c r="J31" s="22"/>
    </row>
    <row r="32" spans="1:10" ht="13.2" x14ac:dyDescent="0.25">
      <c r="A32" s="22" t="b">
        <v>0</v>
      </c>
      <c r="B32" s="22" t="s">
        <v>961</v>
      </c>
      <c r="C32" s="34">
        <v>45822</v>
      </c>
      <c r="D32" s="22" t="s">
        <v>3810</v>
      </c>
      <c r="E32" s="22">
        <v>-15.04</v>
      </c>
      <c r="F32" s="28"/>
      <c r="G32" s="28">
        <v>-2.5099999999999998</v>
      </c>
      <c r="H32" s="22" t="s">
        <v>489</v>
      </c>
      <c r="I32" s="22" t="s">
        <v>483</v>
      </c>
      <c r="J32" s="22"/>
    </row>
    <row r="33" spans="1:10" ht="13.2" hidden="1" x14ac:dyDescent="0.25">
      <c r="A33" s="22" t="b">
        <v>0</v>
      </c>
      <c r="B33" s="22" t="s">
        <v>1971</v>
      </c>
      <c r="C33" s="34"/>
      <c r="D33" s="22" t="s">
        <v>3806</v>
      </c>
      <c r="E33" s="22">
        <v>-1226.2</v>
      </c>
      <c r="F33" s="22"/>
      <c r="G33" s="28"/>
      <c r="H33" s="22" t="s">
        <v>489</v>
      </c>
      <c r="I33" s="22" t="s">
        <v>483</v>
      </c>
      <c r="J33" s="22"/>
    </row>
    <row r="34" spans="1:10" ht="13.2" x14ac:dyDescent="0.25">
      <c r="A34" s="22" t="b">
        <v>0</v>
      </c>
      <c r="B34" s="22" t="s">
        <v>942</v>
      </c>
      <c r="C34" s="34">
        <v>45824</v>
      </c>
      <c r="D34" s="22" t="s">
        <v>3815</v>
      </c>
      <c r="E34" s="22">
        <v>-39.6</v>
      </c>
      <c r="F34" s="28"/>
      <c r="G34" s="28">
        <v>-6.6</v>
      </c>
      <c r="H34" s="22" t="s">
        <v>489</v>
      </c>
      <c r="I34" s="22" t="s">
        <v>483</v>
      </c>
      <c r="J34" s="22"/>
    </row>
    <row r="35" spans="1:10" ht="13.2" x14ac:dyDescent="0.25">
      <c r="A35" s="22" t="b">
        <v>0</v>
      </c>
      <c r="B35" s="22" t="s">
        <v>930</v>
      </c>
      <c r="C35" s="34">
        <v>45825</v>
      </c>
      <c r="D35" s="22" t="s">
        <v>3809</v>
      </c>
      <c r="E35" s="22">
        <v>-36.81</v>
      </c>
      <c r="F35" s="28"/>
      <c r="G35" s="28">
        <v>-6.13</v>
      </c>
      <c r="H35" s="22" t="s">
        <v>489</v>
      </c>
      <c r="I35" s="22" t="s">
        <v>483</v>
      </c>
      <c r="J35" s="22"/>
    </row>
    <row r="36" spans="1:10" ht="13.2" x14ac:dyDescent="0.25">
      <c r="A36" s="22" t="b">
        <v>0</v>
      </c>
      <c r="B36" s="22" t="s">
        <v>906</v>
      </c>
      <c r="C36" s="34">
        <v>45828</v>
      </c>
      <c r="D36" s="22" t="s">
        <v>3816</v>
      </c>
      <c r="E36" s="22">
        <v>-21.6</v>
      </c>
      <c r="F36" s="28"/>
      <c r="G36" s="28">
        <v>-3.6</v>
      </c>
      <c r="H36" s="22" t="s">
        <v>489</v>
      </c>
      <c r="I36" s="22" t="s">
        <v>483</v>
      </c>
      <c r="J36" s="22"/>
    </row>
    <row r="37" spans="1:10" ht="13.2" x14ac:dyDescent="0.25">
      <c r="A37" s="22" t="b">
        <v>0</v>
      </c>
      <c r="B37" s="22" t="s">
        <v>919</v>
      </c>
      <c r="C37" s="34">
        <v>45828</v>
      </c>
      <c r="D37" s="22" t="s">
        <v>3810</v>
      </c>
      <c r="E37" s="22">
        <v>-0.02</v>
      </c>
      <c r="F37" s="28"/>
      <c r="G37" s="28">
        <v>0</v>
      </c>
      <c r="H37" s="22" t="s">
        <v>489</v>
      </c>
      <c r="I37" s="22" t="s">
        <v>483</v>
      </c>
      <c r="J37" s="22"/>
    </row>
    <row r="38" spans="1:10" ht="13.2" hidden="1" x14ac:dyDescent="0.25">
      <c r="A38" s="22" t="b">
        <v>0</v>
      </c>
      <c r="B38" s="22" t="s">
        <v>1970</v>
      </c>
      <c r="C38" s="34"/>
      <c r="D38" s="22" t="s">
        <v>3817</v>
      </c>
      <c r="E38" s="22">
        <v>-61.2</v>
      </c>
      <c r="F38" s="22"/>
      <c r="G38" s="28"/>
      <c r="H38" s="22" t="s">
        <v>489</v>
      </c>
      <c r="I38" s="22" t="s">
        <v>483</v>
      </c>
      <c r="J38" s="22"/>
    </row>
    <row r="39" spans="1:10" ht="13.2" x14ac:dyDescent="0.25">
      <c r="A39" s="22" t="b">
        <v>0</v>
      </c>
      <c r="B39" s="22" t="s">
        <v>920</v>
      </c>
      <c r="C39" s="34">
        <v>45828</v>
      </c>
      <c r="D39" s="22" t="s">
        <v>3810</v>
      </c>
      <c r="E39" s="22">
        <v>-0.02</v>
      </c>
      <c r="F39" s="28"/>
      <c r="G39" s="28">
        <v>0</v>
      </c>
      <c r="H39" s="22" t="s">
        <v>489</v>
      </c>
      <c r="I39" s="22" t="s">
        <v>483</v>
      </c>
      <c r="J39" s="22"/>
    </row>
    <row r="40" spans="1:10" ht="13.2" x14ac:dyDescent="0.25">
      <c r="A40" s="22" t="b">
        <v>0</v>
      </c>
      <c r="B40" s="22" t="s">
        <v>885</v>
      </c>
      <c r="C40" s="34">
        <v>45830</v>
      </c>
      <c r="D40" s="22" t="s">
        <v>306</v>
      </c>
      <c r="E40" s="22">
        <v>-18.059999999999999</v>
      </c>
      <c r="F40" s="28"/>
      <c r="G40" s="28">
        <v>-3.01</v>
      </c>
      <c r="H40" s="22" t="s">
        <v>489</v>
      </c>
      <c r="I40" s="22" t="s">
        <v>483</v>
      </c>
      <c r="J40" s="22"/>
    </row>
    <row r="41" spans="1:10" ht="13.2" hidden="1" x14ac:dyDescent="0.25">
      <c r="A41" s="22" t="b">
        <v>0</v>
      </c>
      <c r="B41" s="22" t="s">
        <v>1969</v>
      </c>
      <c r="C41" s="34"/>
      <c r="D41" s="22" t="s">
        <v>3817</v>
      </c>
      <c r="E41" s="22">
        <v>-50.2</v>
      </c>
      <c r="F41" s="22"/>
      <c r="G41" s="28"/>
      <c r="H41" s="22" t="s">
        <v>489</v>
      </c>
      <c r="I41" s="22" t="s">
        <v>483</v>
      </c>
      <c r="J41" s="22"/>
    </row>
    <row r="42" spans="1:10" ht="13.2" hidden="1" x14ac:dyDescent="0.25">
      <c r="A42" s="22" t="b">
        <v>0</v>
      </c>
      <c r="B42" s="22" t="s">
        <v>2288</v>
      </c>
      <c r="C42" s="34"/>
      <c r="D42" s="22" t="s">
        <v>3813</v>
      </c>
      <c r="E42" s="22">
        <v>-956.53</v>
      </c>
      <c r="F42" s="22"/>
      <c r="G42" s="28"/>
      <c r="H42" s="22" t="s">
        <v>489</v>
      </c>
      <c r="I42" s="22" t="s">
        <v>483</v>
      </c>
    </row>
    <row r="43" spans="1:10" ht="13.2" x14ac:dyDescent="0.25">
      <c r="A43" s="22" t="b">
        <v>0</v>
      </c>
      <c r="B43" s="22" t="s">
        <v>876</v>
      </c>
      <c r="C43" s="34">
        <v>45831</v>
      </c>
      <c r="D43" s="22" t="s">
        <v>306</v>
      </c>
      <c r="E43" s="22">
        <v>-33.24</v>
      </c>
      <c r="F43" s="28"/>
      <c r="G43" s="28">
        <v>-5.54</v>
      </c>
      <c r="H43" s="22" t="s">
        <v>489</v>
      </c>
      <c r="I43" s="22" t="s">
        <v>483</v>
      </c>
      <c r="J43" s="22"/>
    </row>
    <row r="44" spans="1:10" ht="13.2" hidden="1" x14ac:dyDescent="0.25">
      <c r="A44" s="22" t="b">
        <v>0</v>
      </c>
      <c r="B44" s="22" t="s">
        <v>1968</v>
      </c>
      <c r="C44" s="34"/>
      <c r="D44" s="22" t="s">
        <v>3817</v>
      </c>
      <c r="E44" s="22">
        <v>-100.2</v>
      </c>
      <c r="F44" s="22"/>
      <c r="G44" s="28"/>
      <c r="H44" s="22" t="s">
        <v>489</v>
      </c>
      <c r="I44" s="22" t="s">
        <v>483</v>
      </c>
      <c r="J44" s="22"/>
    </row>
    <row r="45" spans="1:10" ht="13.2" hidden="1" x14ac:dyDescent="0.25">
      <c r="A45" s="22" t="b">
        <v>0</v>
      </c>
      <c r="B45" s="22" t="s">
        <v>1967</v>
      </c>
      <c r="C45" s="34"/>
      <c r="D45" s="22" t="s">
        <v>3817</v>
      </c>
      <c r="E45" s="22">
        <v>-500.2</v>
      </c>
      <c r="F45" s="22"/>
      <c r="G45" s="28"/>
      <c r="H45" s="22" t="s">
        <v>489</v>
      </c>
      <c r="I45" s="22" t="s">
        <v>483</v>
      </c>
      <c r="J45" s="22"/>
    </row>
    <row r="46" spans="1:10" ht="13.2" hidden="1" x14ac:dyDescent="0.25">
      <c r="A46" s="22" t="b">
        <v>0</v>
      </c>
      <c r="B46" s="22" t="s">
        <v>1965</v>
      </c>
      <c r="C46" s="34"/>
      <c r="D46" s="22" t="s">
        <v>3817</v>
      </c>
      <c r="E46" s="22">
        <v>-1000</v>
      </c>
      <c r="F46" s="22"/>
      <c r="G46" s="28"/>
      <c r="H46" s="22" t="s">
        <v>489</v>
      </c>
      <c r="I46" s="22" t="s">
        <v>483</v>
      </c>
      <c r="J46" s="22"/>
    </row>
    <row r="47" spans="1:10" ht="13.2" x14ac:dyDescent="0.25">
      <c r="A47" s="22" t="b">
        <v>0</v>
      </c>
      <c r="B47" s="22" t="s">
        <v>877</v>
      </c>
      <c r="C47" s="34">
        <v>45831</v>
      </c>
      <c r="D47" s="22" t="s">
        <v>3814</v>
      </c>
      <c r="E47" s="22">
        <v>-5.03</v>
      </c>
      <c r="F47" s="28"/>
      <c r="G47" s="28">
        <v>-0.84</v>
      </c>
      <c r="H47" s="22" t="s">
        <v>489</v>
      </c>
      <c r="I47" s="22" t="s">
        <v>483</v>
      </c>
      <c r="J47" s="22"/>
    </row>
    <row r="48" spans="1:10" ht="13.2" x14ac:dyDescent="0.25">
      <c r="A48" s="22" t="b">
        <v>0</v>
      </c>
      <c r="B48" s="22" t="s">
        <v>871</v>
      </c>
      <c r="C48" s="34">
        <v>45832</v>
      </c>
      <c r="D48" s="22" t="s">
        <v>3810</v>
      </c>
      <c r="E48" s="22">
        <v>-27.48</v>
      </c>
      <c r="F48" s="28"/>
      <c r="G48" s="28">
        <v>-4.58</v>
      </c>
      <c r="H48" s="22" t="s">
        <v>489</v>
      </c>
      <c r="I48" s="22" t="s">
        <v>483</v>
      </c>
      <c r="J48" s="22"/>
    </row>
    <row r="49" spans="1:10" ht="13.2" x14ac:dyDescent="0.25">
      <c r="A49" s="22" t="b">
        <v>0</v>
      </c>
      <c r="B49" s="22" t="s">
        <v>872</v>
      </c>
      <c r="C49" s="34">
        <v>45832</v>
      </c>
      <c r="D49" s="22" t="s">
        <v>3810</v>
      </c>
      <c r="E49" s="22">
        <v>-0.01</v>
      </c>
      <c r="F49" s="28"/>
      <c r="G49" s="28">
        <v>0</v>
      </c>
      <c r="H49" s="22" t="s">
        <v>489</v>
      </c>
      <c r="I49" s="22" t="s">
        <v>483</v>
      </c>
      <c r="J49" s="22"/>
    </row>
    <row r="50" spans="1:10" ht="13.2" x14ac:dyDescent="0.25">
      <c r="A50" s="22" t="b">
        <v>0</v>
      </c>
      <c r="B50" s="22" t="s">
        <v>873</v>
      </c>
      <c r="C50" s="34">
        <v>45832</v>
      </c>
      <c r="D50" s="22" t="s">
        <v>3810</v>
      </c>
      <c r="E50" s="22">
        <v>-0.02</v>
      </c>
      <c r="F50" s="28"/>
      <c r="G50" s="28">
        <v>0</v>
      </c>
      <c r="H50" s="22" t="s">
        <v>489</v>
      </c>
      <c r="I50" s="22" t="s">
        <v>483</v>
      </c>
      <c r="J50" s="22"/>
    </row>
    <row r="51" spans="1:10" ht="13.2" x14ac:dyDescent="0.25">
      <c r="A51" s="22" t="b">
        <v>0</v>
      </c>
      <c r="B51" s="22" t="s">
        <v>859</v>
      </c>
      <c r="C51" s="34">
        <v>45833</v>
      </c>
      <c r="D51" s="22" t="s">
        <v>306</v>
      </c>
      <c r="E51" s="22">
        <v>-34.369999999999997</v>
      </c>
      <c r="F51" s="28"/>
      <c r="G51" s="28">
        <v>-5.73</v>
      </c>
      <c r="H51" s="22" t="s">
        <v>489</v>
      </c>
      <c r="I51" s="22" t="s">
        <v>483</v>
      </c>
      <c r="J51" s="22"/>
    </row>
    <row r="52" spans="1:10" ht="13.2" x14ac:dyDescent="0.25">
      <c r="A52" s="22" t="b">
        <v>0</v>
      </c>
      <c r="B52" s="22" t="s">
        <v>837</v>
      </c>
      <c r="C52" s="34">
        <v>45835</v>
      </c>
      <c r="D52" s="22" t="s">
        <v>306</v>
      </c>
      <c r="E52" s="22">
        <v>-35.26</v>
      </c>
      <c r="F52" s="28"/>
      <c r="G52" s="28">
        <v>-5.88</v>
      </c>
      <c r="H52" s="22" t="s">
        <v>489</v>
      </c>
      <c r="I52" s="22" t="s">
        <v>483</v>
      </c>
      <c r="J52" s="22"/>
    </row>
    <row r="53" spans="1:10" ht="13.2" hidden="1" x14ac:dyDescent="0.25">
      <c r="A53" s="22" t="b">
        <v>0</v>
      </c>
      <c r="B53" s="22" t="s">
        <v>1997</v>
      </c>
      <c r="C53" s="34"/>
      <c r="D53" s="22" t="s">
        <v>3817</v>
      </c>
      <c r="E53" s="22">
        <v>-1000.2</v>
      </c>
      <c r="F53" s="22"/>
      <c r="G53" s="28"/>
      <c r="H53" s="22" t="s">
        <v>489</v>
      </c>
      <c r="I53" s="22" t="s">
        <v>483</v>
      </c>
      <c r="J53" s="22"/>
    </row>
    <row r="54" spans="1:10" ht="13.2" x14ac:dyDescent="0.25">
      <c r="A54" s="22" t="b">
        <v>0</v>
      </c>
      <c r="B54" s="22" t="s">
        <v>843</v>
      </c>
      <c r="C54" s="34">
        <v>45835</v>
      </c>
      <c r="D54" s="22" t="s">
        <v>3810</v>
      </c>
      <c r="E54" s="22">
        <v>-27.7</v>
      </c>
      <c r="F54" s="28"/>
      <c r="G54" s="28">
        <v>-4.62</v>
      </c>
      <c r="H54" s="22" t="s">
        <v>489</v>
      </c>
      <c r="I54" s="22" t="s">
        <v>483</v>
      </c>
      <c r="J54" s="22"/>
    </row>
    <row r="55" spans="1:10" ht="13.2" x14ac:dyDescent="0.25">
      <c r="A55" s="22" t="b">
        <v>0</v>
      </c>
      <c r="B55" s="22" t="s">
        <v>811</v>
      </c>
      <c r="C55" s="34">
        <v>45838</v>
      </c>
      <c r="D55" s="22" t="s">
        <v>3818</v>
      </c>
      <c r="E55" s="22">
        <v>-15</v>
      </c>
      <c r="F55" s="28"/>
      <c r="G55" s="28">
        <v>-2.5</v>
      </c>
      <c r="H55" s="22" t="s">
        <v>489</v>
      </c>
      <c r="I55" s="22" t="s">
        <v>483</v>
      </c>
      <c r="J55" s="22"/>
    </row>
    <row r="56" spans="1:10" ht="13.2" x14ac:dyDescent="0.25">
      <c r="A56" s="22" t="b">
        <v>0</v>
      </c>
      <c r="B56" s="22" t="s">
        <v>816</v>
      </c>
      <c r="C56" s="34">
        <v>45838</v>
      </c>
      <c r="D56" s="22" t="s">
        <v>3815</v>
      </c>
      <c r="E56" s="22">
        <v>-19.25</v>
      </c>
      <c r="F56" s="28"/>
      <c r="G56" s="28">
        <v>-3.21</v>
      </c>
      <c r="H56" s="22" t="s">
        <v>489</v>
      </c>
      <c r="I56" s="22" t="s">
        <v>483</v>
      </c>
      <c r="J56" s="22"/>
    </row>
    <row r="57" spans="1:10" ht="13.2" x14ac:dyDescent="0.25">
      <c r="A57" s="22" t="b">
        <v>0</v>
      </c>
      <c r="B57" s="22" t="s">
        <v>783</v>
      </c>
      <c r="C57" s="34">
        <v>45841</v>
      </c>
      <c r="D57" s="22" t="s">
        <v>3815</v>
      </c>
      <c r="E57" s="22">
        <v>-9.9700000000000006</v>
      </c>
      <c r="F57" s="28"/>
      <c r="G57" s="28">
        <v>-1.66</v>
      </c>
      <c r="H57" s="22" t="s">
        <v>489</v>
      </c>
      <c r="I57" s="22" t="s">
        <v>483</v>
      </c>
      <c r="J57" s="22"/>
    </row>
    <row r="58" spans="1:10" ht="13.2" hidden="1" x14ac:dyDescent="0.25">
      <c r="A58" s="22" t="b">
        <v>0</v>
      </c>
      <c r="B58" s="22" t="s">
        <v>1996</v>
      </c>
      <c r="C58" s="34"/>
      <c r="D58" s="22" t="s">
        <v>3819</v>
      </c>
      <c r="E58" s="22">
        <v>-922.7</v>
      </c>
      <c r="F58" s="22"/>
      <c r="G58" s="28"/>
      <c r="H58" s="22" t="s">
        <v>489</v>
      </c>
      <c r="I58" s="22" t="s">
        <v>483</v>
      </c>
      <c r="J58" s="22"/>
    </row>
    <row r="59" spans="1:10" ht="13.2" x14ac:dyDescent="0.25">
      <c r="A59" s="22" t="b">
        <v>0</v>
      </c>
      <c r="B59" s="22" t="s">
        <v>768</v>
      </c>
      <c r="C59" s="34">
        <v>45842</v>
      </c>
      <c r="D59" s="22" t="s">
        <v>3815</v>
      </c>
      <c r="E59" s="22">
        <v>-30.02</v>
      </c>
      <c r="F59" s="28"/>
      <c r="G59" s="28">
        <v>-5</v>
      </c>
      <c r="H59" s="22" t="s">
        <v>489</v>
      </c>
      <c r="I59" s="22" t="s">
        <v>483</v>
      </c>
      <c r="J59" s="22"/>
    </row>
    <row r="60" spans="1:10" ht="13.2" hidden="1" x14ac:dyDescent="0.25">
      <c r="A60" s="22" t="b">
        <v>0</v>
      </c>
      <c r="B60" s="22" t="s">
        <v>2294</v>
      </c>
      <c r="C60" s="34"/>
      <c r="D60" s="22" t="s">
        <v>3813</v>
      </c>
      <c r="E60" s="22">
        <v>-956.53</v>
      </c>
      <c r="F60" s="22"/>
      <c r="G60" s="28"/>
      <c r="H60" s="22" t="s">
        <v>489</v>
      </c>
      <c r="I60" s="22" t="s">
        <v>483</v>
      </c>
    </row>
    <row r="61" spans="1:10" ht="13.2" x14ac:dyDescent="0.25">
      <c r="A61" s="22" t="b">
        <v>0</v>
      </c>
      <c r="B61" s="22" t="s">
        <v>766</v>
      </c>
      <c r="C61" s="34">
        <v>45842</v>
      </c>
      <c r="D61" s="22" t="s">
        <v>306</v>
      </c>
      <c r="E61" s="22">
        <v>-1.98</v>
      </c>
      <c r="F61" s="28"/>
      <c r="G61" s="28">
        <v>-0.33</v>
      </c>
      <c r="H61" s="22" t="s">
        <v>489</v>
      </c>
      <c r="I61" s="22" t="s">
        <v>483</v>
      </c>
      <c r="J61" s="22"/>
    </row>
    <row r="62" spans="1:10" ht="13.2" x14ac:dyDescent="0.25">
      <c r="A62" s="22" t="b">
        <v>0</v>
      </c>
      <c r="B62" s="22" t="s">
        <v>767</v>
      </c>
      <c r="C62" s="34">
        <v>45842</v>
      </c>
      <c r="D62" s="22" t="s">
        <v>306</v>
      </c>
      <c r="E62" s="22">
        <v>-35.93</v>
      </c>
      <c r="F62" s="28"/>
      <c r="G62" s="28">
        <v>-5.99</v>
      </c>
      <c r="H62" s="22" t="s">
        <v>489</v>
      </c>
      <c r="I62" s="22" t="s">
        <v>483</v>
      </c>
      <c r="J62" s="22"/>
    </row>
    <row r="63" spans="1:10" ht="13.2" x14ac:dyDescent="0.25">
      <c r="A63" s="22" t="b">
        <v>0</v>
      </c>
      <c r="B63" s="22" t="s">
        <v>733</v>
      </c>
      <c r="C63" s="34">
        <v>45845</v>
      </c>
      <c r="D63" s="22" t="s">
        <v>3820</v>
      </c>
      <c r="E63" s="22">
        <v>-13.44</v>
      </c>
      <c r="F63" s="28"/>
      <c r="G63" s="28">
        <v>-2.2400000000000002</v>
      </c>
      <c r="H63" s="22" t="s">
        <v>489</v>
      </c>
      <c r="I63" s="22" t="s">
        <v>483</v>
      </c>
      <c r="J63" s="22"/>
    </row>
    <row r="64" spans="1:10" ht="13.2" x14ac:dyDescent="0.25">
      <c r="A64" s="22" t="b">
        <v>0</v>
      </c>
      <c r="B64" s="22" t="s">
        <v>721</v>
      </c>
      <c r="C64" s="34">
        <v>45847</v>
      </c>
      <c r="D64" s="22" t="s">
        <v>3815</v>
      </c>
      <c r="E64" s="22">
        <v>-54.86</v>
      </c>
      <c r="F64" s="28"/>
      <c r="G64" s="28">
        <v>-9.14</v>
      </c>
      <c r="H64" s="22" t="s">
        <v>489</v>
      </c>
      <c r="I64" s="22" t="s">
        <v>483</v>
      </c>
      <c r="J64" s="22"/>
    </row>
    <row r="65" spans="1:10" ht="13.2" hidden="1" x14ac:dyDescent="0.25">
      <c r="A65" s="22" t="b">
        <v>0</v>
      </c>
      <c r="B65" s="22" t="s">
        <v>1995</v>
      </c>
      <c r="C65" s="34"/>
      <c r="D65" s="22" t="s">
        <v>3819</v>
      </c>
      <c r="E65" s="22">
        <v>-729</v>
      </c>
      <c r="F65" s="22"/>
      <c r="G65" s="28"/>
      <c r="H65" s="22" t="s">
        <v>489</v>
      </c>
      <c r="I65" s="22" t="s">
        <v>483</v>
      </c>
      <c r="J65" s="22"/>
    </row>
    <row r="66" spans="1:10" ht="13.2" x14ac:dyDescent="0.25">
      <c r="A66" s="22" t="b">
        <v>0</v>
      </c>
      <c r="B66" s="22" t="s">
        <v>711</v>
      </c>
      <c r="C66" s="34">
        <v>45849</v>
      </c>
      <c r="D66" s="36" t="s">
        <v>440</v>
      </c>
      <c r="E66" s="22">
        <v>-1.99</v>
      </c>
      <c r="F66" s="28"/>
      <c r="G66" s="28">
        <v>-0.33</v>
      </c>
      <c r="H66" s="22" t="s">
        <v>489</v>
      </c>
      <c r="I66" s="22" t="s">
        <v>483</v>
      </c>
      <c r="J66" s="22"/>
    </row>
    <row r="67" spans="1:10" ht="13.2" x14ac:dyDescent="0.25">
      <c r="A67" s="22" t="b">
        <v>0</v>
      </c>
      <c r="B67" s="22" t="s">
        <v>705</v>
      </c>
      <c r="C67" s="34">
        <v>45850</v>
      </c>
      <c r="D67" s="36" t="s">
        <v>440</v>
      </c>
      <c r="E67" s="22">
        <v>-23.88</v>
      </c>
      <c r="F67" s="28"/>
      <c r="G67" s="28">
        <v>-3.98</v>
      </c>
      <c r="H67" s="22" t="s">
        <v>489</v>
      </c>
      <c r="I67" s="22" t="s">
        <v>483</v>
      </c>
      <c r="J67" s="22"/>
    </row>
    <row r="68" spans="1:10" ht="13.2" x14ac:dyDescent="0.25">
      <c r="A68" s="22" t="b">
        <v>0</v>
      </c>
      <c r="B68" s="22" t="s">
        <v>683</v>
      </c>
      <c r="C68" s="34">
        <v>45852</v>
      </c>
      <c r="D68" s="36" t="s">
        <v>440</v>
      </c>
      <c r="E68" s="22">
        <v>-14.49</v>
      </c>
      <c r="F68" s="28"/>
      <c r="G68" s="28">
        <v>-2.41</v>
      </c>
      <c r="H68" s="22" t="s">
        <v>489</v>
      </c>
      <c r="I68" s="22" t="s">
        <v>483</v>
      </c>
      <c r="J68" s="22"/>
    </row>
    <row r="69" spans="1:10" ht="13.2" x14ac:dyDescent="0.25">
      <c r="A69" s="22" t="b">
        <v>0</v>
      </c>
      <c r="B69" s="22" t="s">
        <v>674</v>
      </c>
      <c r="C69" s="34">
        <v>45853</v>
      </c>
      <c r="D69" s="22" t="s">
        <v>3816</v>
      </c>
      <c r="E69" s="22">
        <v>-15.16</v>
      </c>
      <c r="F69" s="28"/>
      <c r="G69" s="28">
        <v>-2.5299999999999998</v>
      </c>
      <c r="H69" s="22" t="s">
        <v>489</v>
      </c>
      <c r="I69" s="22" t="s">
        <v>483</v>
      </c>
      <c r="J69" s="22"/>
    </row>
    <row r="70" spans="1:10" ht="13.2" hidden="1" x14ac:dyDescent="0.25">
      <c r="A70" s="22" t="b">
        <v>0</v>
      </c>
      <c r="B70" s="22" t="s">
        <v>1994</v>
      </c>
      <c r="C70" s="34"/>
      <c r="D70" s="22" t="s">
        <v>3806</v>
      </c>
      <c r="E70" s="22">
        <v>-1099.7</v>
      </c>
      <c r="F70" s="22"/>
      <c r="G70" s="28"/>
      <c r="H70" s="22" t="s">
        <v>489</v>
      </c>
      <c r="I70" s="22" t="s">
        <v>483</v>
      </c>
      <c r="J70" s="22"/>
    </row>
    <row r="71" spans="1:10" ht="13.2" x14ac:dyDescent="0.25">
      <c r="A71" s="22" t="b">
        <v>0</v>
      </c>
      <c r="B71" s="22" t="s">
        <v>650</v>
      </c>
      <c r="C71" s="34">
        <v>45855</v>
      </c>
      <c r="D71" s="22" t="s">
        <v>306</v>
      </c>
      <c r="E71" s="22">
        <v>-55</v>
      </c>
      <c r="F71" s="28"/>
      <c r="G71" s="28">
        <v>-9.17</v>
      </c>
      <c r="H71" s="22" t="s">
        <v>489</v>
      </c>
      <c r="I71" s="22" t="s">
        <v>483</v>
      </c>
      <c r="J71" s="22"/>
    </row>
    <row r="72" spans="1:10" ht="13.2" x14ac:dyDescent="0.25">
      <c r="A72" s="22" t="b">
        <v>0</v>
      </c>
      <c r="B72" s="22" t="s">
        <v>621</v>
      </c>
      <c r="C72" s="34">
        <v>45858</v>
      </c>
      <c r="D72" s="22" t="s">
        <v>3820</v>
      </c>
      <c r="E72" s="22">
        <v>-37.090000000000003</v>
      </c>
      <c r="F72" s="28"/>
      <c r="G72" s="28">
        <v>-6.18</v>
      </c>
      <c r="H72" s="22" t="s">
        <v>489</v>
      </c>
      <c r="I72" s="22" t="s">
        <v>483</v>
      </c>
      <c r="J72" s="22"/>
    </row>
    <row r="73" spans="1:10" ht="13.2" x14ac:dyDescent="0.25">
      <c r="A73" s="22" t="b">
        <v>0</v>
      </c>
      <c r="B73" s="22" t="s">
        <v>608</v>
      </c>
      <c r="C73" s="34">
        <v>45859</v>
      </c>
      <c r="D73" s="36" t="s">
        <v>440</v>
      </c>
      <c r="E73" s="22">
        <v>-4.2</v>
      </c>
      <c r="F73" s="28"/>
      <c r="G73" s="28">
        <v>-0.7</v>
      </c>
      <c r="H73" s="22" t="s">
        <v>489</v>
      </c>
      <c r="I73" s="22" t="s">
        <v>483</v>
      </c>
      <c r="J73" s="22"/>
    </row>
    <row r="74" spans="1:10" ht="13.2" x14ac:dyDescent="0.25">
      <c r="A74" s="22" t="b">
        <v>0</v>
      </c>
      <c r="B74" s="22" t="s">
        <v>617</v>
      </c>
      <c r="C74" s="34">
        <v>45859</v>
      </c>
      <c r="D74" s="36" t="s">
        <v>440</v>
      </c>
      <c r="E74" s="22">
        <v>-24.4</v>
      </c>
      <c r="F74" s="28"/>
      <c r="G74" s="28">
        <v>-4.07</v>
      </c>
      <c r="H74" s="22" t="s">
        <v>489</v>
      </c>
      <c r="I74" s="22" t="s">
        <v>483</v>
      </c>
      <c r="J74" s="22"/>
    </row>
    <row r="75" spans="1:10" ht="13.2" x14ac:dyDescent="0.25">
      <c r="A75" s="22" t="b">
        <v>0</v>
      </c>
      <c r="B75" s="22" t="s">
        <v>604</v>
      </c>
      <c r="C75" s="34">
        <v>45860</v>
      </c>
      <c r="D75" s="22" t="s">
        <v>3820</v>
      </c>
      <c r="E75" s="22">
        <v>-17.809999999999999</v>
      </c>
      <c r="F75" s="28"/>
      <c r="G75" s="28">
        <v>-2.97</v>
      </c>
      <c r="H75" s="22" t="s">
        <v>489</v>
      </c>
      <c r="I75" s="22" t="s">
        <v>483</v>
      </c>
      <c r="J75" s="22"/>
    </row>
    <row r="76" spans="1:10" ht="13.2" x14ac:dyDescent="0.25">
      <c r="A76" s="22" t="b">
        <v>0</v>
      </c>
      <c r="B76" s="22" t="s">
        <v>599</v>
      </c>
      <c r="C76" s="34">
        <v>45861</v>
      </c>
      <c r="D76" s="22" t="s">
        <v>3820</v>
      </c>
      <c r="E76" s="22">
        <v>-28.65</v>
      </c>
      <c r="F76" s="28"/>
      <c r="G76" s="28">
        <v>-4.7699999999999996</v>
      </c>
      <c r="H76" s="22" t="s">
        <v>489</v>
      </c>
      <c r="I76" s="22" t="s">
        <v>483</v>
      </c>
      <c r="J76" s="22"/>
    </row>
    <row r="77" spans="1:10" ht="13.2" x14ac:dyDescent="0.25">
      <c r="A77" s="22" t="b">
        <v>0</v>
      </c>
      <c r="B77" s="22" t="s">
        <v>556</v>
      </c>
      <c r="C77" s="34">
        <v>45867</v>
      </c>
      <c r="D77" s="22" t="s">
        <v>3815</v>
      </c>
      <c r="E77" s="22">
        <v>-31.52</v>
      </c>
      <c r="F77" s="28"/>
      <c r="G77" s="28">
        <v>-5.25</v>
      </c>
      <c r="H77" s="22" t="s">
        <v>489</v>
      </c>
      <c r="I77" s="22" t="s">
        <v>483</v>
      </c>
      <c r="J77" s="22"/>
    </row>
    <row r="78" spans="1:10" ht="13.2" x14ac:dyDescent="0.25">
      <c r="A78" s="22" t="b">
        <v>0</v>
      </c>
      <c r="B78" s="22" t="s">
        <v>551</v>
      </c>
      <c r="C78" s="34">
        <v>45869</v>
      </c>
      <c r="D78" s="22" t="s">
        <v>3821</v>
      </c>
      <c r="E78" s="22">
        <v>-15.17</v>
      </c>
      <c r="F78" s="28"/>
      <c r="G78" s="28">
        <v>-2.5299999999999998</v>
      </c>
      <c r="H78" s="22" t="s">
        <v>489</v>
      </c>
      <c r="I78" s="22" t="s">
        <v>483</v>
      </c>
      <c r="J78" s="22"/>
    </row>
    <row r="79" spans="1:10" ht="13.2" x14ac:dyDescent="0.25">
      <c r="A79" s="22" t="b">
        <v>0</v>
      </c>
      <c r="B79" s="22" t="s">
        <v>542</v>
      </c>
      <c r="C79" s="34">
        <v>45870</v>
      </c>
      <c r="D79" s="22" t="s">
        <v>3816</v>
      </c>
      <c r="E79" s="22">
        <v>-0.97</v>
      </c>
      <c r="F79" s="28"/>
      <c r="G79" s="28">
        <v>-0.16</v>
      </c>
      <c r="H79" s="22" t="s">
        <v>489</v>
      </c>
      <c r="I79" s="22" t="s">
        <v>483</v>
      </c>
      <c r="J79" s="22"/>
    </row>
    <row r="80" spans="1:10" ht="13.2" hidden="1" x14ac:dyDescent="0.25">
      <c r="A80" s="22" t="b">
        <v>0</v>
      </c>
      <c r="B80" s="22" t="s">
        <v>1993</v>
      </c>
      <c r="C80" s="34"/>
      <c r="D80" s="22" t="s">
        <v>3806</v>
      </c>
      <c r="E80" s="22">
        <v>-967.2</v>
      </c>
      <c r="F80" s="22"/>
      <c r="G80" s="28"/>
      <c r="H80" s="22" t="s">
        <v>489</v>
      </c>
      <c r="I80" s="22" t="s">
        <v>483</v>
      </c>
      <c r="J80" s="22"/>
    </row>
    <row r="81" spans="1:10" ht="13.2" hidden="1" x14ac:dyDescent="0.25">
      <c r="A81" s="22" t="b">
        <v>0</v>
      </c>
      <c r="B81" s="22" t="s">
        <v>2293</v>
      </c>
      <c r="C81" s="34"/>
      <c r="D81" s="22" t="s">
        <v>3822</v>
      </c>
      <c r="E81" s="22">
        <v>-956.53</v>
      </c>
      <c r="F81" s="22"/>
      <c r="G81" s="28"/>
      <c r="H81" s="22" t="s">
        <v>489</v>
      </c>
      <c r="I81" s="22" t="s">
        <v>483</v>
      </c>
    </row>
    <row r="82" spans="1:10" ht="13.2" x14ac:dyDescent="0.25">
      <c r="A82" s="22" t="b">
        <v>0</v>
      </c>
      <c r="B82" s="22" t="s">
        <v>491</v>
      </c>
      <c r="C82" s="34">
        <v>45885</v>
      </c>
      <c r="D82" s="36" t="s">
        <v>440</v>
      </c>
      <c r="E82" s="22">
        <v>-27.89</v>
      </c>
      <c r="F82" s="28"/>
      <c r="G82" s="28">
        <v>-4.6500000000000004</v>
      </c>
      <c r="H82" s="22" t="s">
        <v>489</v>
      </c>
      <c r="I82" s="22" t="s">
        <v>483</v>
      </c>
      <c r="J82" s="22"/>
    </row>
    <row r="83" spans="1:10" ht="13.2" x14ac:dyDescent="0.25">
      <c r="A83" s="22" t="b">
        <v>0</v>
      </c>
      <c r="B83" s="22" t="s">
        <v>1879</v>
      </c>
      <c r="C83" s="34">
        <v>45887</v>
      </c>
      <c r="D83" s="36" t="s">
        <v>440</v>
      </c>
      <c r="E83" s="22">
        <v>-14.47</v>
      </c>
      <c r="F83" s="28"/>
      <c r="G83" s="28">
        <v>-2.41</v>
      </c>
      <c r="H83" s="22" t="s">
        <v>489</v>
      </c>
      <c r="I83" s="22" t="s">
        <v>483</v>
      </c>
      <c r="J83" s="22"/>
    </row>
    <row r="84" spans="1:10" ht="13.2" x14ac:dyDescent="0.25">
      <c r="A84" s="22" t="b">
        <v>0</v>
      </c>
      <c r="B84" s="22" t="s">
        <v>1881</v>
      </c>
      <c r="C84" s="34">
        <v>45887</v>
      </c>
      <c r="D84" s="36" t="s">
        <v>440</v>
      </c>
      <c r="E84" s="22">
        <v>-6.08</v>
      </c>
      <c r="F84" s="28"/>
      <c r="G84" s="28">
        <v>-1.01</v>
      </c>
      <c r="H84" s="22" t="s">
        <v>489</v>
      </c>
      <c r="I84" s="22" t="s">
        <v>483</v>
      </c>
      <c r="J84" s="22"/>
    </row>
    <row r="85" spans="1:10" ht="13.2" x14ac:dyDescent="0.25">
      <c r="A85" s="22" t="b">
        <v>0</v>
      </c>
      <c r="B85" s="22" t="s">
        <v>1867</v>
      </c>
      <c r="C85" s="34">
        <v>45889</v>
      </c>
      <c r="D85" s="36" t="s">
        <v>440</v>
      </c>
      <c r="E85" s="22">
        <v>-27.18</v>
      </c>
      <c r="F85" s="28"/>
      <c r="G85" s="28">
        <v>-4.53</v>
      </c>
      <c r="H85" s="22" t="s">
        <v>489</v>
      </c>
      <c r="I85" s="22" t="s">
        <v>483</v>
      </c>
      <c r="J85" s="22"/>
    </row>
    <row r="86" spans="1:10" ht="13.2" x14ac:dyDescent="0.25">
      <c r="A86" s="22" t="b">
        <v>0</v>
      </c>
      <c r="B86" s="22" t="s">
        <v>1857</v>
      </c>
      <c r="C86" s="34">
        <v>45890</v>
      </c>
      <c r="D86" s="36" t="s">
        <v>440</v>
      </c>
      <c r="E86" s="22">
        <v>-16.95</v>
      </c>
      <c r="F86" s="28"/>
      <c r="G86" s="28">
        <v>-2.82</v>
      </c>
      <c r="H86" s="22" t="s">
        <v>489</v>
      </c>
      <c r="I86" s="22" t="s">
        <v>483</v>
      </c>
      <c r="J86" s="22"/>
    </row>
    <row r="87" spans="1:10" ht="13.2" hidden="1" x14ac:dyDescent="0.25">
      <c r="A87" s="22" t="b">
        <v>0</v>
      </c>
      <c r="B87" s="22" t="s">
        <v>1992</v>
      </c>
      <c r="C87" s="34"/>
      <c r="D87" s="22" t="s">
        <v>3806</v>
      </c>
      <c r="E87" s="22">
        <v>-900</v>
      </c>
      <c r="F87" s="22"/>
      <c r="G87" s="28"/>
      <c r="H87" s="22" t="s">
        <v>489</v>
      </c>
      <c r="I87" s="22" t="s">
        <v>483</v>
      </c>
      <c r="J87" s="22"/>
    </row>
    <row r="88" spans="1:10" ht="13.2" x14ac:dyDescent="0.25">
      <c r="A88" s="22" t="b">
        <v>0</v>
      </c>
      <c r="B88" s="22" t="s">
        <v>1849</v>
      </c>
      <c r="C88" s="34">
        <v>45893</v>
      </c>
      <c r="D88" s="36" t="s">
        <v>440</v>
      </c>
      <c r="E88" s="22">
        <v>-24.65</v>
      </c>
      <c r="F88" s="28"/>
      <c r="G88" s="28">
        <v>-4.1100000000000003</v>
      </c>
      <c r="H88" s="22" t="s">
        <v>489</v>
      </c>
      <c r="I88" s="22" t="s">
        <v>483</v>
      </c>
      <c r="J88" s="22"/>
    </row>
    <row r="89" spans="1:10" ht="13.2" x14ac:dyDescent="0.25">
      <c r="A89" s="22" t="b">
        <v>0</v>
      </c>
      <c r="B89" s="22" t="s">
        <v>1833</v>
      </c>
      <c r="C89" s="34">
        <v>45896</v>
      </c>
      <c r="D89" s="36" t="s">
        <v>440</v>
      </c>
      <c r="E89" s="22">
        <v>-28.18</v>
      </c>
      <c r="F89" s="28"/>
      <c r="G89" s="28">
        <v>-4.7</v>
      </c>
      <c r="H89" s="22" t="s">
        <v>489</v>
      </c>
      <c r="I89" s="22" t="s">
        <v>483</v>
      </c>
      <c r="J89" s="22"/>
    </row>
    <row r="90" spans="1:10" ht="13.2" x14ac:dyDescent="0.25">
      <c r="A90" s="22" t="b">
        <v>0</v>
      </c>
      <c r="B90" s="22" t="s">
        <v>1820</v>
      </c>
      <c r="C90" s="34">
        <v>45898</v>
      </c>
      <c r="D90" s="36" t="s">
        <v>440</v>
      </c>
      <c r="E90" s="22">
        <v>-28.92</v>
      </c>
      <c r="F90" s="28"/>
      <c r="G90" s="28">
        <v>-4.82</v>
      </c>
      <c r="H90" s="22" t="s">
        <v>489</v>
      </c>
      <c r="I90" s="22" t="s">
        <v>483</v>
      </c>
      <c r="J90" s="22"/>
    </row>
    <row r="91" spans="1:10" ht="13.2" x14ac:dyDescent="0.25">
      <c r="A91" s="22" t="b">
        <v>0</v>
      </c>
      <c r="B91" s="22" t="s">
        <v>1812</v>
      </c>
      <c r="C91" s="34">
        <v>45899</v>
      </c>
      <c r="D91" s="36" t="s">
        <v>440</v>
      </c>
      <c r="E91" s="22">
        <v>-24.3</v>
      </c>
      <c r="F91" s="28"/>
      <c r="G91" s="28">
        <v>-4.05</v>
      </c>
      <c r="H91" s="22" t="s">
        <v>489</v>
      </c>
      <c r="I91" s="22" t="s">
        <v>483</v>
      </c>
      <c r="J91" s="22"/>
    </row>
    <row r="92" spans="1:10" ht="13.2" hidden="1" x14ac:dyDescent="0.25">
      <c r="A92" s="22" t="b">
        <v>0</v>
      </c>
      <c r="B92" s="22" t="s">
        <v>1991</v>
      </c>
      <c r="C92" s="34"/>
      <c r="D92" s="22" t="s">
        <v>3806</v>
      </c>
      <c r="E92" s="22">
        <v>-558</v>
      </c>
      <c r="F92" s="22"/>
      <c r="G92" s="28"/>
      <c r="H92" s="22" t="s">
        <v>489</v>
      </c>
      <c r="I92" s="22" t="s">
        <v>483</v>
      </c>
      <c r="J92" s="22"/>
    </row>
    <row r="93" spans="1:10" ht="13.2" x14ac:dyDescent="0.25">
      <c r="A93" s="22" t="b">
        <v>0</v>
      </c>
      <c r="B93" s="22" t="s">
        <v>1807</v>
      </c>
      <c r="C93" s="34">
        <v>45900</v>
      </c>
      <c r="D93" s="36" t="s">
        <v>440</v>
      </c>
      <c r="E93" s="22">
        <v>-23.96</v>
      </c>
      <c r="F93" s="28"/>
      <c r="G93" s="28">
        <v>-3.99</v>
      </c>
      <c r="H93" s="22" t="s">
        <v>489</v>
      </c>
      <c r="I93" s="22" t="s">
        <v>483</v>
      </c>
      <c r="J93" s="22"/>
    </row>
    <row r="94" spans="1:10" ht="13.2" hidden="1" x14ac:dyDescent="0.25">
      <c r="A94" s="22" t="b">
        <v>0</v>
      </c>
      <c r="B94" s="22" t="s">
        <v>1990</v>
      </c>
      <c r="C94" s="34"/>
      <c r="D94" s="22" t="s">
        <v>3806</v>
      </c>
      <c r="E94" s="22">
        <v>-162</v>
      </c>
      <c r="F94" s="22"/>
      <c r="G94" s="28"/>
      <c r="H94" s="22" t="s">
        <v>489</v>
      </c>
      <c r="I94" s="22" t="s">
        <v>483</v>
      </c>
      <c r="J94" s="22"/>
    </row>
    <row r="95" spans="1:10" ht="13.2" x14ac:dyDescent="0.25">
      <c r="A95" s="22" t="b">
        <v>0</v>
      </c>
      <c r="B95" s="22" t="s">
        <v>1804</v>
      </c>
      <c r="C95" s="34">
        <v>45901</v>
      </c>
      <c r="D95" s="36" t="s">
        <v>440</v>
      </c>
      <c r="E95" s="22">
        <v>-18.73</v>
      </c>
      <c r="F95" s="28"/>
      <c r="G95" s="28">
        <v>-3.12</v>
      </c>
      <c r="H95" s="22" t="s">
        <v>489</v>
      </c>
      <c r="I95" s="22" t="s">
        <v>483</v>
      </c>
      <c r="J95" s="22"/>
    </row>
    <row r="96" spans="1:10" ht="13.2" hidden="1" x14ac:dyDescent="0.25">
      <c r="A96" s="22" t="b">
        <v>0</v>
      </c>
      <c r="B96" s="22" t="s">
        <v>1989</v>
      </c>
      <c r="C96" s="34"/>
      <c r="D96" s="22" t="s">
        <v>3806</v>
      </c>
      <c r="E96" s="22">
        <v>-404.2</v>
      </c>
      <c r="F96" s="22"/>
      <c r="G96" s="28"/>
      <c r="H96" s="22" t="s">
        <v>489</v>
      </c>
      <c r="I96" s="22" t="s">
        <v>483</v>
      </c>
      <c r="J96" s="22"/>
    </row>
    <row r="97" spans="1:10" ht="13.2" hidden="1" x14ac:dyDescent="0.25">
      <c r="A97" s="22" t="b">
        <v>0</v>
      </c>
      <c r="B97" s="22" t="s">
        <v>2292</v>
      </c>
      <c r="C97" s="34"/>
      <c r="D97" s="22" t="s">
        <v>3822</v>
      </c>
      <c r="E97" s="22">
        <v>-956.53</v>
      </c>
      <c r="F97" s="22"/>
      <c r="G97" s="28"/>
      <c r="H97" s="22" t="s">
        <v>489</v>
      </c>
      <c r="I97" s="22" t="s">
        <v>483</v>
      </c>
    </row>
    <row r="98" spans="1:10" ht="13.2" x14ac:dyDescent="0.25">
      <c r="A98" s="22" t="b">
        <v>0</v>
      </c>
      <c r="B98" s="22" t="s">
        <v>1794</v>
      </c>
      <c r="C98" s="34">
        <v>45902</v>
      </c>
      <c r="D98" s="36" t="s">
        <v>440</v>
      </c>
      <c r="E98" s="22">
        <v>-37.72</v>
      </c>
      <c r="F98" s="28"/>
      <c r="G98" s="28">
        <v>-6.29</v>
      </c>
      <c r="H98" s="22" t="s">
        <v>489</v>
      </c>
      <c r="I98" s="22" t="s">
        <v>483</v>
      </c>
      <c r="J98" s="22"/>
    </row>
    <row r="99" spans="1:10" ht="13.2" x14ac:dyDescent="0.25">
      <c r="A99" s="22" t="b">
        <v>0</v>
      </c>
      <c r="B99" s="22" t="s">
        <v>1777</v>
      </c>
      <c r="C99" s="34">
        <v>45905</v>
      </c>
      <c r="D99" s="36" t="s">
        <v>440</v>
      </c>
      <c r="E99" s="22">
        <v>-8.08</v>
      </c>
      <c r="F99" s="28"/>
      <c r="G99" s="28">
        <v>-1.35</v>
      </c>
      <c r="H99" s="22" t="s">
        <v>489</v>
      </c>
      <c r="I99" s="22" t="s">
        <v>483</v>
      </c>
      <c r="J99" s="22"/>
    </row>
    <row r="100" spans="1:10" ht="13.2" hidden="1" x14ac:dyDescent="0.25">
      <c r="A100" s="22" t="b">
        <v>0</v>
      </c>
      <c r="B100" s="22" t="s">
        <v>1988</v>
      </c>
      <c r="C100" s="34"/>
      <c r="D100" s="22" t="s">
        <v>3806</v>
      </c>
      <c r="E100" s="22">
        <v>-574.20000000000005</v>
      </c>
      <c r="F100" s="22"/>
      <c r="G100" s="28"/>
      <c r="H100" s="22" t="s">
        <v>489</v>
      </c>
      <c r="I100" s="22" t="s">
        <v>483</v>
      </c>
      <c r="J100" s="22"/>
    </row>
    <row r="101" spans="1:10" ht="13.2" x14ac:dyDescent="0.25">
      <c r="A101" s="22" t="b">
        <v>0</v>
      </c>
      <c r="B101" s="22" t="s">
        <v>1785</v>
      </c>
      <c r="C101" s="34">
        <v>45905</v>
      </c>
      <c r="D101" s="36" t="s">
        <v>440</v>
      </c>
      <c r="E101" s="22">
        <v>-7.71</v>
      </c>
      <c r="F101" s="28"/>
      <c r="G101" s="28">
        <v>-1.28</v>
      </c>
      <c r="H101" s="22" t="s">
        <v>489</v>
      </c>
      <c r="I101" s="22" t="s">
        <v>483</v>
      </c>
      <c r="J101" s="22"/>
    </row>
    <row r="102" spans="1:10" ht="13.2" x14ac:dyDescent="0.25">
      <c r="A102" s="22" t="b">
        <v>0</v>
      </c>
      <c r="B102" s="22" t="s">
        <v>1767</v>
      </c>
      <c r="C102" s="34">
        <v>45907</v>
      </c>
      <c r="D102" s="36" t="s">
        <v>440</v>
      </c>
      <c r="E102" s="22">
        <v>-13.1</v>
      </c>
      <c r="F102" s="28"/>
      <c r="G102" s="28">
        <v>-2.1800000000000002</v>
      </c>
      <c r="H102" s="22" t="s">
        <v>489</v>
      </c>
      <c r="I102" s="22" t="s">
        <v>483</v>
      </c>
      <c r="J102" s="22"/>
    </row>
    <row r="103" spans="1:10" ht="13.2" hidden="1" x14ac:dyDescent="0.25">
      <c r="A103" s="22" t="b">
        <v>0</v>
      </c>
      <c r="B103" s="22" t="s">
        <v>1986</v>
      </c>
      <c r="C103" s="34"/>
      <c r="D103" s="22" t="s">
        <v>3806</v>
      </c>
      <c r="E103" s="22">
        <v>-50</v>
      </c>
      <c r="F103" s="22"/>
      <c r="G103" s="28"/>
      <c r="H103" s="22" t="s">
        <v>489</v>
      </c>
      <c r="I103" s="22" t="s">
        <v>483</v>
      </c>
      <c r="J103" s="22"/>
    </row>
    <row r="104" spans="1:10" ht="13.2" hidden="1" x14ac:dyDescent="0.25">
      <c r="A104" s="22" t="b">
        <v>0</v>
      </c>
      <c r="B104" s="22" t="s">
        <v>1987</v>
      </c>
      <c r="C104" s="34"/>
      <c r="D104" s="22" t="s">
        <v>3806</v>
      </c>
      <c r="E104" s="22">
        <v>-227.6</v>
      </c>
      <c r="F104" s="22"/>
      <c r="G104" s="28"/>
      <c r="H104" s="22" t="s">
        <v>489</v>
      </c>
      <c r="I104" s="22" t="s">
        <v>483</v>
      </c>
      <c r="J104" s="22"/>
    </row>
    <row r="105" spans="1:10" ht="13.2" x14ac:dyDescent="0.25">
      <c r="A105" s="22" t="b">
        <v>0</v>
      </c>
      <c r="B105" s="22" t="s">
        <v>1754</v>
      </c>
      <c r="C105" s="34">
        <v>45910</v>
      </c>
      <c r="D105" s="36" t="s">
        <v>440</v>
      </c>
      <c r="E105" s="22">
        <v>-32.450000000000003</v>
      </c>
      <c r="F105" s="28"/>
      <c r="G105" s="28">
        <v>-5.41</v>
      </c>
      <c r="H105" s="22" t="s">
        <v>489</v>
      </c>
      <c r="I105" s="22" t="s">
        <v>483</v>
      </c>
      <c r="J105" s="22"/>
    </row>
    <row r="106" spans="1:10" ht="13.2" x14ac:dyDescent="0.25">
      <c r="A106" s="22" t="b">
        <v>0</v>
      </c>
      <c r="B106" s="22" t="s">
        <v>1744</v>
      </c>
      <c r="C106" s="34">
        <v>45911</v>
      </c>
      <c r="D106" s="36" t="s">
        <v>440</v>
      </c>
      <c r="E106" s="22">
        <v>-23.06</v>
      </c>
      <c r="F106" s="28"/>
      <c r="G106" s="28">
        <v>-3.84</v>
      </c>
      <c r="H106" s="22" t="s">
        <v>489</v>
      </c>
      <c r="I106" s="22" t="s">
        <v>483</v>
      </c>
      <c r="J106" s="22"/>
    </row>
    <row r="107" spans="1:10" ht="13.2" x14ac:dyDescent="0.25">
      <c r="A107" s="22" t="b">
        <v>0</v>
      </c>
      <c r="B107" s="22" t="s">
        <v>1723</v>
      </c>
      <c r="C107" s="34">
        <v>45914</v>
      </c>
      <c r="D107" s="36" t="s">
        <v>440</v>
      </c>
      <c r="E107" s="22">
        <v>-13.67</v>
      </c>
      <c r="F107" s="28"/>
      <c r="G107" s="28">
        <v>-2.2799999999999998</v>
      </c>
      <c r="H107" s="22" t="s">
        <v>489</v>
      </c>
      <c r="I107" s="22" t="s">
        <v>483</v>
      </c>
      <c r="J107" s="22"/>
    </row>
    <row r="108" spans="1:10" ht="13.2" x14ac:dyDescent="0.25">
      <c r="A108" s="22" t="b">
        <v>0</v>
      </c>
      <c r="B108" s="22" t="s">
        <v>1706</v>
      </c>
      <c r="C108" s="34">
        <v>45916</v>
      </c>
      <c r="D108" s="36" t="s">
        <v>440</v>
      </c>
      <c r="E108" s="22">
        <v>-18.04</v>
      </c>
      <c r="F108" s="28"/>
      <c r="G108" s="28">
        <v>-3.01</v>
      </c>
      <c r="H108" s="22" t="s">
        <v>489</v>
      </c>
      <c r="I108" s="22" t="s">
        <v>483</v>
      </c>
      <c r="J108" s="22"/>
    </row>
    <row r="109" spans="1:10" ht="13.2" x14ac:dyDescent="0.25">
      <c r="A109" s="22" t="b">
        <v>0</v>
      </c>
      <c r="B109" s="22" t="s">
        <v>1694</v>
      </c>
      <c r="C109" s="34">
        <v>45917</v>
      </c>
      <c r="D109" s="36" t="s">
        <v>440</v>
      </c>
      <c r="E109" s="22">
        <v>-15.54</v>
      </c>
      <c r="F109" s="28"/>
      <c r="G109" s="28">
        <v>-2.59</v>
      </c>
      <c r="H109" s="22" t="s">
        <v>489</v>
      </c>
      <c r="I109" s="22" t="s">
        <v>483</v>
      </c>
      <c r="J109" s="22"/>
    </row>
    <row r="110" spans="1:10" ht="13.2" x14ac:dyDescent="0.25">
      <c r="A110" s="22" t="b">
        <v>0</v>
      </c>
      <c r="B110" s="22" t="s">
        <v>1701</v>
      </c>
      <c r="C110" s="34">
        <v>45917</v>
      </c>
      <c r="D110" s="36" t="s">
        <v>440</v>
      </c>
      <c r="E110" s="22">
        <v>-22.15</v>
      </c>
      <c r="F110" s="28"/>
      <c r="G110" s="28">
        <v>-3.69</v>
      </c>
      <c r="H110" s="22" t="s">
        <v>489</v>
      </c>
      <c r="I110" s="22" t="s">
        <v>483</v>
      </c>
      <c r="J110" s="22"/>
    </row>
    <row r="111" spans="1:10" ht="13.2" x14ac:dyDescent="0.25">
      <c r="A111" s="22" t="b">
        <v>0</v>
      </c>
      <c r="B111" s="22" t="s">
        <v>1689</v>
      </c>
      <c r="C111" s="34">
        <v>45919</v>
      </c>
      <c r="D111" s="36" t="s">
        <v>440</v>
      </c>
      <c r="E111" s="22">
        <v>-24.92</v>
      </c>
      <c r="F111" s="28"/>
      <c r="G111" s="28">
        <v>-4.1500000000000004</v>
      </c>
      <c r="H111" s="22" t="s">
        <v>489</v>
      </c>
      <c r="I111" s="22" t="s">
        <v>483</v>
      </c>
      <c r="J111" s="22"/>
    </row>
    <row r="112" spans="1:10" ht="13.2" hidden="1" x14ac:dyDescent="0.25">
      <c r="A112" s="22" t="b">
        <v>0</v>
      </c>
      <c r="B112" s="22" t="s">
        <v>1985</v>
      </c>
      <c r="C112" s="34"/>
      <c r="D112" s="22" t="s">
        <v>3806</v>
      </c>
      <c r="E112" s="22">
        <v>-727.2</v>
      </c>
      <c r="F112" s="22"/>
      <c r="G112" s="28"/>
      <c r="H112" s="22" t="s">
        <v>489</v>
      </c>
      <c r="I112" s="22" t="s">
        <v>483</v>
      </c>
      <c r="J112" s="22"/>
    </row>
    <row r="113" spans="1:10" ht="13.2" x14ac:dyDescent="0.25">
      <c r="A113" s="22" t="b">
        <v>0</v>
      </c>
      <c r="B113" s="22" t="s">
        <v>1684</v>
      </c>
      <c r="C113" s="34">
        <v>45920</v>
      </c>
      <c r="D113" s="36" t="s">
        <v>440</v>
      </c>
      <c r="E113" s="22">
        <v>-13.78</v>
      </c>
      <c r="F113" s="28"/>
      <c r="G113" s="28">
        <v>-2.2999999999999998</v>
      </c>
      <c r="H113" s="22" t="s">
        <v>489</v>
      </c>
      <c r="I113" s="22" t="s">
        <v>483</v>
      </c>
      <c r="J113" s="22"/>
    </row>
    <row r="114" spans="1:10" ht="13.2" x14ac:dyDescent="0.25">
      <c r="A114" s="22" t="b">
        <v>0</v>
      </c>
      <c r="B114" s="22" t="s">
        <v>1678</v>
      </c>
      <c r="C114" s="34">
        <v>45922</v>
      </c>
      <c r="D114" s="22" t="s">
        <v>295</v>
      </c>
      <c r="E114" s="22">
        <v>-15</v>
      </c>
      <c r="F114" s="28"/>
      <c r="G114" s="28">
        <v>-2.5</v>
      </c>
      <c r="H114" s="22" t="s">
        <v>489</v>
      </c>
      <c r="I114" s="22" t="s">
        <v>483</v>
      </c>
      <c r="J114" s="22"/>
    </row>
    <row r="115" spans="1:10" ht="13.2" x14ac:dyDescent="0.25">
      <c r="A115" s="22" t="b">
        <v>0</v>
      </c>
      <c r="B115" s="22" t="s">
        <v>1675</v>
      </c>
      <c r="C115" s="34">
        <v>45923</v>
      </c>
      <c r="D115" s="36" t="s">
        <v>440</v>
      </c>
      <c r="E115" s="22">
        <v>-22.08</v>
      </c>
      <c r="F115" s="28"/>
      <c r="G115" s="28">
        <v>-3.68</v>
      </c>
      <c r="H115" s="22" t="s">
        <v>489</v>
      </c>
      <c r="I115" s="22" t="s">
        <v>483</v>
      </c>
      <c r="J115" s="22"/>
    </row>
    <row r="116" spans="1:10" ht="13.2" x14ac:dyDescent="0.25">
      <c r="A116" s="22" t="b">
        <v>0</v>
      </c>
      <c r="B116" s="22" t="s">
        <v>1664</v>
      </c>
      <c r="C116" s="34">
        <v>45925</v>
      </c>
      <c r="D116" s="36" t="s">
        <v>440</v>
      </c>
      <c r="E116" s="22">
        <v>-20.02</v>
      </c>
      <c r="F116" s="28"/>
      <c r="G116" s="28">
        <v>-3.34</v>
      </c>
      <c r="H116" s="22" t="s">
        <v>489</v>
      </c>
      <c r="I116" s="22" t="s">
        <v>483</v>
      </c>
      <c r="J116" s="22"/>
    </row>
    <row r="117" spans="1:10" ht="13.2" hidden="1" x14ac:dyDescent="0.25">
      <c r="A117" s="22" t="b">
        <v>0</v>
      </c>
      <c r="B117" s="22" t="s">
        <v>2291</v>
      </c>
      <c r="C117" s="34"/>
      <c r="D117" s="22" t="s">
        <v>3822</v>
      </c>
      <c r="E117" s="22">
        <v>-956.53</v>
      </c>
      <c r="F117" s="22"/>
      <c r="G117" s="28"/>
      <c r="H117" s="22" t="s">
        <v>489</v>
      </c>
      <c r="I117" s="22" t="s">
        <v>483</v>
      </c>
    </row>
    <row r="118" spans="1:10" ht="13.2" x14ac:dyDescent="0.25">
      <c r="A118" s="22" t="b">
        <v>0</v>
      </c>
      <c r="B118" s="22" t="s">
        <v>1651</v>
      </c>
      <c r="C118" s="34">
        <v>45926</v>
      </c>
      <c r="D118" s="36" t="s">
        <v>440</v>
      </c>
      <c r="E118" s="22">
        <v>-24.99</v>
      </c>
      <c r="F118" s="28"/>
      <c r="G118" s="28">
        <v>-4.16</v>
      </c>
      <c r="H118" s="22" t="s">
        <v>489</v>
      </c>
      <c r="I118" s="22" t="s">
        <v>483</v>
      </c>
      <c r="J118" s="22"/>
    </row>
    <row r="119" spans="1:10" ht="13.2" x14ac:dyDescent="0.25">
      <c r="A119" s="22" t="b">
        <v>0</v>
      </c>
      <c r="B119" s="22" t="s">
        <v>1630</v>
      </c>
      <c r="C119" s="34">
        <v>45929</v>
      </c>
      <c r="D119" s="36" t="s">
        <v>440</v>
      </c>
      <c r="E119" s="22">
        <v>-23.77</v>
      </c>
      <c r="F119" s="28"/>
      <c r="G119" s="28">
        <v>-3.96</v>
      </c>
      <c r="H119" s="22" t="s">
        <v>489</v>
      </c>
      <c r="I119" s="22" t="s">
        <v>483</v>
      </c>
      <c r="J119" s="22"/>
    </row>
    <row r="120" spans="1:10" ht="13.2" x14ac:dyDescent="0.25">
      <c r="A120" s="22" t="b">
        <v>0</v>
      </c>
      <c r="B120" s="22" t="s">
        <v>1621</v>
      </c>
      <c r="C120" s="34">
        <v>45931</v>
      </c>
      <c r="D120" s="36" t="s">
        <v>440</v>
      </c>
      <c r="E120" s="22">
        <v>-26.11</v>
      </c>
      <c r="F120" s="28"/>
      <c r="G120" s="28">
        <v>-4.3499999999999996</v>
      </c>
      <c r="H120" s="22" t="s">
        <v>489</v>
      </c>
      <c r="I120" s="22" t="s">
        <v>483</v>
      </c>
      <c r="J120" s="22"/>
    </row>
    <row r="121" spans="1:10" ht="13.2" x14ac:dyDescent="0.25">
      <c r="A121" s="22" t="b">
        <v>0</v>
      </c>
      <c r="B121" s="22" t="s">
        <v>1615</v>
      </c>
      <c r="C121" s="34">
        <v>45932</v>
      </c>
      <c r="D121" s="36" t="s">
        <v>440</v>
      </c>
      <c r="E121" s="22">
        <v>-19.29</v>
      </c>
      <c r="F121" s="28"/>
      <c r="G121" s="28">
        <v>-3.21</v>
      </c>
      <c r="H121" s="22" t="s">
        <v>489</v>
      </c>
      <c r="I121" s="22" t="s">
        <v>483</v>
      </c>
      <c r="J121" s="22"/>
    </row>
    <row r="122" spans="1:10" ht="13.2" x14ac:dyDescent="0.25">
      <c r="A122" s="22" t="b">
        <v>0</v>
      </c>
      <c r="B122" s="22" t="s">
        <v>1588</v>
      </c>
      <c r="C122" s="34">
        <v>45935</v>
      </c>
      <c r="D122" s="22" t="s">
        <v>3820</v>
      </c>
      <c r="E122" s="22">
        <v>-14.4</v>
      </c>
      <c r="F122" s="28"/>
      <c r="G122" s="28">
        <v>-2.4</v>
      </c>
      <c r="H122" s="22" t="s">
        <v>489</v>
      </c>
      <c r="I122" s="22" t="s">
        <v>483</v>
      </c>
      <c r="J122" s="22"/>
    </row>
    <row r="123" spans="1:10" ht="13.2" x14ac:dyDescent="0.25">
      <c r="A123" s="22" t="b">
        <v>0</v>
      </c>
      <c r="B123" s="22" t="s">
        <v>1583</v>
      </c>
      <c r="C123" s="34">
        <v>45936</v>
      </c>
      <c r="D123" s="22" t="s">
        <v>3820</v>
      </c>
      <c r="E123" s="22">
        <v>-15.62</v>
      </c>
      <c r="F123" s="28"/>
      <c r="G123" s="28">
        <v>-2.6</v>
      </c>
      <c r="H123" s="22" t="s">
        <v>489</v>
      </c>
      <c r="I123" s="22" t="s">
        <v>483</v>
      </c>
      <c r="J123" s="22"/>
    </row>
    <row r="124" spans="1:10" ht="13.2" x14ac:dyDescent="0.25">
      <c r="A124" s="22" t="b">
        <v>0</v>
      </c>
      <c r="B124" s="22" t="s">
        <v>1586</v>
      </c>
      <c r="C124" s="34">
        <v>45936</v>
      </c>
      <c r="D124" s="22" t="s">
        <v>314</v>
      </c>
      <c r="E124" s="22">
        <v>-9.99</v>
      </c>
      <c r="F124" s="28"/>
      <c r="G124" s="28">
        <v>-1.66</v>
      </c>
      <c r="H124" s="22" t="s">
        <v>489</v>
      </c>
      <c r="I124" s="22" t="s">
        <v>483</v>
      </c>
      <c r="J124" s="22"/>
    </row>
    <row r="125" spans="1:10" ht="13.2" hidden="1" x14ac:dyDescent="0.25">
      <c r="A125" s="22" t="b">
        <v>0</v>
      </c>
      <c r="B125" s="22" t="s">
        <v>1984</v>
      </c>
      <c r="C125" s="34"/>
      <c r="D125" s="22" t="s">
        <v>3823</v>
      </c>
      <c r="E125" s="22">
        <v>-625.20000000000005</v>
      </c>
      <c r="F125" s="22"/>
      <c r="G125" s="28"/>
      <c r="H125" s="22" t="s">
        <v>489</v>
      </c>
      <c r="I125" s="22" t="s">
        <v>483</v>
      </c>
      <c r="J125" s="22"/>
    </row>
    <row r="126" spans="1:10" ht="13.2" x14ac:dyDescent="0.25">
      <c r="A126" s="22" t="b">
        <v>0</v>
      </c>
      <c r="B126" s="22" t="s">
        <v>1579</v>
      </c>
      <c r="C126" s="34">
        <v>45939</v>
      </c>
      <c r="D126" s="36" t="s">
        <v>440</v>
      </c>
      <c r="E126" s="22">
        <v>-27.79</v>
      </c>
      <c r="F126" s="28"/>
      <c r="G126" s="28">
        <v>-4.63</v>
      </c>
      <c r="H126" s="22" t="s">
        <v>489</v>
      </c>
      <c r="I126" s="22" t="s">
        <v>483</v>
      </c>
      <c r="J126" s="22"/>
    </row>
    <row r="127" spans="1:10" ht="13.2" x14ac:dyDescent="0.25">
      <c r="A127" s="22" t="b">
        <v>0</v>
      </c>
      <c r="B127" s="22" t="s">
        <v>1574</v>
      </c>
      <c r="C127" s="34">
        <v>45942</v>
      </c>
      <c r="D127" s="36" t="s">
        <v>440</v>
      </c>
      <c r="E127" s="22">
        <v>-24.48</v>
      </c>
      <c r="F127" s="28"/>
      <c r="G127" s="28">
        <v>-4.08</v>
      </c>
      <c r="H127" s="22" t="s">
        <v>489</v>
      </c>
      <c r="I127" s="22" t="s">
        <v>483</v>
      </c>
      <c r="J127" s="22"/>
    </row>
    <row r="128" spans="1:10" ht="13.2" x14ac:dyDescent="0.25">
      <c r="A128" s="22" t="b">
        <v>0</v>
      </c>
      <c r="B128" s="22" t="s">
        <v>1569</v>
      </c>
      <c r="C128" s="34">
        <v>45946</v>
      </c>
      <c r="D128" s="36" t="s">
        <v>440</v>
      </c>
      <c r="E128" s="22">
        <v>-17.899999999999999</v>
      </c>
      <c r="F128" s="28"/>
      <c r="G128" s="28">
        <v>-2.98</v>
      </c>
      <c r="H128" s="22" t="s">
        <v>489</v>
      </c>
      <c r="I128" s="22" t="s">
        <v>483</v>
      </c>
      <c r="J128" s="22"/>
    </row>
    <row r="129" spans="1:10" ht="13.2" x14ac:dyDescent="0.25">
      <c r="A129" s="22" t="b">
        <v>0</v>
      </c>
      <c r="B129" s="22" t="s">
        <v>1570</v>
      </c>
      <c r="C129" s="34">
        <v>45946</v>
      </c>
      <c r="D129" s="36" t="s">
        <v>440</v>
      </c>
      <c r="E129" s="22">
        <v>-7.57</v>
      </c>
      <c r="F129" s="28"/>
      <c r="G129" s="28">
        <v>-1.26</v>
      </c>
      <c r="H129" s="22" t="s">
        <v>489</v>
      </c>
      <c r="I129" s="22" t="s">
        <v>483</v>
      </c>
      <c r="J129" s="22"/>
    </row>
    <row r="130" spans="1:10" ht="13.2" x14ac:dyDescent="0.25">
      <c r="A130" s="22" t="b">
        <v>0</v>
      </c>
      <c r="B130" s="22" t="s">
        <v>1567</v>
      </c>
      <c r="C130" s="34">
        <v>45947</v>
      </c>
      <c r="D130" s="36" t="s">
        <v>440</v>
      </c>
      <c r="E130" s="22">
        <v>-28.37</v>
      </c>
      <c r="F130" s="28"/>
      <c r="G130" s="28">
        <v>-4.7300000000000004</v>
      </c>
      <c r="H130" s="22" t="s">
        <v>489</v>
      </c>
      <c r="I130" s="22" t="s">
        <v>483</v>
      </c>
      <c r="J130" s="22"/>
    </row>
    <row r="131" spans="1:10" ht="13.2" x14ac:dyDescent="0.25">
      <c r="A131" s="22" t="b">
        <v>0</v>
      </c>
      <c r="B131" s="22" t="s">
        <v>1553</v>
      </c>
      <c r="C131" s="34">
        <v>45954</v>
      </c>
      <c r="D131" s="22" t="s">
        <v>306</v>
      </c>
      <c r="E131" s="22">
        <v>-60.16</v>
      </c>
      <c r="F131" s="28"/>
      <c r="G131" s="28">
        <v>-10.029999999999999</v>
      </c>
      <c r="H131" s="22" t="s">
        <v>489</v>
      </c>
      <c r="I131" s="22" t="s">
        <v>483</v>
      </c>
      <c r="J131" s="22"/>
    </row>
    <row r="132" spans="1:10" ht="13.2" x14ac:dyDescent="0.25">
      <c r="A132" s="22" t="b">
        <v>0</v>
      </c>
      <c r="B132" s="22" t="s">
        <v>1539</v>
      </c>
      <c r="C132" s="34">
        <v>45958</v>
      </c>
      <c r="D132" s="36" t="s">
        <v>440</v>
      </c>
      <c r="E132" s="22">
        <v>-22.5</v>
      </c>
      <c r="F132" s="28"/>
      <c r="G132" s="28">
        <v>-3.75</v>
      </c>
      <c r="H132" s="22" t="s">
        <v>489</v>
      </c>
      <c r="I132" s="22" t="s">
        <v>483</v>
      </c>
      <c r="J132" s="22"/>
    </row>
    <row r="133" spans="1:10" ht="13.2" x14ac:dyDescent="0.25">
      <c r="A133" s="22" t="b">
        <v>0</v>
      </c>
      <c r="B133" s="22" t="s">
        <v>1523</v>
      </c>
      <c r="C133" s="34">
        <v>45963</v>
      </c>
      <c r="D133" s="36" t="s">
        <v>440</v>
      </c>
      <c r="E133" s="22">
        <v>-8.94</v>
      </c>
      <c r="F133" s="28"/>
      <c r="G133" s="28">
        <v>-1.49</v>
      </c>
      <c r="H133" s="22" t="s">
        <v>489</v>
      </c>
      <c r="I133" s="22" t="s">
        <v>483</v>
      </c>
      <c r="J133" s="22"/>
    </row>
    <row r="134" spans="1:10" ht="13.2" x14ac:dyDescent="0.25">
      <c r="A134" s="22" t="b">
        <v>0</v>
      </c>
      <c r="B134" s="22" t="s">
        <v>1518</v>
      </c>
      <c r="C134" s="34">
        <v>45964</v>
      </c>
      <c r="D134" s="36" t="s">
        <v>440</v>
      </c>
      <c r="E134" s="22">
        <v>-25.44</v>
      </c>
      <c r="F134" s="28"/>
      <c r="G134" s="28">
        <v>-4.24</v>
      </c>
      <c r="H134" s="22" t="s">
        <v>489</v>
      </c>
      <c r="I134" s="22" t="s">
        <v>483</v>
      </c>
      <c r="J134" s="22"/>
    </row>
    <row r="135" spans="1:10" ht="13.2" x14ac:dyDescent="0.25">
      <c r="A135" s="22" t="b">
        <v>0</v>
      </c>
      <c r="B135" s="22" t="s">
        <v>1512</v>
      </c>
      <c r="C135" s="34">
        <v>45966</v>
      </c>
      <c r="D135" s="22" t="s">
        <v>314</v>
      </c>
      <c r="E135" s="22">
        <v>-9.99</v>
      </c>
      <c r="F135" s="28"/>
      <c r="G135" s="28">
        <v>-1.66</v>
      </c>
      <c r="H135" s="22" t="s">
        <v>489</v>
      </c>
      <c r="I135" s="22" t="s">
        <v>483</v>
      </c>
      <c r="J135" s="22"/>
    </row>
    <row r="136" spans="1:10" ht="13.2" x14ac:dyDescent="0.25">
      <c r="A136" s="22" t="b">
        <v>0</v>
      </c>
      <c r="B136" s="22" t="s">
        <v>1492</v>
      </c>
      <c r="C136" s="34">
        <v>45971</v>
      </c>
      <c r="D136" s="36" t="s">
        <v>440</v>
      </c>
      <c r="E136" s="22">
        <v>-27.27</v>
      </c>
      <c r="F136" s="28"/>
      <c r="G136" s="28">
        <v>-4.54</v>
      </c>
      <c r="H136" s="22" t="s">
        <v>489</v>
      </c>
      <c r="I136" s="22" t="s">
        <v>483</v>
      </c>
      <c r="J136" s="22"/>
    </row>
    <row r="137" spans="1:10" ht="13.2" x14ac:dyDescent="0.25">
      <c r="A137" s="22" t="b">
        <v>0</v>
      </c>
      <c r="B137" s="22" t="s">
        <v>1474</v>
      </c>
      <c r="C137" s="34">
        <v>45976</v>
      </c>
      <c r="D137" s="36" t="s">
        <v>440</v>
      </c>
      <c r="E137" s="22">
        <v>-32.130000000000003</v>
      </c>
      <c r="F137" s="28"/>
      <c r="G137" s="28">
        <v>-5.35</v>
      </c>
      <c r="H137" s="22" t="s">
        <v>489</v>
      </c>
      <c r="I137" s="22" t="s">
        <v>483</v>
      </c>
      <c r="J137" s="22"/>
    </row>
    <row r="138" spans="1:10" ht="13.2" x14ac:dyDescent="0.25">
      <c r="A138" s="22" t="b">
        <v>0</v>
      </c>
      <c r="B138" s="22" t="s">
        <v>1471</v>
      </c>
      <c r="C138" s="34">
        <v>45978</v>
      </c>
      <c r="D138" s="36" t="s">
        <v>440</v>
      </c>
      <c r="E138" s="22">
        <v>-8.3699999999999992</v>
      </c>
      <c r="F138" s="28"/>
      <c r="G138" s="28">
        <v>-1.39</v>
      </c>
      <c r="H138" s="22" t="s">
        <v>489</v>
      </c>
      <c r="I138" s="22" t="s">
        <v>483</v>
      </c>
      <c r="J138" s="22"/>
    </row>
    <row r="139" spans="1:10" ht="13.2" x14ac:dyDescent="0.25">
      <c r="A139" s="22" t="b">
        <v>0</v>
      </c>
      <c r="B139" s="22" t="s">
        <v>1456</v>
      </c>
      <c r="C139" s="34">
        <v>45981</v>
      </c>
      <c r="D139" s="22" t="s">
        <v>3820</v>
      </c>
      <c r="E139" s="22">
        <v>-25.11</v>
      </c>
      <c r="F139" s="28"/>
      <c r="G139" s="28">
        <v>-4.18</v>
      </c>
      <c r="H139" s="22" t="s">
        <v>489</v>
      </c>
      <c r="I139" s="22" t="s">
        <v>483</v>
      </c>
      <c r="J139" s="22"/>
    </row>
    <row r="140" spans="1:10" ht="13.2" x14ac:dyDescent="0.25">
      <c r="A140" s="22" t="b">
        <v>0</v>
      </c>
      <c r="B140" s="22" t="s">
        <v>1460</v>
      </c>
      <c r="C140" s="34">
        <v>45981</v>
      </c>
      <c r="D140" s="22" t="s">
        <v>3632</v>
      </c>
      <c r="E140" s="22">
        <v>-13.99</v>
      </c>
      <c r="F140" s="28"/>
      <c r="G140" s="28">
        <v>-2.33</v>
      </c>
      <c r="H140" s="22" t="s">
        <v>489</v>
      </c>
      <c r="I140" s="22" t="s">
        <v>483</v>
      </c>
      <c r="J140" s="22"/>
    </row>
    <row r="141" spans="1:10" ht="13.2" x14ac:dyDescent="0.25">
      <c r="A141" s="22" t="b">
        <v>0</v>
      </c>
      <c r="B141" s="22" t="s">
        <v>1455</v>
      </c>
      <c r="C141" s="34">
        <v>45982</v>
      </c>
      <c r="D141" s="36" t="s">
        <v>440</v>
      </c>
      <c r="E141" s="22">
        <v>-28.3</v>
      </c>
      <c r="F141" s="28"/>
      <c r="G141" s="28">
        <v>-4.72</v>
      </c>
      <c r="H141" s="22" t="s">
        <v>489</v>
      </c>
      <c r="I141" s="22" t="s">
        <v>483</v>
      </c>
      <c r="J141" s="22"/>
    </row>
    <row r="142" spans="1:10" ht="13.2" x14ac:dyDescent="0.25">
      <c r="A142" s="22" t="b">
        <v>0</v>
      </c>
      <c r="B142" s="22" t="s">
        <v>1453</v>
      </c>
      <c r="C142" s="34">
        <v>45982</v>
      </c>
      <c r="D142" s="22" t="s">
        <v>306</v>
      </c>
      <c r="E142" s="22">
        <v>-31.07</v>
      </c>
      <c r="F142" s="28"/>
      <c r="G142" s="28">
        <v>-5.18</v>
      </c>
      <c r="H142" s="22" t="s">
        <v>489</v>
      </c>
      <c r="I142" s="22" t="s">
        <v>483</v>
      </c>
      <c r="J142" s="22"/>
    </row>
    <row r="143" spans="1:10" ht="13.2" x14ac:dyDescent="0.25">
      <c r="A143" s="22" t="b">
        <v>0</v>
      </c>
      <c r="B143" s="22" t="s">
        <v>1449</v>
      </c>
      <c r="C143" s="34">
        <v>45983</v>
      </c>
      <c r="D143" s="22" t="s">
        <v>3816</v>
      </c>
      <c r="E143" s="22">
        <v>-1.24</v>
      </c>
      <c r="F143" s="28"/>
      <c r="G143" s="28">
        <v>-0.21</v>
      </c>
      <c r="H143" s="22" t="s">
        <v>489</v>
      </c>
      <c r="I143" s="22" t="s">
        <v>483</v>
      </c>
      <c r="J143" s="22"/>
    </row>
    <row r="144" spans="1:10" ht="13.2" x14ac:dyDescent="0.25">
      <c r="A144" s="22" t="b">
        <v>0</v>
      </c>
      <c r="B144" s="22" t="s">
        <v>1441</v>
      </c>
      <c r="C144" s="34">
        <v>45985</v>
      </c>
      <c r="D144" s="22" t="s">
        <v>3816</v>
      </c>
      <c r="E144" s="22">
        <v>-12.8</v>
      </c>
      <c r="F144" s="28"/>
      <c r="G144" s="28">
        <v>-2.13</v>
      </c>
      <c r="H144" s="22" t="s">
        <v>489</v>
      </c>
      <c r="I144" s="22" t="s">
        <v>483</v>
      </c>
      <c r="J144" s="22"/>
    </row>
    <row r="145" spans="1:10" ht="13.2" x14ac:dyDescent="0.25">
      <c r="A145" s="22" t="b">
        <v>0</v>
      </c>
      <c r="B145" s="22" t="s">
        <v>1442</v>
      </c>
      <c r="C145" s="34">
        <v>45985</v>
      </c>
      <c r="D145" s="22" t="s">
        <v>3816</v>
      </c>
      <c r="E145" s="22">
        <v>-25.52</v>
      </c>
      <c r="F145" s="28"/>
      <c r="G145" s="28">
        <v>-4.25</v>
      </c>
      <c r="H145" s="22" t="s">
        <v>489</v>
      </c>
      <c r="I145" s="22" t="s">
        <v>483</v>
      </c>
      <c r="J145" s="22"/>
    </row>
    <row r="146" spans="1:10" ht="13.2" x14ac:dyDescent="0.25">
      <c r="A146" s="22" t="b">
        <v>0</v>
      </c>
      <c r="B146" s="22" t="s">
        <v>1433</v>
      </c>
      <c r="C146" s="34">
        <v>45986</v>
      </c>
      <c r="D146" s="22" t="s">
        <v>3816</v>
      </c>
      <c r="E146" s="22">
        <v>-20.75</v>
      </c>
      <c r="F146" s="28"/>
      <c r="G146" s="28">
        <v>-3.46</v>
      </c>
      <c r="H146" s="22" t="s">
        <v>489</v>
      </c>
      <c r="I146" s="22" t="s">
        <v>483</v>
      </c>
      <c r="J146" s="22"/>
    </row>
    <row r="147" spans="1:10" ht="13.2" x14ac:dyDescent="0.25">
      <c r="A147" s="22" t="b">
        <v>0</v>
      </c>
      <c r="B147" s="22" t="s">
        <v>1426</v>
      </c>
      <c r="C147" s="34">
        <v>45988</v>
      </c>
      <c r="D147" s="36" t="s">
        <v>440</v>
      </c>
      <c r="E147" s="22">
        <v>-21.02</v>
      </c>
      <c r="F147" s="28"/>
      <c r="G147" s="28">
        <v>-3.5</v>
      </c>
      <c r="H147" s="22" t="s">
        <v>489</v>
      </c>
      <c r="I147" s="22" t="s">
        <v>483</v>
      </c>
      <c r="J147" s="22"/>
    </row>
    <row r="148" spans="1:10" ht="13.2" x14ac:dyDescent="0.25">
      <c r="A148" s="22" t="b">
        <v>0</v>
      </c>
      <c r="B148" s="22" t="s">
        <v>1417</v>
      </c>
      <c r="C148" s="34">
        <v>45990</v>
      </c>
      <c r="D148" s="36" t="s">
        <v>440</v>
      </c>
      <c r="E148" s="22">
        <v>-31.75</v>
      </c>
      <c r="F148" s="28"/>
      <c r="G148" s="28">
        <v>-5.29</v>
      </c>
      <c r="H148" s="22" t="s">
        <v>489</v>
      </c>
      <c r="I148" s="22" t="s">
        <v>483</v>
      </c>
      <c r="J148" s="22"/>
    </row>
    <row r="149" spans="1:10" ht="13.2" x14ac:dyDescent="0.25">
      <c r="A149" s="22" t="b">
        <v>0</v>
      </c>
      <c r="B149" s="22" t="s">
        <v>1409</v>
      </c>
      <c r="C149" s="34">
        <v>45992</v>
      </c>
      <c r="D149" s="36" t="s">
        <v>440</v>
      </c>
      <c r="E149" s="22">
        <v>-29.87</v>
      </c>
      <c r="F149" s="28"/>
      <c r="G149" s="28">
        <v>-4.9800000000000004</v>
      </c>
      <c r="H149" s="22" t="s">
        <v>489</v>
      </c>
      <c r="I149" s="22" t="s">
        <v>483</v>
      </c>
      <c r="J149" s="22"/>
    </row>
    <row r="150" spans="1:10" ht="13.2" x14ac:dyDescent="0.25">
      <c r="A150" s="22" t="b">
        <v>0</v>
      </c>
      <c r="B150" s="22" t="s">
        <v>1379</v>
      </c>
      <c r="C150" s="34">
        <v>45995</v>
      </c>
      <c r="D150" s="36" t="s">
        <v>440</v>
      </c>
      <c r="E150" s="22">
        <v>-20.94</v>
      </c>
      <c r="F150" s="28"/>
      <c r="G150" s="28">
        <v>-3.49</v>
      </c>
      <c r="H150" s="22" t="s">
        <v>489</v>
      </c>
      <c r="I150" s="22" t="s">
        <v>483</v>
      </c>
      <c r="J150" s="22"/>
    </row>
    <row r="151" spans="1:10" ht="13.2" x14ac:dyDescent="0.25">
      <c r="A151" s="22" t="b">
        <v>0</v>
      </c>
      <c r="B151" s="22" t="s">
        <v>1370</v>
      </c>
      <c r="C151" s="34">
        <v>45996</v>
      </c>
      <c r="D151" s="22" t="s">
        <v>3820</v>
      </c>
      <c r="E151" s="22">
        <v>-40</v>
      </c>
      <c r="F151" s="28"/>
      <c r="G151" s="28">
        <v>-6.67</v>
      </c>
      <c r="H151" s="22" t="s">
        <v>489</v>
      </c>
      <c r="I151" s="22" t="s">
        <v>483</v>
      </c>
      <c r="J151" s="22"/>
    </row>
    <row r="152" spans="1:10" ht="13.2" x14ac:dyDescent="0.25">
      <c r="A152" s="22" t="b">
        <v>0</v>
      </c>
      <c r="B152" s="22" t="s">
        <v>1377</v>
      </c>
      <c r="C152" s="34">
        <v>45996</v>
      </c>
      <c r="D152" s="22" t="s">
        <v>314</v>
      </c>
      <c r="E152" s="22">
        <v>-9.99</v>
      </c>
      <c r="F152" s="28"/>
      <c r="G152" s="28">
        <v>-1.66</v>
      </c>
      <c r="H152" s="22" t="s">
        <v>489</v>
      </c>
      <c r="I152" s="22" t="s">
        <v>483</v>
      </c>
      <c r="J152" s="22"/>
    </row>
    <row r="153" spans="1:10" ht="13.2" x14ac:dyDescent="0.25">
      <c r="A153" s="22" t="b">
        <v>0</v>
      </c>
      <c r="B153" s="22" t="s">
        <v>1366</v>
      </c>
      <c r="C153" s="34">
        <v>45997</v>
      </c>
      <c r="D153" s="22" t="s">
        <v>3814</v>
      </c>
      <c r="E153" s="22">
        <v>-33.07</v>
      </c>
      <c r="F153" s="28"/>
      <c r="G153" s="28">
        <v>-5.51</v>
      </c>
      <c r="H153" s="22" t="s">
        <v>489</v>
      </c>
      <c r="I153" s="22" t="s">
        <v>483</v>
      </c>
      <c r="J153" s="22"/>
    </row>
    <row r="154" spans="1:10" ht="13.2" x14ac:dyDescent="0.25">
      <c r="A154" s="22" t="b">
        <v>0</v>
      </c>
      <c r="B154" s="22" t="s">
        <v>1347</v>
      </c>
      <c r="C154" s="34">
        <v>46003</v>
      </c>
      <c r="D154" s="36" t="s">
        <v>440</v>
      </c>
      <c r="E154" s="22">
        <v>-24.11</v>
      </c>
      <c r="F154" s="28"/>
      <c r="G154" s="28">
        <v>-4.0199999999999996</v>
      </c>
      <c r="H154" s="22" t="s">
        <v>489</v>
      </c>
      <c r="I154" s="22" t="s">
        <v>483</v>
      </c>
      <c r="J154" s="22"/>
    </row>
    <row r="155" spans="1:10" ht="13.2" x14ac:dyDescent="0.25">
      <c r="A155" s="22" t="b">
        <v>0</v>
      </c>
      <c r="B155" s="22" t="s">
        <v>1341</v>
      </c>
      <c r="C155" s="34">
        <v>46004</v>
      </c>
      <c r="D155" s="36" t="s">
        <v>440</v>
      </c>
      <c r="E155" s="22">
        <v>-16.95</v>
      </c>
      <c r="F155" s="28"/>
      <c r="G155" s="28">
        <v>-2.82</v>
      </c>
      <c r="H155" s="22" t="s">
        <v>489</v>
      </c>
      <c r="I155" s="22" t="s">
        <v>483</v>
      </c>
      <c r="J155" s="22"/>
    </row>
    <row r="156" spans="1:10" ht="13.2" x14ac:dyDescent="0.25">
      <c r="A156" s="22" t="b">
        <v>0</v>
      </c>
      <c r="B156" s="22" t="s">
        <v>1334</v>
      </c>
      <c r="C156" s="34">
        <v>46006</v>
      </c>
      <c r="D156" s="36" t="s">
        <v>440</v>
      </c>
      <c r="E156" s="22">
        <v>-31.32</v>
      </c>
      <c r="F156" s="28"/>
      <c r="G156" s="28">
        <v>-5.22</v>
      </c>
      <c r="H156" s="22" t="s">
        <v>489</v>
      </c>
      <c r="I156" s="22" t="s">
        <v>483</v>
      </c>
      <c r="J156" s="22"/>
    </row>
    <row r="157" spans="1:10" ht="13.2" x14ac:dyDescent="0.25">
      <c r="A157" s="22" t="b">
        <v>0</v>
      </c>
      <c r="B157" s="22" t="s">
        <v>1329</v>
      </c>
      <c r="C157" s="34">
        <v>46007</v>
      </c>
      <c r="D157" s="36" t="s">
        <v>440</v>
      </c>
      <c r="E157" s="22">
        <v>-11.35</v>
      </c>
      <c r="F157" s="28"/>
      <c r="G157" s="28">
        <v>-1.89</v>
      </c>
      <c r="H157" s="22" t="s">
        <v>489</v>
      </c>
      <c r="I157" s="22" t="s">
        <v>483</v>
      </c>
      <c r="J157" s="22"/>
    </row>
    <row r="158" spans="1:10" ht="13.2" hidden="1" x14ac:dyDescent="0.25">
      <c r="A158" s="22" t="b">
        <v>0</v>
      </c>
      <c r="B158" s="22" t="s">
        <v>2363</v>
      </c>
      <c r="D158" s="22" t="s">
        <v>3824</v>
      </c>
      <c r="E158" s="22">
        <v>-200.2</v>
      </c>
      <c r="F158" s="22"/>
      <c r="H158" s="22" t="s">
        <v>489</v>
      </c>
      <c r="I158" s="22" t="s">
        <v>483</v>
      </c>
    </row>
    <row r="159" spans="1:10" ht="13.2" hidden="1" x14ac:dyDescent="0.25">
      <c r="A159" s="22" t="b">
        <v>0</v>
      </c>
      <c r="B159" s="22" t="s">
        <v>2364</v>
      </c>
      <c r="D159" s="22" t="s">
        <v>3824</v>
      </c>
      <c r="E159" s="22">
        <v>-1200.2</v>
      </c>
      <c r="F159" s="22"/>
      <c r="H159" s="22" t="s">
        <v>489</v>
      </c>
      <c r="I159" s="22" t="s">
        <v>483</v>
      </c>
    </row>
    <row r="160" spans="1:10" ht="13.2" hidden="1" x14ac:dyDescent="0.25">
      <c r="A160" s="22" t="b">
        <v>0</v>
      </c>
      <c r="B160" s="22" t="s">
        <v>2469</v>
      </c>
      <c r="D160" s="22" t="s">
        <v>3809</v>
      </c>
      <c r="E160" s="22">
        <v>-10.68</v>
      </c>
      <c r="F160" s="22"/>
      <c r="G160" s="22" t="s">
        <v>489</v>
      </c>
      <c r="H160" s="22" t="s">
        <v>483</v>
      </c>
      <c r="J160" s="22">
        <v>12</v>
      </c>
    </row>
    <row r="161" spans="1:10" ht="13.2" hidden="1" x14ac:dyDescent="0.25">
      <c r="A161" s="22" t="b">
        <v>0</v>
      </c>
      <c r="B161" s="22" t="s">
        <v>2626</v>
      </c>
      <c r="D161" s="22" t="s">
        <v>3809</v>
      </c>
      <c r="E161" s="22">
        <v>-34.53</v>
      </c>
      <c r="F161" s="22"/>
      <c r="G161" s="22" t="s">
        <v>489</v>
      </c>
      <c r="H161" s="22" t="s">
        <v>483</v>
      </c>
      <c r="J161" s="22">
        <v>207</v>
      </c>
    </row>
    <row r="162" spans="1:10" ht="13.2" hidden="1" x14ac:dyDescent="0.25">
      <c r="A162" s="22" t="b">
        <v>0</v>
      </c>
      <c r="B162" s="22" t="s">
        <v>2639</v>
      </c>
      <c r="D162" s="22" t="s">
        <v>3825</v>
      </c>
      <c r="E162" s="22">
        <v>-249.5</v>
      </c>
      <c r="F162" s="22"/>
      <c r="G162" s="22" t="s">
        <v>489</v>
      </c>
      <c r="H162" s="22" t="s">
        <v>483</v>
      </c>
      <c r="J162" s="22">
        <v>223</v>
      </c>
    </row>
    <row r="163" spans="1:10" ht="13.2" hidden="1" x14ac:dyDescent="0.25">
      <c r="A163" s="22" t="b">
        <v>0</v>
      </c>
      <c r="B163" s="22" t="s">
        <v>2699</v>
      </c>
      <c r="D163" s="22" t="s">
        <v>3826</v>
      </c>
      <c r="E163" s="22">
        <v>-1192.2</v>
      </c>
      <c r="F163" s="22"/>
      <c r="G163" s="22" t="s">
        <v>489</v>
      </c>
      <c r="H163" s="22" t="s">
        <v>483</v>
      </c>
      <c r="J163" s="22">
        <v>35</v>
      </c>
    </row>
    <row r="164" spans="1:10" ht="13.2" hidden="1" x14ac:dyDescent="0.25">
      <c r="A164" s="22" t="b">
        <v>0</v>
      </c>
      <c r="B164" s="22" t="s">
        <v>2700</v>
      </c>
      <c r="D164" s="22" t="s">
        <v>3826</v>
      </c>
      <c r="E164" s="22">
        <v>-40.200000000000003</v>
      </c>
      <c r="F164" s="22"/>
      <c r="G164" s="22" t="s">
        <v>489</v>
      </c>
      <c r="H164" s="22" t="s">
        <v>483</v>
      </c>
      <c r="J164" s="22">
        <v>79</v>
      </c>
    </row>
    <row r="165" spans="1:10" ht="13.2" hidden="1" x14ac:dyDescent="0.25">
      <c r="A165" s="22" t="b">
        <v>0</v>
      </c>
      <c r="B165" s="22" t="s">
        <v>2701</v>
      </c>
      <c r="D165" s="22" t="s">
        <v>3827</v>
      </c>
      <c r="E165" s="22">
        <v>-300.2</v>
      </c>
      <c r="F165" s="22"/>
      <c r="G165" s="22" t="s">
        <v>489</v>
      </c>
      <c r="H165" s="22" t="s">
        <v>483</v>
      </c>
      <c r="J165" s="22">
        <v>113</v>
      </c>
    </row>
    <row r="166" spans="1:10" ht="13.2" hidden="1" x14ac:dyDescent="0.25">
      <c r="A166" s="22" t="b">
        <v>0</v>
      </c>
      <c r="B166" s="22" t="s">
        <v>2702</v>
      </c>
      <c r="D166" s="22" t="s">
        <v>3826</v>
      </c>
      <c r="E166" s="22">
        <v>-684</v>
      </c>
      <c r="F166" s="22"/>
      <c r="G166" s="22" t="s">
        <v>489</v>
      </c>
      <c r="H166" s="22" t="s">
        <v>483</v>
      </c>
      <c r="J166" s="22">
        <v>123</v>
      </c>
    </row>
    <row r="167" spans="1:10" ht="13.2" hidden="1" x14ac:dyDescent="0.25">
      <c r="A167" s="22" t="b">
        <v>0</v>
      </c>
      <c r="B167" s="22" t="s">
        <v>2703</v>
      </c>
      <c r="D167" s="22" t="s">
        <v>3826</v>
      </c>
      <c r="E167" s="22">
        <v>-1167.2</v>
      </c>
      <c r="F167" s="22"/>
      <c r="G167" s="22" t="s">
        <v>489</v>
      </c>
      <c r="H167" s="22" t="s">
        <v>483</v>
      </c>
      <c r="J167" s="22">
        <v>243</v>
      </c>
    </row>
    <row r="168" spans="1:10" ht="13.2" hidden="1" x14ac:dyDescent="0.25">
      <c r="A168" s="22" t="b">
        <v>0</v>
      </c>
      <c r="B168" s="22" t="s">
        <v>439</v>
      </c>
      <c r="C168" s="22" t="s">
        <v>2939</v>
      </c>
      <c r="D168" s="36" t="s">
        <v>440</v>
      </c>
      <c r="E168" s="22">
        <v>-15.98</v>
      </c>
      <c r="F168" s="22"/>
      <c r="G168" s="22" t="s">
        <v>489</v>
      </c>
      <c r="H168" s="22" t="s">
        <v>483</v>
      </c>
      <c r="J168" s="22">
        <v>317</v>
      </c>
    </row>
    <row r="169" spans="1:10" ht="13.2" hidden="1" x14ac:dyDescent="0.25">
      <c r="A169" s="22" t="b">
        <v>0</v>
      </c>
      <c r="B169" s="22" t="s">
        <v>2737</v>
      </c>
      <c r="C169" s="22" t="s">
        <v>2939</v>
      </c>
      <c r="D169" s="36" t="s">
        <v>440</v>
      </c>
      <c r="E169" s="22">
        <v>-17.04</v>
      </c>
      <c r="F169" s="22"/>
      <c r="G169" s="22" t="s">
        <v>489</v>
      </c>
      <c r="H169" s="22" t="s">
        <v>483</v>
      </c>
      <c r="J169" s="22">
        <v>326</v>
      </c>
    </row>
    <row r="170" spans="1:10" ht="13.2" hidden="1" x14ac:dyDescent="0.25">
      <c r="A170" s="22" t="b">
        <v>0</v>
      </c>
      <c r="B170" s="22" t="s">
        <v>2742</v>
      </c>
      <c r="C170" s="22" t="s">
        <v>2939</v>
      </c>
      <c r="D170" s="36" t="s">
        <v>440</v>
      </c>
      <c r="E170" s="22">
        <v>-11.92</v>
      </c>
      <c r="F170" s="22"/>
      <c r="G170" s="22" t="s">
        <v>489</v>
      </c>
      <c r="H170" s="22" t="s">
        <v>483</v>
      </c>
      <c r="J170" s="22">
        <v>332</v>
      </c>
    </row>
    <row r="171" spans="1:10" ht="13.2" hidden="1" x14ac:dyDescent="0.25">
      <c r="A171" s="22" t="b">
        <v>0</v>
      </c>
      <c r="B171" s="22" t="s">
        <v>2744</v>
      </c>
      <c r="C171" s="22" t="s">
        <v>2939</v>
      </c>
      <c r="D171" s="36" t="s">
        <v>440</v>
      </c>
      <c r="E171" s="22">
        <v>-31.71</v>
      </c>
      <c r="F171" s="22"/>
      <c r="G171" s="22" t="s">
        <v>489</v>
      </c>
      <c r="H171" s="22" t="s">
        <v>483</v>
      </c>
      <c r="J171" s="22">
        <v>334</v>
      </c>
    </row>
    <row r="172" spans="1:10" ht="13.2" hidden="1" x14ac:dyDescent="0.25">
      <c r="A172" s="22" t="b">
        <v>0</v>
      </c>
      <c r="B172" s="22" t="s">
        <v>2759</v>
      </c>
      <c r="C172" s="22" t="s">
        <v>2939</v>
      </c>
      <c r="D172" s="36" t="s">
        <v>440</v>
      </c>
      <c r="E172" s="22">
        <v>-16.57</v>
      </c>
      <c r="F172" s="22"/>
      <c r="G172" s="22" t="s">
        <v>489</v>
      </c>
      <c r="H172" s="22" t="s">
        <v>483</v>
      </c>
      <c r="J172" s="22">
        <v>353</v>
      </c>
    </row>
    <row r="173" spans="1:10" ht="13.2" hidden="1" x14ac:dyDescent="0.25">
      <c r="A173" s="22" t="b">
        <v>0</v>
      </c>
      <c r="B173" s="22" t="s">
        <v>2761</v>
      </c>
      <c r="C173" s="22" t="s">
        <v>2939</v>
      </c>
      <c r="D173" s="36" t="s">
        <v>440</v>
      </c>
      <c r="E173" s="22">
        <v>-35.33</v>
      </c>
      <c r="F173" s="22"/>
      <c r="G173" s="22" t="s">
        <v>489</v>
      </c>
      <c r="H173" s="22" t="s">
        <v>483</v>
      </c>
      <c r="J173" s="22">
        <v>355</v>
      </c>
    </row>
    <row r="174" spans="1:10" ht="13.2" hidden="1" x14ac:dyDescent="0.25">
      <c r="A174" s="22" t="b">
        <v>0</v>
      </c>
      <c r="B174" s="22" t="s">
        <v>2768</v>
      </c>
      <c r="C174" s="22" t="s">
        <v>2939</v>
      </c>
      <c r="D174" s="36" t="s">
        <v>440</v>
      </c>
      <c r="E174" s="22">
        <v>-15.64</v>
      </c>
      <c r="F174" s="22"/>
      <c r="G174" s="22" t="s">
        <v>489</v>
      </c>
      <c r="H174" s="22" t="s">
        <v>483</v>
      </c>
      <c r="J174" s="22">
        <v>363</v>
      </c>
    </row>
    <row r="175" spans="1:10" ht="13.2" hidden="1" x14ac:dyDescent="0.25">
      <c r="A175" s="22" t="b">
        <v>0</v>
      </c>
      <c r="B175" s="22" t="s">
        <v>2772</v>
      </c>
      <c r="C175" s="22" t="s">
        <v>2939</v>
      </c>
      <c r="D175" s="36" t="s">
        <v>440</v>
      </c>
      <c r="E175" s="22">
        <v>-12.82</v>
      </c>
      <c r="F175" s="22"/>
      <c r="G175" s="22" t="s">
        <v>489</v>
      </c>
      <c r="H175" s="22" t="s">
        <v>483</v>
      </c>
      <c r="J175" s="22">
        <v>372</v>
      </c>
    </row>
    <row r="176" spans="1:10" ht="13.2" hidden="1" x14ac:dyDescent="0.25">
      <c r="A176" s="22" t="b">
        <v>0</v>
      </c>
      <c r="B176" s="22" t="s">
        <v>84</v>
      </c>
      <c r="D176" s="22" t="s">
        <v>3828</v>
      </c>
      <c r="E176" s="22">
        <v>-1645.4</v>
      </c>
      <c r="F176" s="22" t="s">
        <v>489</v>
      </c>
      <c r="G176" s="22" t="s">
        <v>483</v>
      </c>
      <c r="I176" s="22">
        <v>23</v>
      </c>
    </row>
    <row r="177" spans="1:9" ht="13.2" hidden="1" x14ac:dyDescent="0.25">
      <c r="A177" s="22" t="b">
        <v>0</v>
      </c>
      <c r="B177" s="22" t="s">
        <v>87</v>
      </c>
      <c r="D177" s="22" t="s">
        <v>3829</v>
      </c>
      <c r="E177" s="22">
        <v>-267.69</v>
      </c>
      <c r="F177" s="22" t="s">
        <v>489</v>
      </c>
      <c r="G177" s="22" t="s">
        <v>483</v>
      </c>
      <c r="I177" s="22">
        <v>24</v>
      </c>
    </row>
    <row r="178" spans="1:9" ht="13.2" hidden="1" x14ac:dyDescent="0.25">
      <c r="A178" s="22" t="b">
        <v>0</v>
      </c>
      <c r="B178" s="22" t="s">
        <v>229</v>
      </c>
      <c r="D178" s="22" t="s">
        <v>3822</v>
      </c>
      <c r="E178" s="22">
        <v>-956.53</v>
      </c>
      <c r="F178" s="22" t="s">
        <v>489</v>
      </c>
      <c r="G178" s="22" t="s">
        <v>483</v>
      </c>
      <c r="I178" s="22">
        <v>92</v>
      </c>
    </row>
    <row r="179" spans="1:9" ht="13.2" hidden="1" x14ac:dyDescent="0.25">
      <c r="A179" s="22" t="b">
        <v>0</v>
      </c>
      <c r="B179" s="22" t="s">
        <v>252</v>
      </c>
      <c r="D179" s="22" t="s">
        <v>3830</v>
      </c>
      <c r="E179" s="22">
        <v>-1616.99</v>
      </c>
      <c r="F179" s="22" t="s">
        <v>489</v>
      </c>
      <c r="G179" s="22" t="s">
        <v>483</v>
      </c>
      <c r="I179" s="22">
        <v>104</v>
      </c>
    </row>
    <row r="180" spans="1:9" ht="13.2" hidden="1" x14ac:dyDescent="0.25">
      <c r="A180" s="22" t="b">
        <v>0</v>
      </c>
      <c r="B180" s="22" t="s">
        <v>315</v>
      </c>
      <c r="D180" s="22" t="s">
        <v>3831</v>
      </c>
      <c r="E180" s="22">
        <v>-270.02999999999997</v>
      </c>
      <c r="F180" s="22" t="s">
        <v>489</v>
      </c>
      <c r="G180" s="22" t="s">
        <v>483</v>
      </c>
      <c r="I180" s="22">
        <v>137</v>
      </c>
    </row>
    <row r="181" spans="1:9" ht="13.2" hidden="1" x14ac:dyDescent="0.25">
      <c r="A181" s="22" t="b">
        <v>0</v>
      </c>
      <c r="B181" s="22" t="s">
        <v>2757</v>
      </c>
      <c r="C181" s="22" t="s">
        <v>2939</v>
      </c>
      <c r="D181" s="22" t="s">
        <v>306</v>
      </c>
      <c r="E181" s="22">
        <v>-52.56</v>
      </c>
      <c r="F181" s="22">
        <v>-8.76</v>
      </c>
      <c r="G181" s="22" t="s">
        <v>489</v>
      </c>
    </row>
    <row r="182" spans="1:9" ht="13.2" hidden="1" x14ac:dyDescent="0.25">
      <c r="A182" s="22" t="b">
        <v>0</v>
      </c>
      <c r="B182" s="22" t="s">
        <v>305</v>
      </c>
      <c r="D182" s="22" t="s">
        <v>306</v>
      </c>
      <c r="E182" s="22">
        <v>-36.229999999999997</v>
      </c>
      <c r="F182" s="22" t="s">
        <v>489</v>
      </c>
      <c r="G182" s="22" t="s">
        <v>483</v>
      </c>
      <c r="I182" s="22">
        <v>131</v>
      </c>
    </row>
    <row r="183" spans="1:9" ht="13.2" hidden="1" x14ac:dyDescent="0.25"/>
    <row r="184" spans="1:9" ht="13.2" hidden="1" x14ac:dyDescent="0.25"/>
    <row r="185" spans="1:9" ht="13.2" hidden="1" x14ac:dyDescent="0.25"/>
    <row r="186" spans="1:9" ht="13.2" hidden="1" x14ac:dyDescent="0.25"/>
    <row r="187" spans="1:9" ht="13.2" hidden="1" x14ac:dyDescent="0.25"/>
    <row r="188" spans="1:9" ht="13.2" hidden="1" x14ac:dyDescent="0.25"/>
    <row r="189" spans="1:9" ht="13.2" hidden="1" x14ac:dyDescent="0.25"/>
    <row r="190" spans="1:9" ht="13.2" hidden="1" x14ac:dyDescent="0.25"/>
    <row r="191" spans="1:9" ht="13.2" hidden="1" x14ac:dyDescent="0.25"/>
    <row r="192" spans="1:9" ht="13.2" hidden="1" x14ac:dyDescent="0.25"/>
    <row r="193" ht="13.2" hidden="1" x14ac:dyDescent="0.25"/>
    <row r="194" ht="13.2" hidden="1" x14ac:dyDescent="0.25"/>
    <row r="195" ht="13.2" hidden="1" x14ac:dyDescent="0.25"/>
    <row r="196" ht="13.2" hidden="1" x14ac:dyDescent="0.25"/>
    <row r="197" ht="13.2" hidden="1" x14ac:dyDescent="0.25"/>
    <row r="198" ht="13.2" hidden="1" x14ac:dyDescent="0.25"/>
    <row r="199" ht="13.2" hidden="1" x14ac:dyDescent="0.25"/>
    <row r="200" ht="13.2" hidden="1" x14ac:dyDescent="0.25"/>
    <row r="201" ht="13.2" hidden="1" x14ac:dyDescent="0.25"/>
    <row r="202" ht="13.2" hidden="1" x14ac:dyDescent="0.25"/>
    <row r="203" ht="13.2" hidden="1" x14ac:dyDescent="0.25"/>
    <row r="204" ht="13.2" hidden="1" x14ac:dyDescent="0.25"/>
    <row r="205" ht="13.2" hidden="1" x14ac:dyDescent="0.25"/>
    <row r="206" ht="13.2" hidden="1" x14ac:dyDescent="0.25"/>
    <row r="207" ht="13.2" hidden="1" x14ac:dyDescent="0.25"/>
    <row r="208" ht="13.2" hidden="1" x14ac:dyDescent="0.25"/>
    <row r="209" ht="13.2" hidden="1" x14ac:dyDescent="0.25"/>
    <row r="210" ht="13.2" hidden="1" x14ac:dyDescent="0.25"/>
    <row r="211" ht="13.2" hidden="1" x14ac:dyDescent="0.25"/>
    <row r="212" ht="13.2" hidden="1" x14ac:dyDescent="0.25"/>
    <row r="213" ht="13.2" hidden="1" x14ac:dyDescent="0.25"/>
    <row r="214" ht="13.2" hidden="1" x14ac:dyDescent="0.25"/>
    <row r="215" ht="13.2" hidden="1" x14ac:dyDescent="0.25"/>
    <row r="216" ht="13.2" hidden="1" x14ac:dyDescent="0.25"/>
    <row r="217" ht="13.2" hidden="1" x14ac:dyDescent="0.25"/>
    <row r="218" ht="13.2" hidden="1" x14ac:dyDescent="0.25"/>
    <row r="219" ht="13.2" hidden="1" x14ac:dyDescent="0.25"/>
    <row r="220" ht="13.2" hidden="1" x14ac:dyDescent="0.25"/>
    <row r="221" ht="13.2" hidden="1" x14ac:dyDescent="0.25"/>
    <row r="222" ht="13.2" hidden="1" x14ac:dyDescent="0.25"/>
    <row r="223" ht="13.2" hidden="1" x14ac:dyDescent="0.25"/>
    <row r="224" ht="13.2" hidden="1" x14ac:dyDescent="0.25"/>
    <row r="225" ht="13.2" hidden="1" x14ac:dyDescent="0.25"/>
    <row r="226" ht="13.2" hidden="1" x14ac:dyDescent="0.25"/>
    <row r="227" ht="13.2" hidden="1" x14ac:dyDescent="0.25"/>
    <row r="228" ht="13.2" hidden="1" x14ac:dyDescent="0.25"/>
    <row r="229" ht="13.2" hidden="1" x14ac:dyDescent="0.25"/>
    <row r="230" ht="13.2" hidden="1" x14ac:dyDescent="0.25"/>
    <row r="231" ht="13.2" hidden="1" x14ac:dyDescent="0.25"/>
    <row r="232" ht="13.2" hidden="1" x14ac:dyDescent="0.25"/>
    <row r="233" ht="13.2" hidden="1" x14ac:dyDescent="0.25"/>
    <row r="234" ht="13.2" hidden="1" x14ac:dyDescent="0.25"/>
    <row r="235" ht="13.2" hidden="1" x14ac:dyDescent="0.25"/>
    <row r="236" ht="13.2" hidden="1" x14ac:dyDescent="0.25"/>
    <row r="237" ht="13.2" hidden="1" x14ac:dyDescent="0.25"/>
    <row r="238" ht="13.2" hidden="1" x14ac:dyDescent="0.25"/>
    <row r="239" ht="13.2" hidden="1" x14ac:dyDescent="0.25"/>
    <row r="240" ht="13.2" hidden="1" x14ac:dyDescent="0.25"/>
    <row r="241" ht="13.2" hidden="1" x14ac:dyDescent="0.25"/>
    <row r="242" ht="13.2" hidden="1" x14ac:dyDescent="0.25"/>
    <row r="243" ht="13.2" hidden="1" x14ac:dyDescent="0.25"/>
    <row r="244" ht="13.2" hidden="1" x14ac:dyDescent="0.25"/>
    <row r="245" ht="13.2" hidden="1" x14ac:dyDescent="0.25"/>
    <row r="246" ht="13.2" hidden="1" x14ac:dyDescent="0.25"/>
    <row r="247" ht="13.2" hidden="1" x14ac:dyDescent="0.25"/>
    <row r="248" ht="13.2" hidden="1" x14ac:dyDescent="0.25"/>
    <row r="249" ht="13.2" hidden="1" x14ac:dyDescent="0.25"/>
    <row r="250" ht="13.2" hidden="1" x14ac:dyDescent="0.25"/>
    <row r="251" ht="13.2" hidden="1" x14ac:dyDescent="0.25"/>
    <row r="252" ht="13.2" hidden="1" x14ac:dyDescent="0.25"/>
    <row r="253" ht="13.2" hidden="1" x14ac:dyDescent="0.25"/>
    <row r="254" ht="13.2" hidden="1" x14ac:dyDescent="0.25"/>
    <row r="255" ht="13.2" hidden="1" x14ac:dyDescent="0.25"/>
    <row r="256" ht="13.2" hidden="1" x14ac:dyDescent="0.25"/>
    <row r="257" ht="13.2" hidden="1" x14ac:dyDescent="0.25"/>
    <row r="258" ht="13.2" hidden="1" x14ac:dyDescent="0.25"/>
    <row r="259" ht="13.2" hidden="1" x14ac:dyDescent="0.25"/>
    <row r="260" ht="13.2" hidden="1" x14ac:dyDescent="0.25"/>
    <row r="261" ht="13.2" hidden="1" x14ac:dyDescent="0.25"/>
    <row r="262" ht="13.2" hidden="1" x14ac:dyDescent="0.25"/>
    <row r="263" ht="13.2" hidden="1" x14ac:dyDescent="0.25"/>
    <row r="264" ht="13.2" hidden="1" x14ac:dyDescent="0.25"/>
    <row r="265" ht="13.2" hidden="1" x14ac:dyDescent="0.25"/>
    <row r="266" ht="13.2" hidden="1" x14ac:dyDescent="0.25"/>
    <row r="267" ht="13.2" hidden="1" x14ac:dyDescent="0.25"/>
    <row r="268" ht="13.2" hidden="1" x14ac:dyDescent="0.25"/>
    <row r="269" ht="13.2" hidden="1" x14ac:dyDescent="0.25"/>
    <row r="270" ht="13.2" hidden="1" x14ac:dyDescent="0.25"/>
    <row r="271" ht="13.2" hidden="1" x14ac:dyDescent="0.25"/>
    <row r="272" ht="13.2" hidden="1" x14ac:dyDescent="0.25"/>
    <row r="273" ht="13.2" hidden="1" x14ac:dyDescent="0.25"/>
    <row r="274" ht="13.2" hidden="1" x14ac:dyDescent="0.25"/>
    <row r="275" ht="13.2" hidden="1" x14ac:dyDescent="0.25"/>
    <row r="276" ht="13.2" hidden="1" x14ac:dyDescent="0.25"/>
    <row r="277" ht="13.2" hidden="1" x14ac:dyDescent="0.25"/>
    <row r="278" ht="13.2" hidden="1" x14ac:dyDescent="0.25"/>
    <row r="279" ht="13.2" hidden="1" x14ac:dyDescent="0.25"/>
    <row r="280" ht="13.2" hidden="1" x14ac:dyDescent="0.25"/>
    <row r="281" ht="13.2" hidden="1" x14ac:dyDescent="0.25"/>
    <row r="282" ht="13.2" hidden="1" x14ac:dyDescent="0.25"/>
    <row r="283" ht="13.2" hidden="1" x14ac:dyDescent="0.25"/>
    <row r="284" ht="13.2" hidden="1" x14ac:dyDescent="0.25"/>
    <row r="285" ht="13.2" hidden="1" x14ac:dyDescent="0.25"/>
    <row r="286" ht="13.2" hidden="1" x14ac:dyDescent="0.25"/>
    <row r="287" ht="13.2" hidden="1" x14ac:dyDescent="0.25"/>
    <row r="288" ht="13.2" hidden="1" x14ac:dyDescent="0.25"/>
    <row r="289" ht="13.2" hidden="1" x14ac:dyDescent="0.25"/>
    <row r="290" ht="13.2" hidden="1" x14ac:dyDescent="0.25"/>
    <row r="291" ht="13.2" hidden="1" x14ac:dyDescent="0.25"/>
    <row r="292" ht="13.2" hidden="1" x14ac:dyDescent="0.25"/>
    <row r="293" ht="13.2" hidden="1" x14ac:dyDescent="0.25"/>
    <row r="294" ht="13.2" hidden="1" x14ac:dyDescent="0.25"/>
    <row r="295" ht="13.2" hidden="1" x14ac:dyDescent="0.25"/>
    <row r="296" ht="13.2" hidden="1" x14ac:dyDescent="0.25"/>
    <row r="297" ht="13.2" hidden="1" x14ac:dyDescent="0.25"/>
    <row r="298" ht="13.2" hidden="1" x14ac:dyDescent="0.25"/>
    <row r="299" ht="13.2" hidden="1" x14ac:dyDescent="0.25"/>
    <row r="300" ht="13.2" hidden="1" x14ac:dyDescent="0.25"/>
    <row r="301" ht="13.2" hidden="1" x14ac:dyDescent="0.25"/>
    <row r="302" ht="13.2" hidden="1" x14ac:dyDescent="0.25"/>
    <row r="303" ht="13.2" hidden="1" x14ac:dyDescent="0.25"/>
    <row r="304" ht="13.2" hidden="1" x14ac:dyDescent="0.25"/>
    <row r="305" ht="13.2" hidden="1" x14ac:dyDescent="0.25"/>
    <row r="306" ht="13.2" hidden="1" x14ac:dyDescent="0.25"/>
    <row r="307" ht="13.2" hidden="1" x14ac:dyDescent="0.25"/>
    <row r="308" ht="13.2" hidden="1" x14ac:dyDescent="0.25"/>
    <row r="309" ht="13.2" hidden="1" x14ac:dyDescent="0.25"/>
    <row r="310" ht="13.2" hidden="1" x14ac:dyDescent="0.25"/>
    <row r="311" ht="13.2" hidden="1" x14ac:dyDescent="0.25"/>
    <row r="312" ht="13.2" hidden="1" x14ac:dyDescent="0.25"/>
    <row r="313" ht="13.2" hidden="1" x14ac:dyDescent="0.25"/>
    <row r="314" ht="13.2" hidden="1" x14ac:dyDescent="0.25"/>
    <row r="315" ht="13.2" hidden="1" x14ac:dyDescent="0.25"/>
    <row r="316" ht="13.2" hidden="1" x14ac:dyDescent="0.25"/>
    <row r="317" ht="13.2" hidden="1" x14ac:dyDescent="0.25"/>
    <row r="318" ht="13.2" hidden="1" x14ac:dyDescent="0.25"/>
    <row r="319" ht="13.2" hidden="1" x14ac:dyDescent="0.25"/>
    <row r="320" ht="13.2" hidden="1" x14ac:dyDescent="0.25"/>
    <row r="321" ht="13.2" hidden="1" x14ac:dyDescent="0.25"/>
    <row r="322" ht="13.2" hidden="1" x14ac:dyDescent="0.25"/>
    <row r="323" ht="13.2" hidden="1" x14ac:dyDescent="0.25"/>
    <row r="324" ht="13.2" hidden="1" x14ac:dyDescent="0.25"/>
    <row r="325" ht="13.2" hidden="1" x14ac:dyDescent="0.25"/>
    <row r="326" ht="13.2" hidden="1" x14ac:dyDescent="0.25"/>
    <row r="327" ht="13.2" hidden="1" x14ac:dyDescent="0.25"/>
    <row r="328" ht="13.2" hidden="1" x14ac:dyDescent="0.25"/>
    <row r="329" ht="13.2" hidden="1" x14ac:dyDescent="0.25"/>
    <row r="330" ht="13.2" hidden="1" x14ac:dyDescent="0.25"/>
    <row r="331" ht="13.2" hidden="1" x14ac:dyDescent="0.25"/>
    <row r="332" ht="13.2" hidden="1" x14ac:dyDescent="0.25"/>
    <row r="333" ht="13.2" hidden="1" x14ac:dyDescent="0.25"/>
    <row r="334" ht="13.2" hidden="1" x14ac:dyDescent="0.25"/>
    <row r="335" ht="13.2" hidden="1" x14ac:dyDescent="0.25"/>
    <row r="336" ht="13.2" hidden="1" x14ac:dyDescent="0.25"/>
    <row r="337" ht="13.2" hidden="1" x14ac:dyDescent="0.25"/>
    <row r="338" ht="13.2" hidden="1" x14ac:dyDescent="0.25"/>
    <row r="339" ht="13.2" hidden="1" x14ac:dyDescent="0.25"/>
    <row r="340" ht="13.2" hidden="1" x14ac:dyDescent="0.25"/>
    <row r="341" ht="13.2" hidden="1" x14ac:dyDescent="0.25"/>
    <row r="342" ht="13.2" hidden="1" x14ac:dyDescent="0.25"/>
    <row r="343" ht="13.2" hidden="1" x14ac:dyDescent="0.25"/>
    <row r="344" ht="13.2" hidden="1" x14ac:dyDescent="0.25"/>
    <row r="345" ht="13.2" hidden="1" x14ac:dyDescent="0.25"/>
    <row r="346" ht="13.2" hidden="1" x14ac:dyDescent="0.25"/>
    <row r="347" ht="13.2" hidden="1" x14ac:dyDescent="0.25"/>
    <row r="348" ht="13.2" hidden="1" x14ac:dyDescent="0.25"/>
    <row r="349" ht="13.2" hidden="1" x14ac:dyDescent="0.25"/>
    <row r="350" ht="13.2" hidden="1" x14ac:dyDescent="0.25"/>
    <row r="351" ht="13.2" hidden="1" x14ac:dyDescent="0.25"/>
    <row r="352" ht="13.2" hidden="1" x14ac:dyDescent="0.25"/>
    <row r="353" ht="13.2" hidden="1" x14ac:dyDescent="0.25"/>
    <row r="354" ht="13.2" hidden="1" x14ac:dyDescent="0.25"/>
    <row r="355" ht="13.2" hidden="1" x14ac:dyDescent="0.25"/>
    <row r="356" ht="13.2" hidden="1" x14ac:dyDescent="0.25"/>
    <row r="357" ht="13.2" hidden="1" x14ac:dyDescent="0.25"/>
    <row r="358" ht="13.2" hidden="1" x14ac:dyDescent="0.25"/>
    <row r="359" ht="13.2" hidden="1" x14ac:dyDescent="0.25"/>
    <row r="360" ht="13.2" hidden="1" x14ac:dyDescent="0.25"/>
    <row r="361" ht="13.2" hidden="1" x14ac:dyDescent="0.25"/>
    <row r="362" ht="13.2" hidden="1" x14ac:dyDescent="0.25"/>
    <row r="363" ht="13.2" hidden="1" x14ac:dyDescent="0.25"/>
    <row r="364" ht="13.2" hidden="1" x14ac:dyDescent="0.25"/>
    <row r="365" ht="13.2" hidden="1" x14ac:dyDescent="0.25"/>
    <row r="366" ht="13.2" hidden="1" x14ac:dyDescent="0.25"/>
    <row r="367" ht="13.2" hidden="1" x14ac:dyDescent="0.25"/>
    <row r="368" ht="13.2" hidden="1" x14ac:dyDescent="0.25"/>
    <row r="369" ht="13.2" hidden="1" x14ac:dyDescent="0.25"/>
    <row r="370" ht="13.2" hidden="1" x14ac:dyDescent="0.25"/>
    <row r="371" ht="13.2" hidden="1" x14ac:dyDescent="0.25"/>
    <row r="372" ht="13.2" hidden="1" x14ac:dyDescent="0.25"/>
    <row r="373" ht="13.2" hidden="1" x14ac:dyDescent="0.25"/>
    <row r="374" ht="13.2" hidden="1" x14ac:dyDescent="0.25"/>
    <row r="375" ht="13.2" hidden="1" x14ac:dyDescent="0.25"/>
    <row r="376" ht="13.2" hidden="1" x14ac:dyDescent="0.25"/>
    <row r="377" ht="13.2" hidden="1" x14ac:dyDescent="0.25"/>
    <row r="378" ht="13.2" hidden="1" x14ac:dyDescent="0.25"/>
    <row r="379" ht="13.2" hidden="1" x14ac:dyDescent="0.25"/>
    <row r="380" ht="13.2" hidden="1" x14ac:dyDescent="0.25"/>
    <row r="381" ht="13.2" hidden="1" x14ac:dyDescent="0.25"/>
    <row r="382" ht="13.2" hidden="1" x14ac:dyDescent="0.25"/>
    <row r="383" ht="13.2" hidden="1" x14ac:dyDescent="0.25"/>
    <row r="384" ht="13.2" hidden="1" x14ac:dyDescent="0.25"/>
    <row r="385" ht="13.2" hidden="1" x14ac:dyDescent="0.25"/>
    <row r="386" ht="13.2" hidden="1" x14ac:dyDescent="0.25"/>
    <row r="387" ht="13.2" hidden="1" x14ac:dyDescent="0.25"/>
    <row r="388" ht="13.2" hidden="1" x14ac:dyDescent="0.25"/>
    <row r="389" ht="13.2" hidden="1" x14ac:dyDescent="0.25"/>
    <row r="390" ht="13.2" hidden="1" x14ac:dyDescent="0.25"/>
    <row r="391" ht="13.2" hidden="1" x14ac:dyDescent="0.25"/>
    <row r="392" ht="13.2" hidden="1" x14ac:dyDescent="0.25"/>
    <row r="393" ht="13.2" hidden="1" x14ac:dyDescent="0.25"/>
    <row r="394" ht="13.2" hidden="1" x14ac:dyDescent="0.25"/>
    <row r="395" ht="13.2" hidden="1" x14ac:dyDescent="0.25"/>
    <row r="396" ht="13.2" hidden="1" x14ac:dyDescent="0.25"/>
    <row r="397" ht="13.2" hidden="1" x14ac:dyDescent="0.25"/>
    <row r="398" ht="13.2" hidden="1" x14ac:dyDescent="0.25"/>
    <row r="399" ht="13.2" hidden="1" x14ac:dyDescent="0.25"/>
    <row r="400" ht="13.2" hidden="1" x14ac:dyDescent="0.25"/>
    <row r="401" ht="13.2" hidden="1" x14ac:dyDescent="0.25"/>
    <row r="402" ht="13.2" hidden="1" x14ac:dyDescent="0.25"/>
    <row r="403" ht="13.2" hidden="1" x14ac:dyDescent="0.25"/>
    <row r="404" ht="13.2" hidden="1" x14ac:dyDescent="0.25"/>
    <row r="405" ht="13.2" hidden="1" x14ac:dyDescent="0.25"/>
    <row r="406" ht="13.2" hidden="1" x14ac:dyDescent="0.25"/>
    <row r="407" ht="13.2" hidden="1" x14ac:dyDescent="0.25"/>
    <row r="408" ht="13.2" hidden="1" x14ac:dyDescent="0.25"/>
    <row r="409" ht="13.2" hidden="1" x14ac:dyDescent="0.25"/>
    <row r="410" ht="13.2" hidden="1" x14ac:dyDescent="0.25"/>
    <row r="411" ht="13.2" hidden="1" x14ac:dyDescent="0.25"/>
    <row r="412" ht="13.2" hidden="1" x14ac:dyDescent="0.25"/>
    <row r="413" ht="13.2" hidden="1" x14ac:dyDescent="0.25"/>
    <row r="414" ht="13.2" hidden="1" x14ac:dyDescent="0.25"/>
    <row r="415" ht="13.2" hidden="1" x14ac:dyDescent="0.25"/>
    <row r="416" ht="13.2" hidden="1" x14ac:dyDescent="0.25"/>
    <row r="417" ht="13.2" hidden="1" x14ac:dyDescent="0.25"/>
    <row r="418" ht="13.2" hidden="1" x14ac:dyDescent="0.25"/>
    <row r="419" ht="13.2" hidden="1" x14ac:dyDescent="0.25"/>
    <row r="420" ht="13.2" hidden="1" x14ac:dyDescent="0.25"/>
    <row r="421" ht="13.2" hidden="1" x14ac:dyDescent="0.25"/>
    <row r="422" ht="13.2" hidden="1" x14ac:dyDescent="0.25"/>
    <row r="423" ht="13.2" hidden="1" x14ac:dyDescent="0.25"/>
    <row r="424" ht="13.2" hidden="1" x14ac:dyDescent="0.25"/>
    <row r="425" ht="13.2" hidden="1" x14ac:dyDescent="0.25"/>
    <row r="426" ht="13.2" hidden="1" x14ac:dyDescent="0.25"/>
    <row r="427" ht="13.2" hidden="1" x14ac:dyDescent="0.25"/>
    <row r="428" ht="13.2" hidden="1" x14ac:dyDescent="0.25"/>
    <row r="429" ht="13.2" hidden="1" x14ac:dyDescent="0.25"/>
    <row r="430" ht="13.2" hidden="1" x14ac:dyDescent="0.25"/>
    <row r="431" ht="13.2" hidden="1" x14ac:dyDescent="0.25"/>
    <row r="432" ht="13.2" hidden="1" x14ac:dyDescent="0.25"/>
    <row r="433" ht="13.2" hidden="1" x14ac:dyDescent="0.25"/>
    <row r="434" ht="13.2" hidden="1" x14ac:dyDescent="0.25"/>
    <row r="435" ht="13.2" hidden="1" x14ac:dyDescent="0.25"/>
    <row r="436" ht="13.2" hidden="1" x14ac:dyDescent="0.25"/>
    <row r="437" ht="13.2" hidden="1" x14ac:dyDescent="0.25"/>
    <row r="438" ht="13.2" hidden="1" x14ac:dyDescent="0.25"/>
    <row r="439" ht="13.2" hidden="1" x14ac:dyDescent="0.25"/>
    <row r="440" ht="13.2" hidden="1" x14ac:dyDescent="0.25"/>
    <row r="441" ht="13.2" hidden="1" x14ac:dyDescent="0.25"/>
    <row r="442" ht="13.2" hidden="1" x14ac:dyDescent="0.25"/>
    <row r="443" ht="13.2" hidden="1" x14ac:dyDescent="0.25"/>
    <row r="444" ht="13.2" hidden="1" x14ac:dyDescent="0.25"/>
    <row r="445" ht="13.2" hidden="1" x14ac:dyDescent="0.25"/>
    <row r="446" ht="13.2" hidden="1" x14ac:dyDescent="0.25"/>
    <row r="447" ht="13.2" hidden="1" x14ac:dyDescent="0.25"/>
    <row r="448" ht="13.2" hidden="1" x14ac:dyDescent="0.25"/>
    <row r="449" ht="13.2" hidden="1" x14ac:dyDescent="0.25"/>
    <row r="450" ht="13.2" hidden="1" x14ac:dyDescent="0.25"/>
    <row r="451" ht="13.2" hidden="1" x14ac:dyDescent="0.25"/>
    <row r="452" ht="13.2" hidden="1" x14ac:dyDescent="0.25"/>
    <row r="453" ht="13.2" hidden="1" x14ac:dyDescent="0.25"/>
    <row r="454" ht="13.2" hidden="1" x14ac:dyDescent="0.25"/>
    <row r="455" ht="13.2" hidden="1" x14ac:dyDescent="0.25"/>
    <row r="456" ht="13.2" hidden="1" x14ac:dyDescent="0.25"/>
    <row r="457" ht="13.2" hidden="1" x14ac:dyDescent="0.25"/>
    <row r="458" ht="13.2" hidden="1" x14ac:dyDescent="0.25"/>
    <row r="459" ht="13.2" hidden="1" x14ac:dyDescent="0.25"/>
    <row r="460" ht="13.2" hidden="1" x14ac:dyDescent="0.25"/>
    <row r="461" ht="13.2" hidden="1" x14ac:dyDescent="0.25"/>
    <row r="462" ht="13.2" hidden="1" x14ac:dyDescent="0.25"/>
    <row r="463" ht="13.2" hidden="1" x14ac:dyDescent="0.25"/>
    <row r="464" ht="13.2" hidden="1" x14ac:dyDescent="0.25"/>
    <row r="465" ht="13.2" hidden="1" x14ac:dyDescent="0.25"/>
    <row r="466" ht="13.2" hidden="1" x14ac:dyDescent="0.25"/>
    <row r="467" ht="13.2" hidden="1" x14ac:dyDescent="0.25"/>
    <row r="468" ht="13.2" hidden="1" x14ac:dyDescent="0.25"/>
    <row r="469" ht="13.2" hidden="1" x14ac:dyDescent="0.25"/>
    <row r="470" ht="13.2" hidden="1" x14ac:dyDescent="0.25"/>
    <row r="471" ht="13.2" hidden="1" x14ac:dyDescent="0.25"/>
    <row r="472" ht="13.2" hidden="1" x14ac:dyDescent="0.25"/>
    <row r="473" ht="13.2" hidden="1" x14ac:dyDescent="0.25"/>
    <row r="474" ht="13.2" hidden="1" x14ac:dyDescent="0.25"/>
    <row r="475" ht="13.2" hidden="1" x14ac:dyDescent="0.25"/>
    <row r="476" ht="13.2" hidden="1" x14ac:dyDescent="0.25"/>
    <row r="477" ht="13.2" hidden="1" x14ac:dyDescent="0.25"/>
    <row r="478" ht="13.2" hidden="1" x14ac:dyDescent="0.25"/>
    <row r="479" ht="13.2" hidden="1" x14ac:dyDescent="0.25"/>
    <row r="480" ht="13.2" hidden="1" x14ac:dyDescent="0.25"/>
    <row r="481" ht="13.2" hidden="1" x14ac:dyDescent="0.25"/>
    <row r="482" ht="13.2" hidden="1" x14ac:dyDescent="0.25"/>
    <row r="483" ht="13.2" hidden="1" x14ac:dyDescent="0.25"/>
    <row r="484" ht="13.2" hidden="1" x14ac:dyDescent="0.25"/>
    <row r="485" ht="13.2" hidden="1" x14ac:dyDescent="0.25"/>
    <row r="486" ht="13.2" hidden="1" x14ac:dyDescent="0.25"/>
    <row r="487" ht="13.2" hidden="1" x14ac:dyDescent="0.25"/>
    <row r="488" ht="13.2" hidden="1" x14ac:dyDescent="0.25"/>
    <row r="489" ht="13.2" hidden="1" x14ac:dyDescent="0.25"/>
    <row r="490" ht="13.2" hidden="1" x14ac:dyDescent="0.25"/>
    <row r="491" ht="13.2" hidden="1" x14ac:dyDescent="0.25"/>
    <row r="492" ht="13.2" hidden="1" x14ac:dyDescent="0.25"/>
    <row r="493" ht="13.2" hidden="1" x14ac:dyDescent="0.25"/>
    <row r="494" ht="13.2" hidden="1" x14ac:dyDescent="0.25"/>
    <row r="495" ht="13.2" hidden="1" x14ac:dyDescent="0.25"/>
    <row r="496" ht="13.2" hidden="1" x14ac:dyDescent="0.25"/>
    <row r="497" ht="13.2" hidden="1" x14ac:dyDescent="0.25"/>
    <row r="498" ht="13.2" hidden="1" x14ac:dyDescent="0.25"/>
    <row r="499" ht="13.2" hidden="1" x14ac:dyDescent="0.25"/>
    <row r="500" ht="13.2" hidden="1" x14ac:dyDescent="0.25"/>
    <row r="501" ht="13.2" hidden="1" x14ac:dyDescent="0.25"/>
    <row r="502" ht="13.2" hidden="1" x14ac:dyDescent="0.25"/>
    <row r="503" ht="13.2" hidden="1" x14ac:dyDescent="0.25"/>
    <row r="504" ht="13.2" hidden="1" x14ac:dyDescent="0.25"/>
    <row r="505" ht="13.2" hidden="1" x14ac:dyDescent="0.25"/>
    <row r="506" ht="13.2" hidden="1" x14ac:dyDescent="0.25"/>
    <row r="507" ht="13.2" hidden="1" x14ac:dyDescent="0.25"/>
    <row r="508" ht="13.2" hidden="1" x14ac:dyDescent="0.25"/>
    <row r="509" ht="13.2" hidden="1" x14ac:dyDescent="0.25"/>
    <row r="510" ht="13.2" hidden="1" x14ac:dyDescent="0.25"/>
    <row r="511" ht="13.2" hidden="1" x14ac:dyDescent="0.25"/>
    <row r="512" ht="13.2" hidden="1" x14ac:dyDescent="0.25"/>
    <row r="513" ht="13.2" hidden="1" x14ac:dyDescent="0.25"/>
    <row r="514" ht="13.2" hidden="1" x14ac:dyDescent="0.25"/>
    <row r="515" ht="13.2" hidden="1" x14ac:dyDescent="0.25"/>
    <row r="516" ht="13.2" hidden="1" x14ac:dyDescent="0.25"/>
    <row r="517" ht="13.2" hidden="1" x14ac:dyDescent="0.25"/>
    <row r="518" ht="13.2" hidden="1" x14ac:dyDescent="0.25"/>
    <row r="519" ht="13.2" hidden="1" x14ac:dyDescent="0.25"/>
    <row r="520" ht="13.2" hidden="1" x14ac:dyDescent="0.25"/>
    <row r="521" ht="13.2" hidden="1" x14ac:dyDescent="0.25"/>
    <row r="522" ht="13.2" hidden="1" x14ac:dyDescent="0.25"/>
    <row r="523" ht="13.2" hidden="1" x14ac:dyDescent="0.25"/>
    <row r="524" ht="13.2" hidden="1" x14ac:dyDescent="0.25"/>
    <row r="525" ht="13.2" hidden="1" x14ac:dyDescent="0.25"/>
    <row r="526" ht="13.2" hidden="1" x14ac:dyDescent="0.25"/>
    <row r="527" ht="13.2" hidden="1" x14ac:dyDescent="0.25"/>
    <row r="528" ht="13.2" hidden="1" x14ac:dyDescent="0.25"/>
    <row r="529" ht="13.2" hidden="1" x14ac:dyDescent="0.25"/>
    <row r="530" ht="13.2" hidden="1" x14ac:dyDescent="0.25"/>
    <row r="531" ht="13.2" hidden="1" x14ac:dyDescent="0.25"/>
    <row r="532" ht="13.2" hidden="1" x14ac:dyDescent="0.25"/>
    <row r="533" ht="13.2" hidden="1" x14ac:dyDescent="0.25"/>
    <row r="534" ht="13.2" hidden="1" x14ac:dyDescent="0.25"/>
    <row r="535" ht="13.2" hidden="1" x14ac:dyDescent="0.25"/>
    <row r="536" ht="13.2" hidden="1" x14ac:dyDescent="0.25"/>
    <row r="537" ht="13.2" hidden="1" x14ac:dyDescent="0.25"/>
    <row r="538" ht="13.2" hidden="1" x14ac:dyDescent="0.25"/>
    <row r="539" ht="13.2" hidden="1" x14ac:dyDescent="0.25"/>
    <row r="540" ht="13.2" hidden="1" x14ac:dyDescent="0.25"/>
    <row r="541" ht="13.2" hidden="1" x14ac:dyDescent="0.25"/>
    <row r="542" ht="13.2" hidden="1" x14ac:dyDescent="0.25"/>
    <row r="543" ht="13.2" hidden="1" x14ac:dyDescent="0.25"/>
    <row r="544" ht="13.2" hidden="1" x14ac:dyDescent="0.25"/>
    <row r="545" ht="13.2" hidden="1" x14ac:dyDescent="0.25"/>
    <row r="546" ht="13.2" hidden="1" x14ac:dyDescent="0.25"/>
    <row r="547" ht="13.2" hidden="1" x14ac:dyDescent="0.25"/>
    <row r="548" ht="13.2" hidden="1" x14ac:dyDescent="0.25"/>
    <row r="549" ht="13.2" hidden="1" x14ac:dyDescent="0.25"/>
    <row r="550" ht="13.2" hidden="1" x14ac:dyDescent="0.25"/>
    <row r="551" ht="13.2" hidden="1" x14ac:dyDescent="0.25"/>
    <row r="552" ht="13.2" hidden="1" x14ac:dyDescent="0.25"/>
    <row r="553" ht="13.2" hidden="1" x14ac:dyDescent="0.25"/>
    <row r="554" ht="13.2" hidden="1" x14ac:dyDescent="0.25"/>
    <row r="555" ht="13.2" hidden="1" x14ac:dyDescent="0.25"/>
    <row r="556" ht="13.2" hidden="1" x14ac:dyDescent="0.25"/>
    <row r="557" ht="13.2" hidden="1" x14ac:dyDescent="0.25"/>
    <row r="558" ht="13.2" hidden="1" x14ac:dyDescent="0.25"/>
    <row r="559" ht="13.2" hidden="1" x14ac:dyDescent="0.25"/>
    <row r="560" ht="13.2" hidden="1" x14ac:dyDescent="0.25"/>
    <row r="561" ht="13.2" hidden="1" x14ac:dyDescent="0.25"/>
    <row r="562" ht="13.2" hidden="1" x14ac:dyDescent="0.25"/>
    <row r="563" ht="13.2" hidden="1" x14ac:dyDescent="0.25"/>
    <row r="564" ht="13.2" hidden="1" x14ac:dyDescent="0.25"/>
    <row r="565" ht="13.2" hidden="1" x14ac:dyDescent="0.25"/>
    <row r="566" ht="13.2" hidden="1" x14ac:dyDescent="0.25"/>
    <row r="567" ht="13.2" hidden="1" x14ac:dyDescent="0.25"/>
    <row r="568" ht="13.2" hidden="1" x14ac:dyDescent="0.25"/>
    <row r="569" ht="13.2" hidden="1" x14ac:dyDescent="0.25"/>
    <row r="570" ht="13.2" hidden="1" x14ac:dyDescent="0.25"/>
    <row r="571" ht="13.2" hidden="1" x14ac:dyDescent="0.25"/>
    <row r="572" ht="13.2" hidden="1" x14ac:dyDescent="0.25"/>
    <row r="573" ht="13.2" hidden="1" x14ac:dyDescent="0.25"/>
    <row r="574" ht="13.2" hidden="1" x14ac:dyDescent="0.25"/>
    <row r="575" ht="13.2" hidden="1" x14ac:dyDescent="0.25"/>
    <row r="576" ht="13.2" hidden="1" x14ac:dyDescent="0.25"/>
    <row r="577" ht="13.2" hidden="1" x14ac:dyDescent="0.25"/>
    <row r="578" ht="13.2" hidden="1" x14ac:dyDescent="0.25"/>
    <row r="579" ht="13.2" hidden="1" x14ac:dyDescent="0.25"/>
    <row r="580" ht="13.2" hidden="1" x14ac:dyDescent="0.25"/>
    <row r="581" ht="13.2" hidden="1" x14ac:dyDescent="0.25"/>
    <row r="582" ht="13.2" hidden="1" x14ac:dyDescent="0.25"/>
    <row r="583" ht="13.2" hidden="1" x14ac:dyDescent="0.25"/>
    <row r="584" ht="13.2" hidden="1" x14ac:dyDescent="0.25"/>
    <row r="585" ht="13.2" hidden="1" x14ac:dyDescent="0.25"/>
    <row r="586" ht="13.2" hidden="1" x14ac:dyDescent="0.25"/>
    <row r="587" ht="13.2" hidden="1" x14ac:dyDescent="0.25"/>
    <row r="588" ht="13.2" hidden="1" x14ac:dyDescent="0.25"/>
    <row r="589" ht="13.2" hidden="1" x14ac:dyDescent="0.25"/>
    <row r="590" ht="13.2" hidden="1" x14ac:dyDescent="0.25"/>
    <row r="591" ht="13.2" hidden="1" x14ac:dyDescent="0.25"/>
    <row r="592" ht="13.2" hidden="1" x14ac:dyDescent="0.25"/>
    <row r="593" ht="13.2" hidden="1" x14ac:dyDescent="0.25"/>
    <row r="594" ht="13.2" hidden="1" x14ac:dyDescent="0.25"/>
    <row r="595" ht="13.2" hidden="1" x14ac:dyDescent="0.25"/>
    <row r="596" ht="13.2" hidden="1" x14ac:dyDescent="0.25"/>
    <row r="597" ht="13.2" hidden="1" x14ac:dyDescent="0.25"/>
    <row r="598" ht="13.2" hidden="1" x14ac:dyDescent="0.25"/>
    <row r="599" ht="13.2" hidden="1" x14ac:dyDescent="0.25"/>
    <row r="600" ht="13.2" hidden="1" x14ac:dyDescent="0.25"/>
    <row r="601" ht="13.2" hidden="1" x14ac:dyDescent="0.25"/>
    <row r="602" ht="13.2" hidden="1" x14ac:dyDescent="0.25"/>
    <row r="603" ht="13.2" hidden="1" x14ac:dyDescent="0.25"/>
    <row r="604" ht="13.2" hidden="1" x14ac:dyDescent="0.25"/>
    <row r="605" ht="13.2" hidden="1" x14ac:dyDescent="0.25"/>
    <row r="606" ht="13.2" hidden="1" x14ac:dyDescent="0.25"/>
    <row r="607" ht="13.2" hidden="1" x14ac:dyDescent="0.25"/>
    <row r="608" ht="13.2" hidden="1" x14ac:dyDescent="0.25"/>
    <row r="609" ht="13.2" hidden="1" x14ac:dyDescent="0.25"/>
    <row r="610" ht="13.2" hidden="1" x14ac:dyDescent="0.25"/>
    <row r="611" ht="13.2" hidden="1" x14ac:dyDescent="0.25"/>
    <row r="612" ht="13.2" hidden="1" x14ac:dyDescent="0.25"/>
    <row r="613" ht="13.2" hidden="1" x14ac:dyDescent="0.25"/>
    <row r="614" ht="13.2" hidden="1" x14ac:dyDescent="0.25"/>
    <row r="615" ht="13.2" hidden="1" x14ac:dyDescent="0.25"/>
    <row r="616" ht="13.2" hidden="1" x14ac:dyDescent="0.25"/>
    <row r="617" ht="13.2" hidden="1" x14ac:dyDescent="0.25"/>
    <row r="618" ht="13.2" hidden="1" x14ac:dyDescent="0.25"/>
    <row r="619" ht="13.2" hidden="1" x14ac:dyDescent="0.25"/>
    <row r="620" ht="13.2" hidden="1" x14ac:dyDescent="0.25"/>
    <row r="621" ht="13.2" hidden="1" x14ac:dyDescent="0.25"/>
    <row r="622" ht="13.2" hidden="1" x14ac:dyDescent="0.25"/>
    <row r="623" ht="13.2" hidden="1" x14ac:dyDescent="0.25"/>
    <row r="624" ht="13.2" hidden="1" x14ac:dyDescent="0.25"/>
    <row r="625" ht="13.2" hidden="1" x14ac:dyDescent="0.25"/>
    <row r="626" ht="13.2" hidden="1" x14ac:dyDescent="0.25"/>
    <row r="627" ht="13.2" hidden="1" x14ac:dyDescent="0.25"/>
    <row r="628" ht="13.2" hidden="1" x14ac:dyDescent="0.25"/>
    <row r="629" ht="13.2" hidden="1" x14ac:dyDescent="0.25"/>
    <row r="630" ht="13.2" hidden="1" x14ac:dyDescent="0.25"/>
    <row r="631" ht="13.2" hidden="1" x14ac:dyDescent="0.25"/>
    <row r="632" ht="13.2" hidden="1" x14ac:dyDescent="0.25"/>
    <row r="633" ht="13.2" hidden="1" x14ac:dyDescent="0.25"/>
    <row r="634" ht="13.2" hidden="1" x14ac:dyDescent="0.25"/>
    <row r="635" ht="13.2" hidden="1" x14ac:dyDescent="0.25"/>
    <row r="636" ht="13.2" hidden="1" x14ac:dyDescent="0.25"/>
    <row r="637" ht="13.2" hidden="1" x14ac:dyDescent="0.25"/>
    <row r="638" ht="13.2" hidden="1" x14ac:dyDescent="0.25"/>
    <row r="639" ht="13.2" hidden="1" x14ac:dyDescent="0.25"/>
    <row r="640" ht="13.2" hidden="1" x14ac:dyDescent="0.25"/>
    <row r="641" ht="13.2" hidden="1" x14ac:dyDescent="0.25"/>
    <row r="642" ht="13.2" hidden="1" x14ac:dyDescent="0.25"/>
    <row r="643" ht="13.2" hidden="1" x14ac:dyDescent="0.25"/>
    <row r="644" ht="13.2" hidden="1" x14ac:dyDescent="0.25"/>
    <row r="645" ht="13.2" hidden="1" x14ac:dyDescent="0.25"/>
    <row r="646" ht="13.2" hidden="1" x14ac:dyDescent="0.25"/>
    <row r="647" ht="13.2" hidden="1" x14ac:dyDescent="0.25"/>
    <row r="648" ht="13.2" hidden="1" x14ac:dyDescent="0.25"/>
    <row r="649" ht="13.2" hidden="1" x14ac:dyDescent="0.25"/>
    <row r="650" ht="13.2" hidden="1" x14ac:dyDescent="0.25"/>
    <row r="651" ht="13.2" hidden="1" x14ac:dyDescent="0.25"/>
    <row r="652" ht="13.2" hidden="1" x14ac:dyDescent="0.25"/>
    <row r="653" ht="13.2" hidden="1" x14ac:dyDescent="0.25"/>
    <row r="654" ht="13.2" hidden="1" x14ac:dyDescent="0.25"/>
    <row r="655" ht="13.2" hidden="1" x14ac:dyDescent="0.25"/>
    <row r="656" ht="13.2" hidden="1" x14ac:dyDescent="0.25"/>
    <row r="657" ht="13.2" hidden="1" x14ac:dyDescent="0.25"/>
    <row r="658" ht="13.2" hidden="1" x14ac:dyDescent="0.25"/>
    <row r="659" ht="13.2" hidden="1" x14ac:dyDescent="0.25"/>
    <row r="660" ht="13.2" hidden="1" x14ac:dyDescent="0.25"/>
    <row r="661" ht="13.2" hidden="1" x14ac:dyDescent="0.25"/>
    <row r="662" ht="13.2" hidden="1" x14ac:dyDescent="0.25"/>
    <row r="663" ht="13.2" hidden="1" x14ac:dyDescent="0.25"/>
    <row r="664" ht="13.2" hidden="1" x14ac:dyDescent="0.25"/>
    <row r="665" ht="13.2" hidden="1" x14ac:dyDescent="0.25"/>
    <row r="666" ht="13.2" hidden="1" x14ac:dyDescent="0.25"/>
    <row r="667" ht="13.2" hidden="1" x14ac:dyDescent="0.25"/>
    <row r="668" ht="13.2" hidden="1" x14ac:dyDescent="0.25"/>
    <row r="669" ht="13.2" hidden="1" x14ac:dyDescent="0.25"/>
    <row r="670" ht="13.2" hidden="1" x14ac:dyDescent="0.25"/>
    <row r="671" ht="13.2" hidden="1" x14ac:dyDescent="0.25"/>
    <row r="672" ht="13.2" hidden="1" x14ac:dyDescent="0.25"/>
    <row r="673" ht="13.2" hidden="1" x14ac:dyDescent="0.25"/>
    <row r="674" ht="13.2" hidden="1" x14ac:dyDescent="0.25"/>
    <row r="675" ht="13.2" hidden="1" x14ac:dyDescent="0.25"/>
    <row r="676" ht="13.2" hidden="1" x14ac:dyDescent="0.25"/>
    <row r="677" ht="13.2" hidden="1" x14ac:dyDescent="0.25"/>
    <row r="678" ht="13.2" hidden="1" x14ac:dyDescent="0.25"/>
    <row r="679" ht="13.2" hidden="1" x14ac:dyDescent="0.25"/>
    <row r="680" ht="13.2" hidden="1" x14ac:dyDescent="0.25"/>
    <row r="681" ht="13.2" hidden="1" x14ac:dyDescent="0.25"/>
    <row r="682" ht="13.2" hidden="1" x14ac:dyDescent="0.25"/>
    <row r="683" ht="13.2" hidden="1" x14ac:dyDescent="0.25"/>
    <row r="684" ht="13.2" hidden="1" x14ac:dyDescent="0.25"/>
    <row r="685" ht="13.2" hidden="1" x14ac:dyDescent="0.25"/>
    <row r="686" ht="13.2" hidden="1" x14ac:dyDescent="0.25"/>
    <row r="687" ht="13.2" hidden="1" x14ac:dyDescent="0.25"/>
    <row r="688" ht="13.2" hidden="1" x14ac:dyDescent="0.25"/>
    <row r="689" ht="13.2" hidden="1" x14ac:dyDescent="0.25"/>
    <row r="690" ht="13.2" hidden="1" x14ac:dyDescent="0.25"/>
    <row r="691" ht="13.2" hidden="1" x14ac:dyDescent="0.25"/>
    <row r="692" ht="13.2" hidden="1" x14ac:dyDescent="0.25"/>
    <row r="693" ht="13.2" hidden="1" x14ac:dyDescent="0.25"/>
    <row r="694" ht="13.2" hidden="1" x14ac:dyDescent="0.25"/>
    <row r="695" ht="13.2" hidden="1" x14ac:dyDescent="0.25"/>
    <row r="696" ht="13.2" hidden="1" x14ac:dyDescent="0.25"/>
    <row r="697" ht="13.2" hidden="1" x14ac:dyDescent="0.25"/>
    <row r="698" ht="13.2" hidden="1" x14ac:dyDescent="0.25"/>
    <row r="699" ht="13.2" hidden="1" x14ac:dyDescent="0.25"/>
    <row r="700" ht="13.2" hidden="1" x14ac:dyDescent="0.25"/>
    <row r="701" ht="13.2" hidden="1" x14ac:dyDescent="0.25"/>
    <row r="702" ht="13.2" hidden="1" x14ac:dyDescent="0.25"/>
    <row r="703" ht="13.2" hidden="1" x14ac:dyDescent="0.25"/>
    <row r="704" ht="13.2" hidden="1" x14ac:dyDescent="0.25"/>
    <row r="705" ht="13.2" hidden="1" x14ac:dyDescent="0.25"/>
    <row r="706" ht="13.2" hidden="1" x14ac:dyDescent="0.25"/>
    <row r="707" ht="13.2" hidden="1" x14ac:dyDescent="0.25"/>
    <row r="708" ht="13.2" hidden="1" x14ac:dyDescent="0.25"/>
    <row r="709" ht="13.2" hidden="1" x14ac:dyDescent="0.25"/>
    <row r="710" ht="13.2" hidden="1" x14ac:dyDescent="0.25"/>
    <row r="711" ht="13.2" hidden="1" x14ac:dyDescent="0.25"/>
    <row r="712" ht="13.2" hidden="1" x14ac:dyDescent="0.25"/>
    <row r="713" ht="13.2" hidden="1" x14ac:dyDescent="0.25"/>
    <row r="714" ht="13.2" hidden="1" x14ac:dyDescent="0.25"/>
    <row r="715" ht="13.2" hidden="1" x14ac:dyDescent="0.25"/>
    <row r="716" ht="13.2" hidden="1" x14ac:dyDescent="0.25"/>
    <row r="717" ht="13.2" hidden="1" x14ac:dyDescent="0.25"/>
    <row r="718" ht="13.2" hidden="1" x14ac:dyDescent="0.25"/>
    <row r="719" ht="13.2" hidden="1" x14ac:dyDescent="0.25"/>
    <row r="720" ht="13.2" hidden="1" x14ac:dyDescent="0.25"/>
    <row r="721" ht="13.2" hidden="1" x14ac:dyDescent="0.25"/>
    <row r="722" ht="13.2" hidden="1" x14ac:dyDescent="0.25"/>
    <row r="723" ht="13.2" hidden="1" x14ac:dyDescent="0.25"/>
    <row r="724" ht="13.2" hidden="1" x14ac:dyDescent="0.25"/>
    <row r="725" ht="13.2" hidden="1" x14ac:dyDescent="0.25"/>
    <row r="726" ht="13.2" hidden="1" x14ac:dyDescent="0.25"/>
    <row r="727" ht="13.2" hidden="1" x14ac:dyDescent="0.25"/>
    <row r="728" ht="13.2" hidden="1" x14ac:dyDescent="0.25"/>
    <row r="729" ht="13.2" hidden="1" x14ac:dyDescent="0.25"/>
    <row r="730" ht="13.2" hidden="1" x14ac:dyDescent="0.25"/>
    <row r="731" ht="13.2" hidden="1" x14ac:dyDescent="0.25"/>
    <row r="732" ht="13.2" hidden="1" x14ac:dyDescent="0.25"/>
    <row r="733" ht="13.2" hidden="1" x14ac:dyDescent="0.25"/>
    <row r="734" ht="13.2" hidden="1" x14ac:dyDescent="0.25"/>
    <row r="735" ht="13.2" hidden="1" x14ac:dyDescent="0.25"/>
    <row r="736" ht="13.2" hidden="1" x14ac:dyDescent="0.25"/>
    <row r="737" ht="13.2" hidden="1" x14ac:dyDescent="0.25"/>
    <row r="738" ht="13.2" hidden="1" x14ac:dyDescent="0.25"/>
    <row r="739" ht="13.2" hidden="1" x14ac:dyDescent="0.25"/>
    <row r="740" ht="13.2" hidden="1" x14ac:dyDescent="0.25"/>
    <row r="741" ht="13.2" hidden="1" x14ac:dyDescent="0.25"/>
    <row r="742" ht="13.2" hidden="1" x14ac:dyDescent="0.25"/>
    <row r="743" ht="13.2" hidden="1" x14ac:dyDescent="0.25"/>
    <row r="744" ht="13.2" hidden="1" x14ac:dyDescent="0.25"/>
    <row r="745" ht="13.2" hidden="1" x14ac:dyDescent="0.25"/>
    <row r="746" ht="13.2" hidden="1" x14ac:dyDescent="0.25"/>
    <row r="747" ht="13.2" hidden="1" x14ac:dyDescent="0.25"/>
    <row r="748" ht="13.2" hidden="1" x14ac:dyDescent="0.25"/>
    <row r="749" ht="13.2" hidden="1" x14ac:dyDescent="0.25"/>
    <row r="750" ht="13.2" hidden="1" x14ac:dyDescent="0.25"/>
    <row r="751" ht="13.2" hidden="1" x14ac:dyDescent="0.25"/>
    <row r="752" ht="13.2" hidden="1" x14ac:dyDescent="0.25"/>
    <row r="753" ht="13.2" hidden="1" x14ac:dyDescent="0.25"/>
    <row r="754" ht="13.2" hidden="1" x14ac:dyDescent="0.25"/>
    <row r="755" ht="13.2" hidden="1" x14ac:dyDescent="0.25"/>
    <row r="756" ht="13.2" hidden="1" x14ac:dyDescent="0.25"/>
    <row r="757" ht="13.2" hidden="1" x14ac:dyDescent="0.25"/>
    <row r="758" ht="13.2" hidden="1" x14ac:dyDescent="0.25"/>
    <row r="759" ht="13.2" hidden="1" x14ac:dyDescent="0.25"/>
    <row r="760" ht="13.2" hidden="1" x14ac:dyDescent="0.25"/>
    <row r="761" ht="13.2" hidden="1" x14ac:dyDescent="0.25"/>
    <row r="762" ht="13.2" hidden="1" x14ac:dyDescent="0.25"/>
    <row r="763" ht="13.2" hidden="1" x14ac:dyDescent="0.25"/>
    <row r="764" ht="13.2" hidden="1" x14ac:dyDescent="0.25"/>
    <row r="765" ht="13.2" hidden="1" x14ac:dyDescent="0.25"/>
    <row r="766" ht="13.2" hidden="1" x14ac:dyDescent="0.25"/>
    <row r="767" ht="13.2" hidden="1" x14ac:dyDescent="0.25"/>
    <row r="768" ht="13.2" hidden="1" x14ac:dyDescent="0.25"/>
    <row r="769" ht="13.2" hidden="1" x14ac:dyDescent="0.25"/>
    <row r="770" ht="13.2" hidden="1" x14ac:dyDescent="0.25"/>
    <row r="771" ht="13.2" hidden="1" x14ac:dyDescent="0.25"/>
    <row r="772" ht="13.2" hidden="1" x14ac:dyDescent="0.25"/>
    <row r="773" ht="13.2" hidden="1" x14ac:dyDescent="0.25"/>
    <row r="774" ht="13.2" hidden="1" x14ac:dyDescent="0.25"/>
    <row r="775" ht="13.2" hidden="1" x14ac:dyDescent="0.25"/>
    <row r="776" ht="13.2" hidden="1" x14ac:dyDescent="0.25"/>
    <row r="777" ht="13.2" hidden="1" x14ac:dyDescent="0.25"/>
    <row r="778" ht="13.2" hidden="1" x14ac:dyDescent="0.25"/>
    <row r="779" ht="13.2" hidden="1" x14ac:dyDescent="0.25"/>
    <row r="780" ht="13.2" hidden="1" x14ac:dyDescent="0.25"/>
    <row r="781" ht="13.2" hidden="1" x14ac:dyDescent="0.25"/>
    <row r="782" ht="13.2" hidden="1" x14ac:dyDescent="0.25"/>
    <row r="783" ht="13.2" hidden="1" x14ac:dyDescent="0.25"/>
    <row r="784" ht="13.2" hidden="1" x14ac:dyDescent="0.25"/>
    <row r="785" ht="13.2" hidden="1" x14ac:dyDescent="0.25"/>
    <row r="786" ht="13.2" hidden="1" x14ac:dyDescent="0.25"/>
    <row r="787" ht="13.2" hidden="1" x14ac:dyDescent="0.25"/>
    <row r="788" ht="13.2" hidden="1" x14ac:dyDescent="0.25"/>
    <row r="789" ht="13.2" hidden="1" x14ac:dyDescent="0.25"/>
    <row r="790" ht="13.2" hidden="1" x14ac:dyDescent="0.25"/>
    <row r="791" ht="13.2" hidden="1" x14ac:dyDescent="0.25"/>
    <row r="792" ht="13.2" hidden="1" x14ac:dyDescent="0.25"/>
    <row r="793" ht="13.2" hidden="1" x14ac:dyDescent="0.25"/>
    <row r="794" ht="13.2" hidden="1" x14ac:dyDescent="0.25"/>
    <row r="795" ht="13.2" hidden="1" x14ac:dyDescent="0.25"/>
    <row r="796" ht="13.2" hidden="1" x14ac:dyDescent="0.25"/>
    <row r="797" ht="13.2" hidden="1" x14ac:dyDescent="0.25"/>
    <row r="798" ht="13.2" hidden="1" x14ac:dyDescent="0.25"/>
    <row r="799" ht="13.2" hidden="1" x14ac:dyDescent="0.25"/>
    <row r="800" ht="13.2" hidden="1" x14ac:dyDescent="0.25"/>
    <row r="801" ht="13.2" hidden="1" x14ac:dyDescent="0.25"/>
    <row r="802" ht="13.2" hidden="1" x14ac:dyDescent="0.25"/>
    <row r="803" ht="13.2" hidden="1" x14ac:dyDescent="0.25"/>
    <row r="804" ht="13.2" hidden="1" x14ac:dyDescent="0.25"/>
    <row r="805" ht="13.2" hidden="1" x14ac:dyDescent="0.25"/>
    <row r="806" ht="13.2" hidden="1" x14ac:dyDescent="0.25"/>
    <row r="807" ht="13.2" hidden="1" x14ac:dyDescent="0.25"/>
    <row r="808" ht="13.2" hidden="1" x14ac:dyDescent="0.25"/>
    <row r="809" ht="13.2" hidden="1" x14ac:dyDescent="0.25"/>
    <row r="810" ht="13.2" hidden="1" x14ac:dyDescent="0.25"/>
    <row r="811" ht="13.2" hidden="1" x14ac:dyDescent="0.25"/>
    <row r="812" ht="13.2" hidden="1" x14ac:dyDescent="0.25"/>
    <row r="813" ht="13.2" hidden="1" x14ac:dyDescent="0.25"/>
    <row r="814" ht="13.2" hidden="1" x14ac:dyDescent="0.25"/>
    <row r="815" ht="13.2" hidden="1" x14ac:dyDescent="0.25"/>
    <row r="816" ht="13.2" hidden="1" x14ac:dyDescent="0.25"/>
    <row r="817" ht="13.2" hidden="1" x14ac:dyDescent="0.25"/>
    <row r="818" ht="13.2" hidden="1" x14ac:dyDescent="0.25"/>
    <row r="819" ht="13.2" hidden="1" x14ac:dyDescent="0.25"/>
    <row r="820" ht="13.2" hidden="1" x14ac:dyDescent="0.25"/>
    <row r="821" ht="13.2" hidden="1" x14ac:dyDescent="0.25"/>
    <row r="822" ht="13.2" hidden="1" x14ac:dyDescent="0.25"/>
    <row r="823" ht="13.2" hidden="1" x14ac:dyDescent="0.25"/>
    <row r="824" ht="13.2" hidden="1" x14ac:dyDescent="0.25"/>
    <row r="825" ht="13.2" hidden="1" x14ac:dyDescent="0.25"/>
    <row r="826" ht="13.2" hidden="1" x14ac:dyDescent="0.25"/>
    <row r="827" ht="13.2" hidden="1" x14ac:dyDescent="0.25"/>
    <row r="828" ht="13.2" hidden="1" x14ac:dyDescent="0.25"/>
    <row r="829" ht="13.2" hidden="1" x14ac:dyDescent="0.25"/>
    <row r="830" ht="13.2" hidden="1" x14ac:dyDescent="0.25"/>
    <row r="831" ht="13.2" hidden="1" x14ac:dyDescent="0.25"/>
    <row r="832" ht="13.2" hidden="1" x14ac:dyDescent="0.25"/>
    <row r="833" ht="13.2" hidden="1" x14ac:dyDescent="0.25"/>
    <row r="834" ht="13.2" hidden="1" x14ac:dyDescent="0.25"/>
    <row r="835" ht="13.2" hidden="1" x14ac:dyDescent="0.25"/>
    <row r="836" ht="13.2" hidden="1" x14ac:dyDescent="0.25"/>
    <row r="837" ht="13.2" hidden="1" x14ac:dyDescent="0.25"/>
    <row r="838" ht="13.2" hidden="1" x14ac:dyDescent="0.25"/>
    <row r="839" ht="13.2" hidden="1" x14ac:dyDescent="0.25"/>
    <row r="840" ht="13.2" hidden="1" x14ac:dyDescent="0.25"/>
    <row r="841" ht="13.2" hidden="1" x14ac:dyDescent="0.25"/>
    <row r="842" ht="13.2" hidden="1" x14ac:dyDescent="0.25"/>
    <row r="843" ht="13.2" hidden="1" x14ac:dyDescent="0.25"/>
    <row r="844" ht="13.2" hidden="1" x14ac:dyDescent="0.25"/>
    <row r="845" ht="13.2" hidden="1" x14ac:dyDescent="0.25"/>
    <row r="846" ht="13.2" hidden="1" x14ac:dyDescent="0.25"/>
    <row r="847" ht="13.2" hidden="1" x14ac:dyDescent="0.25"/>
    <row r="848" ht="13.2" hidden="1" x14ac:dyDescent="0.25"/>
    <row r="849" ht="13.2" hidden="1" x14ac:dyDescent="0.25"/>
    <row r="850" ht="13.2" hidden="1" x14ac:dyDescent="0.25"/>
    <row r="851" ht="13.2" hidden="1" x14ac:dyDescent="0.25"/>
    <row r="852" ht="13.2" hidden="1" x14ac:dyDescent="0.25"/>
    <row r="853" ht="13.2" hidden="1" x14ac:dyDescent="0.25"/>
    <row r="854" ht="13.2" hidden="1" x14ac:dyDescent="0.25"/>
    <row r="855" ht="13.2" hidden="1" x14ac:dyDescent="0.25"/>
    <row r="856" ht="13.2" hidden="1" x14ac:dyDescent="0.25"/>
    <row r="857" ht="13.2" hidden="1" x14ac:dyDescent="0.25"/>
    <row r="858" ht="13.2" hidden="1" x14ac:dyDescent="0.25"/>
    <row r="859" ht="13.2" hidden="1" x14ac:dyDescent="0.25"/>
    <row r="860" ht="13.2" hidden="1" x14ac:dyDescent="0.25"/>
    <row r="861" ht="13.2" hidden="1" x14ac:dyDescent="0.25"/>
    <row r="862" ht="13.2" hidden="1" x14ac:dyDescent="0.25"/>
    <row r="863" ht="13.2" hidden="1" x14ac:dyDescent="0.25"/>
    <row r="864" ht="13.2" hidden="1" x14ac:dyDescent="0.25"/>
    <row r="865" ht="13.2" hidden="1" x14ac:dyDescent="0.25"/>
    <row r="866" ht="13.2" hidden="1" x14ac:dyDescent="0.25"/>
    <row r="867" ht="13.2" hidden="1" x14ac:dyDescent="0.25"/>
    <row r="868" ht="13.2" hidden="1" x14ac:dyDescent="0.25"/>
    <row r="869" ht="13.2" hidden="1" x14ac:dyDescent="0.25"/>
    <row r="870" ht="13.2" hidden="1" x14ac:dyDescent="0.25"/>
    <row r="871" ht="13.2" hidden="1" x14ac:dyDescent="0.25"/>
    <row r="872" ht="13.2" hidden="1" x14ac:dyDescent="0.25"/>
    <row r="873" ht="13.2" hidden="1" x14ac:dyDescent="0.25"/>
    <row r="874" ht="13.2" hidden="1" x14ac:dyDescent="0.25"/>
    <row r="875" ht="13.2" hidden="1" x14ac:dyDescent="0.25"/>
    <row r="876" ht="13.2" hidden="1" x14ac:dyDescent="0.25"/>
    <row r="877" ht="13.2" hidden="1" x14ac:dyDescent="0.25"/>
    <row r="878" ht="13.2" hidden="1" x14ac:dyDescent="0.25"/>
    <row r="879" ht="13.2" hidden="1" x14ac:dyDescent="0.25"/>
    <row r="880" ht="13.2" hidden="1" x14ac:dyDescent="0.25"/>
    <row r="881" ht="13.2" hidden="1" x14ac:dyDescent="0.25"/>
    <row r="882" ht="13.2" hidden="1" x14ac:dyDescent="0.25"/>
    <row r="883" ht="13.2" hidden="1" x14ac:dyDescent="0.25"/>
    <row r="884" ht="13.2" hidden="1" x14ac:dyDescent="0.25"/>
    <row r="885" ht="13.2" hidden="1" x14ac:dyDescent="0.25"/>
    <row r="886" ht="13.2" hidden="1" x14ac:dyDescent="0.25"/>
    <row r="887" ht="13.2" hidden="1" x14ac:dyDescent="0.25"/>
    <row r="888" ht="13.2" hidden="1" x14ac:dyDescent="0.25"/>
    <row r="889" ht="13.2" hidden="1" x14ac:dyDescent="0.25"/>
    <row r="890" ht="13.2" hidden="1" x14ac:dyDescent="0.25"/>
    <row r="891" ht="13.2" hidden="1" x14ac:dyDescent="0.25"/>
    <row r="892" ht="13.2" hidden="1" x14ac:dyDescent="0.25"/>
    <row r="893" ht="13.2" hidden="1" x14ac:dyDescent="0.25"/>
    <row r="894" ht="13.2" hidden="1" x14ac:dyDescent="0.25"/>
    <row r="895" ht="13.2" hidden="1" x14ac:dyDescent="0.25"/>
    <row r="896" ht="13.2" hidden="1" x14ac:dyDescent="0.25"/>
    <row r="897" ht="13.2" hidden="1" x14ac:dyDescent="0.25"/>
    <row r="898" ht="13.2" hidden="1" x14ac:dyDescent="0.25"/>
    <row r="899" ht="13.2" hidden="1" x14ac:dyDescent="0.25"/>
    <row r="900" ht="13.2" hidden="1" x14ac:dyDescent="0.25"/>
    <row r="901" ht="13.2" hidden="1" x14ac:dyDescent="0.25"/>
    <row r="902" ht="13.2" hidden="1" x14ac:dyDescent="0.25"/>
    <row r="903" ht="13.2" hidden="1" x14ac:dyDescent="0.25"/>
    <row r="904" ht="13.2" hidden="1" x14ac:dyDescent="0.25"/>
    <row r="905" ht="13.2" hidden="1" x14ac:dyDescent="0.25"/>
    <row r="906" ht="13.2" hidden="1" x14ac:dyDescent="0.25"/>
    <row r="907" ht="13.2" hidden="1" x14ac:dyDescent="0.25"/>
    <row r="908" ht="13.2" hidden="1" x14ac:dyDescent="0.25"/>
    <row r="909" ht="13.2" hidden="1" x14ac:dyDescent="0.25"/>
    <row r="910" ht="13.2" hidden="1" x14ac:dyDescent="0.25"/>
    <row r="911" ht="13.2" hidden="1" x14ac:dyDescent="0.25"/>
    <row r="912" ht="13.2" hidden="1" x14ac:dyDescent="0.25"/>
    <row r="913" ht="13.2" hidden="1" x14ac:dyDescent="0.25"/>
    <row r="914" ht="13.2" hidden="1" x14ac:dyDescent="0.25"/>
    <row r="915" ht="13.2" hidden="1" x14ac:dyDescent="0.25"/>
    <row r="916" ht="13.2" hidden="1" x14ac:dyDescent="0.25"/>
    <row r="917" ht="13.2" hidden="1" x14ac:dyDescent="0.25"/>
    <row r="918" ht="13.2" hidden="1" x14ac:dyDescent="0.25"/>
    <row r="919" ht="13.2" hidden="1" x14ac:dyDescent="0.25"/>
    <row r="920" ht="13.2" hidden="1" x14ac:dyDescent="0.25"/>
    <row r="921" ht="13.2" hidden="1" x14ac:dyDescent="0.25"/>
    <row r="922" ht="13.2" hidden="1" x14ac:dyDescent="0.25"/>
    <row r="923" ht="13.2" hidden="1" x14ac:dyDescent="0.25"/>
    <row r="924" ht="13.2" hidden="1" x14ac:dyDescent="0.25"/>
    <row r="925" ht="13.2" hidden="1" x14ac:dyDescent="0.25"/>
    <row r="926" ht="13.2" hidden="1" x14ac:dyDescent="0.25"/>
    <row r="927" ht="13.2" hidden="1" x14ac:dyDescent="0.25"/>
    <row r="928" ht="13.2" hidden="1" x14ac:dyDescent="0.25"/>
    <row r="929" ht="13.2" hidden="1" x14ac:dyDescent="0.25"/>
    <row r="930" ht="13.2" hidden="1" x14ac:dyDescent="0.25"/>
    <row r="931" ht="13.2" hidden="1" x14ac:dyDescent="0.25"/>
    <row r="932" ht="13.2" hidden="1" x14ac:dyDescent="0.25"/>
    <row r="933" ht="13.2" hidden="1" x14ac:dyDescent="0.25"/>
    <row r="934" ht="13.2" hidden="1" x14ac:dyDescent="0.25"/>
    <row r="935" ht="13.2" hidden="1" x14ac:dyDescent="0.25"/>
    <row r="936" ht="13.2" hidden="1" x14ac:dyDescent="0.25"/>
    <row r="937" ht="13.2" hidden="1" x14ac:dyDescent="0.25"/>
    <row r="938" ht="13.2" hidden="1" x14ac:dyDescent="0.25"/>
    <row r="939" ht="13.2" hidden="1" x14ac:dyDescent="0.25"/>
    <row r="940" ht="13.2" hidden="1" x14ac:dyDescent="0.25"/>
    <row r="941" ht="13.2" hidden="1" x14ac:dyDescent="0.25"/>
    <row r="942" ht="13.2" hidden="1" x14ac:dyDescent="0.25"/>
    <row r="943" ht="13.2" hidden="1" x14ac:dyDescent="0.25"/>
    <row r="944" ht="13.2" hidden="1" x14ac:dyDescent="0.25"/>
    <row r="945" ht="13.2" hidden="1" x14ac:dyDescent="0.25"/>
    <row r="946" ht="13.2" hidden="1" x14ac:dyDescent="0.25"/>
    <row r="947" ht="13.2" hidden="1" x14ac:dyDescent="0.25"/>
    <row r="948" ht="13.2" hidden="1" x14ac:dyDescent="0.25"/>
    <row r="949" ht="13.2" hidden="1" x14ac:dyDescent="0.25"/>
    <row r="950" ht="13.2" hidden="1" x14ac:dyDescent="0.25"/>
    <row r="951" ht="13.2" hidden="1" x14ac:dyDescent="0.25"/>
    <row r="952" ht="13.2" hidden="1" x14ac:dyDescent="0.25"/>
    <row r="953" ht="13.2" hidden="1" x14ac:dyDescent="0.25"/>
    <row r="954" ht="13.2" hidden="1" x14ac:dyDescent="0.25"/>
    <row r="955" ht="13.2" hidden="1" x14ac:dyDescent="0.25"/>
    <row r="956" ht="13.2" hidden="1" x14ac:dyDescent="0.25"/>
    <row r="957" ht="13.2" hidden="1" x14ac:dyDescent="0.25"/>
    <row r="958" ht="13.2" hidden="1" x14ac:dyDescent="0.25"/>
    <row r="959" ht="13.2" hidden="1" x14ac:dyDescent="0.25"/>
  </sheetData>
  <autoFilter ref="D1:D959" xr:uid="{00000000-0009-0000-0000-000011000000}">
    <filterColumn colId="0">
      <filters>
        <filter val="Affordable Ev Charging"/>
        <filter val="Bp Chargemaster Limite"/>
        <filter val="Bp Pulse Cromwell Road"/>
        <filter val="Chargepoint"/>
        <filter val="Dart Charge Auto Top"/>
        <filter val="Esb Ev Solutions Ev Ch"/>
        <filter val="Instavolt Limited"/>
        <filter val="Lidl Gb  Waltham Cross"/>
        <filter val="Lidl Gb Clapham"/>
        <filter val="Mfg Ev Power"/>
        <filter val="Receipts Ionity Eu"/>
        <filter val="Shell Ev Charging Solu"/>
        <filter val="Smart Charge 0069"/>
        <filter val="Smart Charge 2665"/>
        <filter val="Source Ev Uk Limited"/>
        <filter val="To Alex Pirjolea - Electriccharge"/>
        <filter val="To Alex Pirjolea - Insurance January"/>
        <filter val="To Alex Pirjolea - Invoice until 15-02-26"/>
        <filter val="To Alex Pirjolea - Services"/>
        <filter val="To Alex Pirjolea - Wagesuntil31-1"/>
        <filter val="To Waleed Ahmed - Alexpayvintagetransffer"/>
        <filter val="To Waleed Ahmed - Mushtaqwages"/>
        <filter val="Ubitricity.com"/>
      </filters>
    </filterColumn>
  </autoFilter>
  <dataValidations count="2">
    <dataValidation type="list" allowBlank="1" showErrorMessage="1" sqref="I8:J8 I14:J15 I18:J18 I20:J21 I24:J32 I34:J37 I39:J40 I43:J43 I47:J52 I54:J57 I59:J59 I61:J64 I66:J69 I71:J79 I82:J86 I88:J91 I93:J93 I95:J95 I98:J99 I101:J102 I105:J111 I113:J116 I118:J124 I126:J157" xr:uid="{00000000-0002-0000-1100-000000000000}">
      <formula1>"JOBS IN,WX21VZN IN,EQV IN,KM20YYX IN,MISC PAYMENT IN,JOBS OUT,WX21VZN OUT,EQV OUT,MISC PAYMENT OUT,EXPENSES,FUEL,PARKING,WATER + OTHER,WALEED EXPENSE,IMRAN EXPENSE,WAYZ MOTORS,1ST NATIONWIDE,1ST NATIONWIDE"</formula1>
    </dataValidation>
    <dataValidation type="list" allowBlank="1" showErrorMessage="1" sqref="J2:J7 J9:J10 J12:J13 J16:J17 J19 J23 J33 J38 J41 J44:J46 J53 J58 J65 J70 J80 J87 J92 J94 J96 J100 J103:J104 J112 J125" xr:uid="{00000000-0002-0000-1100-000001000000}">
      <formula1>"JOBS IN,WX21VZN IN,EQV IN,KM20YYX IN,MISC PAYMENT IN,JOBS OUT,WX21VZN OUT,EQV OUT,MISC PAYMENT OUT,EXPENSES,FUEL,PARKING,WATER + OTHER,WALEED EXPENSE,IMRAN EXPENSE,WAYZ MOTORS"</formula1>
    </dataValidation>
  </dataValidations>
  <hyperlinks>
    <hyperlink ref="D66" r:id="rId1" xr:uid="{00000000-0004-0000-1100-000000000000}"/>
    <hyperlink ref="D67" r:id="rId2" xr:uid="{00000000-0004-0000-1100-000001000000}"/>
    <hyperlink ref="D68" r:id="rId3" xr:uid="{00000000-0004-0000-1100-000002000000}"/>
    <hyperlink ref="D73" r:id="rId4" xr:uid="{00000000-0004-0000-1100-000003000000}"/>
    <hyperlink ref="D74" r:id="rId5" xr:uid="{00000000-0004-0000-1100-000004000000}"/>
    <hyperlink ref="D82" r:id="rId6" xr:uid="{00000000-0004-0000-1100-000005000000}"/>
    <hyperlink ref="D83" r:id="rId7" xr:uid="{00000000-0004-0000-1100-000006000000}"/>
    <hyperlink ref="D84" r:id="rId8" xr:uid="{00000000-0004-0000-1100-000007000000}"/>
    <hyperlink ref="D85" r:id="rId9" xr:uid="{00000000-0004-0000-1100-000008000000}"/>
    <hyperlink ref="D86" r:id="rId10" xr:uid="{00000000-0004-0000-1100-000009000000}"/>
    <hyperlink ref="D88" r:id="rId11" xr:uid="{00000000-0004-0000-1100-00000A000000}"/>
    <hyperlink ref="D89" r:id="rId12" xr:uid="{00000000-0004-0000-1100-00000B000000}"/>
    <hyperlink ref="D90" r:id="rId13" xr:uid="{00000000-0004-0000-1100-00000C000000}"/>
    <hyperlink ref="D91" r:id="rId14" xr:uid="{00000000-0004-0000-1100-00000D000000}"/>
    <hyperlink ref="D93" r:id="rId15" xr:uid="{00000000-0004-0000-1100-00000E000000}"/>
    <hyperlink ref="D95" r:id="rId16" xr:uid="{00000000-0004-0000-1100-00000F000000}"/>
    <hyperlink ref="D98" r:id="rId17" xr:uid="{00000000-0004-0000-1100-000010000000}"/>
    <hyperlink ref="D99" r:id="rId18" xr:uid="{00000000-0004-0000-1100-000011000000}"/>
    <hyperlink ref="D101" r:id="rId19" xr:uid="{00000000-0004-0000-1100-000012000000}"/>
    <hyperlink ref="D102" r:id="rId20" xr:uid="{00000000-0004-0000-1100-000013000000}"/>
    <hyperlink ref="D105" r:id="rId21" xr:uid="{00000000-0004-0000-1100-000014000000}"/>
    <hyperlink ref="D106" r:id="rId22" xr:uid="{00000000-0004-0000-1100-000015000000}"/>
    <hyperlink ref="D107" r:id="rId23" xr:uid="{00000000-0004-0000-1100-000016000000}"/>
    <hyperlink ref="D108" r:id="rId24" xr:uid="{00000000-0004-0000-1100-000017000000}"/>
    <hyperlink ref="D109" r:id="rId25" xr:uid="{00000000-0004-0000-1100-000018000000}"/>
    <hyperlink ref="D110" r:id="rId26" xr:uid="{00000000-0004-0000-1100-000019000000}"/>
    <hyperlink ref="D111" r:id="rId27" xr:uid="{00000000-0004-0000-1100-00001A000000}"/>
    <hyperlink ref="D113" r:id="rId28" xr:uid="{00000000-0004-0000-1100-00001B000000}"/>
    <hyperlink ref="D115" r:id="rId29" xr:uid="{00000000-0004-0000-1100-00001C000000}"/>
    <hyperlink ref="D116" r:id="rId30" xr:uid="{00000000-0004-0000-1100-00001D000000}"/>
    <hyperlink ref="D118" r:id="rId31" xr:uid="{00000000-0004-0000-1100-00001E000000}"/>
    <hyperlink ref="D119" r:id="rId32" xr:uid="{00000000-0004-0000-1100-00001F000000}"/>
    <hyperlink ref="D120" r:id="rId33" xr:uid="{00000000-0004-0000-1100-000020000000}"/>
    <hyperlink ref="D121" r:id="rId34" xr:uid="{00000000-0004-0000-1100-000021000000}"/>
    <hyperlink ref="D126" r:id="rId35" xr:uid="{00000000-0004-0000-1100-000022000000}"/>
    <hyperlink ref="D127" r:id="rId36" xr:uid="{00000000-0004-0000-1100-000023000000}"/>
    <hyperlink ref="D128" r:id="rId37" xr:uid="{00000000-0004-0000-1100-000024000000}"/>
    <hyperlink ref="D129" r:id="rId38" xr:uid="{00000000-0004-0000-1100-000025000000}"/>
    <hyperlink ref="D130" r:id="rId39" xr:uid="{00000000-0004-0000-1100-000026000000}"/>
    <hyperlink ref="D132" r:id="rId40" xr:uid="{00000000-0004-0000-1100-000027000000}"/>
    <hyperlink ref="D133" r:id="rId41" xr:uid="{00000000-0004-0000-1100-000028000000}"/>
    <hyperlink ref="D134" r:id="rId42" xr:uid="{00000000-0004-0000-1100-000029000000}"/>
    <hyperlink ref="D136" r:id="rId43" xr:uid="{00000000-0004-0000-1100-00002A000000}"/>
    <hyperlink ref="D137" r:id="rId44" xr:uid="{00000000-0004-0000-1100-00002B000000}"/>
    <hyperlink ref="D138" r:id="rId45" xr:uid="{00000000-0004-0000-1100-00002C000000}"/>
    <hyperlink ref="D141" r:id="rId46" xr:uid="{00000000-0004-0000-1100-00002D000000}"/>
    <hyperlink ref="D147" r:id="rId47" xr:uid="{00000000-0004-0000-1100-00002E000000}"/>
    <hyperlink ref="D148" r:id="rId48" xr:uid="{00000000-0004-0000-1100-00002F000000}"/>
    <hyperlink ref="D149" r:id="rId49" xr:uid="{00000000-0004-0000-1100-000030000000}"/>
    <hyperlink ref="D150" r:id="rId50" xr:uid="{00000000-0004-0000-1100-000031000000}"/>
    <hyperlink ref="D154" r:id="rId51" xr:uid="{00000000-0004-0000-1100-000032000000}"/>
    <hyperlink ref="D155" r:id="rId52" xr:uid="{00000000-0004-0000-1100-000033000000}"/>
    <hyperlink ref="D156" r:id="rId53" xr:uid="{00000000-0004-0000-1100-000034000000}"/>
    <hyperlink ref="D157" r:id="rId54" xr:uid="{00000000-0004-0000-1100-000035000000}"/>
    <hyperlink ref="D168" r:id="rId55" xr:uid="{00000000-0004-0000-1100-000036000000}"/>
    <hyperlink ref="D169" r:id="rId56" xr:uid="{00000000-0004-0000-1100-000037000000}"/>
    <hyperlink ref="D170" r:id="rId57" xr:uid="{00000000-0004-0000-1100-000038000000}"/>
    <hyperlink ref="D171" r:id="rId58" xr:uid="{00000000-0004-0000-1100-000039000000}"/>
    <hyperlink ref="D172" r:id="rId59" xr:uid="{00000000-0004-0000-1100-00003A000000}"/>
    <hyperlink ref="D173" r:id="rId60" xr:uid="{00000000-0004-0000-1100-00003B000000}"/>
    <hyperlink ref="D174" r:id="rId61" xr:uid="{00000000-0004-0000-1100-00003C000000}"/>
    <hyperlink ref="D175" r:id="rId62" xr:uid="{00000000-0004-0000-1100-00003D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K53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4" max="4" width="34.2187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/>
    </row>
    <row r="2" spans="1:11" x14ac:dyDescent="0.25">
      <c r="A2" s="22" t="b">
        <v>0</v>
      </c>
      <c r="B2" s="22" t="s">
        <v>1324</v>
      </c>
      <c r="C2" s="34">
        <v>45748</v>
      </c>
      <c r="D2" s="22" t="s">
        <v>63</v>
      </c>
      <c r="E2" s="22">
        <v>-6</v>
      </c>
      <c r="F2" s="28">
        <v>-1</v>
      </c>
      <c r="G2" s="22" t="s">
        <v>489</v>
      </c>
      <c r="H2" s="22" t="s">
        <v>483</v>
      </c>
      <c r="I2" s="22"/>
    </row>
    <row r="3" spans="1:11" x14ac:dyDescent="0.25">
      <c r="A3" s="22" t="b">
        <v>0</v>
      </c>
      <c r="B3" s="22" t="s">
        <v>1315</v>
      </c>
      <c r="C3" s="34">
        <v>45751</v>
      </c>
      <c r="D3" s="22" t="s">
        <v>120</v>
      </c>
      <c r="E3" s="22">
        <v>-4.96</v>
      </c>
      <c r="F3" s="28">
        <v>-0.83</v>
      </c>
      <c r="G3" s="22" t="s">
        <v>489</v>
      </c>
      <c r="H3" s="22" t="s">
        <v>483</v>
      </c>
      <c r="I3" s="22"/>
    </row>
    <row r="4" spans="1:11" x14ac:dyDescent="0.25">
      <c r="A4" s="22" t="b">
        <v>0</v>
      </c>
      <c r="B4" s="22" t="s">
        <v>1316</v>
      </c>
      <c r="C4" s="34">
        <v>45751</v>
      </c>
      <c r="D4" s="22" t="s">
        <v>120</v>
      </c>
      <c r="E4" s="22">
        <v>-0.39</v>
      </c>
      <c r="F4" s="28">
        <v>-0.06</v>
      </c>
      <c r="G4" s="22" t="s">
        <v>489</v>
      </c>
      <c r="H4" s="22" t="s">
        <v>483</v>
      </c>
      <c r="I4" s="22"/>
    </row>
    <row r="5" spans="1:11" x14ac:dyDescent="0.25">
      <c r="A5" s="22" t="b">
        <v>0</v>
      </c>
      <c r="B5" s="22" t="s">
        <v>1317</v>
      </c>
      <c r="C5" s="34">
        <v>45751</v>
      </c>
      <c r="D5" s="22" t="s">
        <v>120</v>
      </c>
      <c r="E5" s="22">
        <v>-0.39</v>
      </c>
      <c r="F5" s="28">
        <v>-0.06</v>
      </c>
      <c r="G5" s="22" t="s">
        <v>489</v>
      </c>
      <c r="H5" s="22" t="s">
        <v>483</v>
      </c>
      <c r="I5" s="22"/>
    </row>
    <row r="6" spans="1:11" x14ac:dyDescent="0.25">
      <c r="A6" s="22" t="b">
        <v>0</v>
      </c>
      <c r="B6" s="22" t="s">
        <v>1306</v>
      </c>
      <c r="C6" s="34">
        <v>45754</v>
      </c>
      <c r="D6" s="22" t="s">
        <v>347</v>
      </c>
      <c r="E6" s="22">
        <v>-18.5</v>
      </c>
      <c r="F6" s="28">
        <v>-3.08</v>
      </c>
      <c r="G6" s="22" t="s">
        <v>489</v>
      </c>
      <c r="H6" s="22" t="s">
        <v>483</v>
      </c>
      <c r="I6" s="22"/>
    </row>
    <row r="7" spans="1:11" x14ac:dyDescent="0.25">
      <c r="A7" s="22" t="b">
        <v>0</v>
      </c>
      <c r="B7" s="22" t="s">
        <v>1302</v>
      </c>
      <c r="C7" s="34">
        <v>45756</v>
      </c>
      <c r="D7" s="22" t="s">
        <v>206</v>
      </c>
      <c r="E7" s="22">
        <v>-7.5</v>
      </c>
      <c r="F7" s="28">
        <v>-1.25</v>
      </c>
      <c r="G7" s="22" t="s">
        <v>489</v>
      </c>
      <c r="H7" s="22" t="s">
        <v>483</v>
      </c>
      <c r="I7" s="22"/>
    </row>
    <row r="8" spans="1:11" x14ac:dyDescent="0.25">
      <c r="A8" s="22" t="b">
        <v>0</v>
      </c>
      <c r="B8" s="22" t="s">
        <v>1296</v>
      </c>
      <c r="C8" s="34">
        <v>45758</v>
      </c>
      <c r="D8" s="22" t="s">
        <v>3832</v>
      </c>
      <c r="E8" s="22">
        <v>-7.5</v>
      </c>
      <c r="F8" s="28">
        <v>-1.25</v>
      </c>
      <c r="G8" s="22" t="s">
        <v>489</v>
      </c>
      <c r="H8" s="22" t="s">
        <v>483</v>
      </c>
      <c r="I8" s="22"/>
    </row>
    <row r="9" spans="1:11" x14ac:dyDescent="0.25">
      <c r="A9" s="22" t="b">
        <v>0</v>
      </c>
      <c r="B9" s="22" t="s">
        <v>1293</v>
      </c>
      <c r="C9" s="34">
        <v>45759</v>
      </c>
      <c r="D9" s="22" t="s">
        <v>63</v>
      </c>
      <c r="E9" s="22">
        <v>-6</v>
      </c>
      <c r="F9" s="28">
        <v>-1</v>
      </c>
      <c r="G9" s="22" t="s">
        <v>489</v>
      </c>
      <c r="H9" s="22" t="s">
        <v>483</v>
      </c>
      <c r="I9" s="22"/>
    </row>
    <row r="10" spans="1:11" x14ac:dyDescent="0.25">
      <c r="A10" s="22" t="b">
        <v>0</v>
      </c>
      <c r="B10" s="22" t="s">
        <v>1281</v>
      </c>
      <c r="C10" s="34">
        <v>45765</v>
      </c>
      <c r="D10" s="22" t="s">
        <v>63</v>
      </c>
      <c r="E10" s="22">
        <v>-6</v>
      </c>
      <c r="F10" s="28">
        <v>-1</v>
      </c>
      <c r="G10" s="22" t="s">
        <v>489</v>
      </c>
      <c r="H10" s="22" t="s">
        <v>483</v>
      </c>
      <c r="I10" s="22"/>
    </row>
    <row r="11" spans="1:11" x14ac:dyDescent="0.25">
      <c r="A11" s="22" t="b">
        <v>0</v>
      </c>
      <c r="B11" s="22" t="s">
        <v>1278</v>
      </c>
      <c r="C11" s="34">
        <v>45766</v>
      </c>
      <c r="D11" s="22" t="s">
        <v>3832</v>
      </c>
      <c r="E11" s="22">
        <v>-7.5</v>
      </c>
      <c r="F11" s="28">
        <v>-1.25</v>
      </c>
      <c r="G11" s="22" t="s">
        <v>489</v>
      </c>
      <c r="H11" s="22" t="s">
        <v>483</v>
      </c>
      <c r="I11" s="22"/>
    </row>
    <row r="12" spans="1:11" x14ac:dyDescent="0.25">
      <c r="A12" s="22" t="b">
        <v>0</v>
      </c>
      <c r="B12" s="22" t="s">
        <v>1275</v>
      </c>
      <c r="C12" s="34">
        <v>45767</v>
      </c>
      <c r="D12" s="22" t="s">
        <v>3832</v>
      </c>
      <c r="E12" s="22">
        <v>-7.5</v>
      </c>
      <c r="F12" s="28">
        <v>-1.25</v>
      </c>
      <c r="G12" s="22" t="s">
        <v>489</v>
      </c>
      <c r="H12" s="22" t="s">
        <v>483</v>
      </c>
      <c r="I12" s="22"/>
    </row>
    <row r="13" spans="1:11" x14ac:dyDescent="0.25">
      <c r="A13" s="22" t="b">
        <v>0</v>
      </c>
      <c r="B13" s="22" t="s">
        <v>1271</v>
      </c>
      <c r="C13" s="34">
        <v>45769</v>
      </c>
      <c r="D13" s="22" t="s">
        <v>3833</v>
      </c>
      <c r="E13" s="22">
        <v>-7.5</v>
      </c>
      <c r="F13" s="28">
        <v>-1.25</v>
      </c>
      <c r="G13" s="22" t="s">
        <v>489</v>
      </c>
      <c r="H13" s="22" t="s">
        <v>483</v>
      </c>
      <c r="I13" s="22"/>
    </row>
    <row r="14" spans="1:11" x14ac:dyDescent="0.25">
      <c r="A14" s="22" t="b">
        <v>0</v>
      </c>
      <c r="B14" s="22" t="s">
        <v>1272</v>
      </c>
      <c r="C14" s="34">
        <v>45769</v>
      </c>
      <c r="D14" s="22" t="s">
        <v>63</v>
      </c>
      <c r="E14" s="22">
        <v>-6</v>
      </c>
      <c r="F14" s="28">
        <v>-1</v>
      </c>
      <c r="G14" s="22" t="s">
        <v>489</v>
      </c>
      <c r="H14" s="22" t="s">
        <v>483</v>
      </c>
      <c r="I14" s="22"/>
    </row>
    <row r="15" spans="1:11" x14ac:dyDescent="0.25">
      <c r="A15" s="22" t="b">
        <v>0</v>
      </c>
      <c r="B15" s="22" t="s">
        <v>1267</v>
      </c>
      <c r="C15" s="34">
        <v>45773</v>
      </c>
      <c r="D15" s="22" t="s">
        <v>63</v>
      </c>
      <c r="E15" s="22">
        <v>-6</v>
      </c>
      <c r="F15" s="28">
        <v>-1</v>
      </c>
      <c r="G15" s="22" t="s">
        <v>489</v>
      </c>
      <c r="H15" s="22" t="s">
        <v>483</v>
      </c>
      <c r="I15" s="22"/>
    </row>
    <row r="16" spans="1:11" x14ac:dyDescent="0.25">
      <c r="A16" s="22" t="b">
        <v>0</v>
      </c>
      <c r="B16" s="22" t="s">
        <v>1268</v>
      </c>
      <c r="C16" s="34">
        <v>45773</v>
      </c>
      <c r="D16" s="22" t="s">
        <v>3834</v>
      </c>
      <c r="E16" s="22">
        <v>-10</v>
      </c>
      <c r="F16" s="28">
        <v>-1.67</v>
      </c>
      <c r="G16" s="22" t="s">
        <v>489</v>
      </c>
      <c r="H16" s="22" t="s">
        <v>483</v>
      </c>
      <c r="I16" s="22"/>
    </row>
    <row r="17" spans="1:9" x14ac:dyDescent="0.25">
      <c r="A17" s="22" t="b">
        <v>0</v>
      </c>
      <c r="B17" s="22" t="s">
        <v>1264</v>
      </c>
      <c r="C17" s="34">
        <v>45774</v>
      </c>
      <c r="D17" s="22" t="s">
        <v>63</v>
      </c>
      <c r="E17" s="22">
        <v>-6</v>
      </c>
      <c r="F17" s="28">
        <v>-1</v>
      </c>
      <c r="G17" s="22" t="s">
        <v>489</v>
      </c>
      <c r="H17" s="22" t="s">
        <v>483</v>
      </c>
      <c r="I17" s="22"/>
    </row>
    <row r="18" spans="1:9" x14ac:dyDescent="0.25">
      <c r="A18" s="22" t="b">
        <v>0</v>
      </c>
      <c r="B18" s="22" t="s">
        <v>1265</v>
      </c>
      <c r="C18" s="34">
        <v>45774</v>
      </c>
      <c r="D18" s="22" t="s">
        <v>3832</v>
      </c>
      <c r="E18" s="22">
        <v>-7.5</v>
      </c>
      <c r="F18" s="28">
        <v>-1.25</v>
      </c>
      <c r="G18" s="22" t="s">
        <v>489</v>
      </c>
      <c r="H18" s="22" t="s">
        <v>483</v>
      </c>
      <c r="I18" s="22"/>
    </row>
    <row r="19" spans="1:9" x14ac:dyDescent="0.25">
      <c r="A19" s="22" t="b">
        <v>0</v>
      </c>
      <c r="B19" s="22" t="s">
        <v>1258</v>
      </c>
      <c r="C19" s="34">
        <v>45776</v>
      </c>
      <c r="D19" s="22" t="s">
        <v>206</v>
      </c>
      <c r="E19" s="22">
        <v>-7.5</v>
      </c>
      <c r="F19" s="28">
        <v>-1.25</v>
      </c>
      <c r="G19" s="22" t="s">
        <v>489</v>
      </c>
      <c r="H19" s="22" t="s">
        <v>483</v>
      </c>
      <c r="I19" s="22"/>
    </row>
    <row r="20" spans="1:9" x14ac:dyDescent="0.25">
      <c r="A20" s="22" t="b">
        <v>0</v>
      </c>
      <c r="B20" s="22" t="s">
        <v>1253</v>
      </c>
      <c r="C20" s="34">
        <v>45778</v>
      </c>
      <c r="D20" s="22" t="s">
        <v>206</v>
      </c>
      <c r="E20" s="22">
        <v>-14.5</v>
      </c>
      <c r="F20" s="28">
        <v>-2.42</v>
      </c>
      <c r="G20" s="22" t="s">
        <v>489</v>
      </c>
      <c r="H20" s="22" t="s">
        <v>483</v>
      </c>
      <c r="I20" s="22"/>
    </row>
    <row r="21" spans="1:9" x14ac:dyDescent="0.25">
      <c r="A21" s="22" t="b">
        <v>0</v>
      </c>
      <c r="B21" s="22" t="s">
        <v>1254</v>
      </c>
      <c r="C21" s="34">
        <v>45778</v>
      </c>
      <c r="D21" s="22" t="s">
        <v>63</v>
      </c>
      <c r="E21" s="22">
        <v>-6</v>
      </c>
      <c r="F21" s="28">
        <v>-1</v>
      </c>
      <c r="G21" s="22" t="s">
        <v>489</v>
      </c>
      <c r="H21" s="22" t="s">
        <v>483</v>
      </c>
      <c r="I21" s="22"/>
    </row>
    <row r="22" spans="1:9" x14ac:dyDescent="0.25">
      <c r="A22" s="22" t="b">
        <v>0</v>
      </c>
      <c r="B22" s="22" t="s">
        <v>1247</v>
      </c>
      <c r="C22" s="34">
        <v>45779</v>
      </c>
      <c r="D22" s="22" t="s">
        <v>3833</v>
      </c>
      <c r="E22" s="22">
        <v>-7.5</v>
      </c>
      <c r="F22" s="28">
        <v>-1.25</v>
      </c>
      <c r="G22" s="22" t="s">
        <v>489</v>
      </c>
      <c r="H22" s="22" t="s">
        <v>483</v>
      </c>
      <c r="I22" s="22"/>
    </row>
    <row r="23" spans="1:9" x14ac:dyDescent="0.25">
      <c r="A23" s="22" t="b">
        <v>0</v>
      </c>
      <c r="B23" s="22" t="s">
        <v>1241</v>
      </c>
      <c r="C23" s="34">
        <v>45780</v>
      </c>
      <c r="D23" s="22" t="s">
        <v>63</v>
      </c>
      <c r="E23" s="22">
        <v>-6</v>
      </c>
      <c r="F23" s="28">
        <v>-1</v>
      </c>
      <c r="G23" s="22" t="s">
        <v>489</v>
      </c>
      <c r="H23" s="22" t="s">
        <v>483</v>
      </c>
      <c r="I23" s="22"/>
    </row>
    <row r="24" spans="1:9" x14ac:dyDescent="0.25">
      <c r="A24" s="22" t="b">
        <v>0</v>
      </c>
      <c r="B24" s="22" t="s">
        <v>1242</v>
      </c>
      <c r="C24" s="34">
        <v>45780</v>
      </c>
      <c r="D24" s="22" t="s">
        <v>63</v>
      </c>
      <c r="E24" s="22">
        <v>-6</v>
      </c>
      <c r="F24" s="28">
        <v>-1</v>
      </c>
      <c r="G24" s="22" t="s">
        <v>489</v>
      </c>
      <c r="H24" s="22" t="s">
        <v>483</v>
      </c>
      <c r="I24" s="22"/>
    </row>
    <row r="25" spans="1:9" x14ac:dyDescent="0.25">
      <c r="A25" s="22" t="b">
        <v>0</v>
      </c>
      <c r="B25" s="22" t="s">
        <v>1238</v>
      </c>
      <c r="C25" s="34">
        <v>45781</v>
      </c>
      <c r="D25" s="22" t="s">
        <v>63</v>
      </c>
      <c r="E25" s="22">
        <v>-6</v>
      </c>
      <c r="F25" s="28">
        <v>-1</v>
      </c>
      <c r="G25" s="22" t="s">
        <v>489</v>
      </c>
      <c r="H25" s="22" t="s">
        <v>483</v>
      </c>
      <c r="I25" s="22"/>
    </row>
    <row r="26" spans="1:9" x14ac:dyDescent="0.25">
      <c r="A26" s="22" t="b">
        <v>0</v>
      </c>
      <c r="B26" s="22" t="s">
        <v>1236</v>
      </c>
      <c r="C26" s="34">
        <v>45782</v>
      </c>
      <c r="D26" s="22" t="s">
        <v>3832</v>
      </c>
      <c r="E26" s="22">
        <v>-7.5</v>
      </c>
      <c r="F26" s="28">
        <v>-1.25</v>
      </c>
      <c r="G26" s="22" t="s">
        <v>489</v>
      </c>
      <c r="H26" s="22" t="s">
        <v>483</v>
      </c>
      <c r="I26" s="22"/>
    </row>
    <row r="27" spans="1:9" x14ac:dyDescent="0.25">
      <c r="A27" s="22" t="b">
        <v>0</v>
      </c>
      <c r="B27" s="22" t="s">
        <v>1237</v>
      </c>
      <c r="C27" s="34">
        <v>45782</v>
      </c>
      <c r="D27" s="22" t="s">
        <v>3832</v>
      </c>
      <c r="E27" s="22">
        <v>-7.5</v>
      </c>
      <c r="F27" s="28">
        <v>-1.25</v>
      </c>
      <c r="G27" s="22" t="s">
        <v>489</v>
      </c>
      <c r="H27" s="22" t="s">
        <v>483</v>
      </c>
      <c r="I27" s="22"/>
    </row>
    <row r="28" spans="1:9" x14ac:dyDescent="0.25">
      <c r="A28" s="22" t="b">
        <v>0</v>
      </c>
      <c r="B28" s="22" t="s">
        <v>1230</v>
      </c>
      <c r="C28" s="34">
        <v>45783</v>
      </c>
      <c r="D28" s="22" t="s">
        <v>3835</v>
      </c>
      <c r="E28" s="22">
        <v>-10</v>
      </c>
      <c r="F28" s="28">
        <v>-1.67</v>
      </c>
      <c r="G28" s="22" t="s">
        <v>489</v>
      </c>
      <c r="H28" s="22" t="s">
        <v>483</v>
      </c>
      <c r="I28" s="22"/>
    </row>
    <row r="29" spans="1:9" x14ac:dyDescent="0.25">
      <c r="A29" s="22" t="b">
        <v>0</v>
      </c>
      <c r="B29" s="22" t="s">
        <v>1231</v>
      </c>
      <c r="C29" s="34">
        <v>45783</v>
      </c>
      <c r="D29" s="22" t="s">
        <v>63</v>
      </c>
      <c r="E29" s="22">
        <v>-6</v>
      </c>
      <c r="F29" s="28">
        <v>-1</v>
      </c>
      <c r="G29" s="22" t="s">
        <v>489</v>
      </c>
      <c r="H29" s="22" t="s">
        <v>483</v>
      </c>
      <c r="I29" s="22"/>
    </row>
    <row r="30" spans="1:9" x14ac:dyDescent="0.25">
      <c r="A30" s="22" t="b">
        <v>0</v>
      </c>
      <c r="B30" s="22" t="s">
        <v>1226</v>
      </c>
      <c r="C30" s="34">
        <v>45784</v>
      </c>
      <c r="D30" s="22" t="s">
        <v>63</v>
      </c>
      <c r="E30" s="22">
        <v>-6</v>
      </c>
      <c r="F30" s="28">
        <v>-1</v>
      </c>
      <c r="G30" s="22" t="s">
        <v>489</v>
      </c>
      <c r="H30" s="22" t="s">
        <v>483</v>
      </c>
      <c r="I30" s="22"/>
    </row>
    <row r="31" spans="1:9" x14ac:dyDescent="0.25">
      <c r="A31" s="22" t="b">
        <v>0</v>
      </c>
      <c r="B31" s="22" t="s">
        <v>1227</v>
      </c>
      <c r="C31" s="34">
        <v>45784</v>
      </c>
      <c r="D31" s="22" t="s">
        <v>63</v>
      </c>
      <c r="E31" s="22">
        <v>-6</v>
      </c>
      <c r="F31" s="28">
        <v>-1</v>
      </c>
      <c r="G31" s="22" t="s">
        <v>489</v>
      </c>
      <c r="H31" s="22" t="s">
        <v>483</v>
      </c>
      <c r="I31" s="22"/>
    </row>
    <row r="32" spans="1:9" x14ac:dyDescent="0.25">
      <c r="A32" s="22" t="b">
        <v>0</v>
      </c>
      <c r="B32" s="22" t="s">
        <v>1220</v>
      </c>
      <c r="C32" s="34">
        <v>45785</v>
      </c>
      <c r="D32" s="22" t="s">
        <v>3834</v>
      </c>
      <c r="E32" s="22">
        <v>-7</v>
      </c>
      <c r="F32" s="28">
        <v>-1.17</v>
      </c>
      <c r="G32" s="22" t="s">
        <v>489</v>
      </c>
      <c r="H32" s="22" t="s">
        <v>483</v>
      </c>
      <c r="I32" s="22"/>
    </row>
    <row r="33" spans="1:9" x14ac:dyDescent="0.25">
      <c r="A33" s="22" t="b">
        <v>0</v>
      </c>
      <c r="B33" s="22" t="s">
        <v>1221</v>
      </c>
      <c r="C33" s="34">
        <v>45785</v>
      </c>
      <c r="D33" s="22" t="s">
        <v>3836</v>
      </c>
      <c r="E33" s="22">
        <v>-7</v>
      </c>
      <c r="F33" s="28">
        <v>-1.17</v>
      </c>
      <c r="G33" s="22" t="s">
        <v>489</v>
      </c>
      <c r="H33" s="22" t="s">
        <v>483</v>
      </c>
      <c r="I33" s="22"/>
    </row>
    <row r="34" spans="1:9" x14ac:dyDescent="0.25">
      <c r="A34" s="22" t="b">
        <v>0</v>
      </c>
      <c r="B34" s="22" t="s">
        <v>1217</v>
      </c>
      <c r="C34" s="34">
        <v>45786</v>
      </c>
      <c r="D34" s="22" t="s">
        <v>63</v>
      </c>
      <c r="E34" s="22">
        <v>-6</v>
      </c>
      <c r="F34" s="28">
        <v>-1</v>
      </c>
      <c r="G34" s="22" t="s">
        <v>489</v>
      </c>
      <c r="H34" s="22" t="s">
        <v>483</v>
      </c>
      <c r="I34" s="22"/>
    </row>
    <row r="35" spans="1:9" x14ac:dyDescent="0.25">
      <c r="A35" s="22" t="b">
        <v>0</v>
      </c>
      <c r="B35" s="22" t="s">
        <v>1209</v>
      </c>
      <c r="C35" s="34">
        <v>45788</v>
      </c>
      <c r="D35" s="22" t="s">
        <v>63</v>
      </c>
      <c r="E35" s="22">
        <v>-6</v>
      </c>
      <c r="F35" s="28">
        <v>-1</v>
      </c>
      <c r="G35" s="22" t="s">
        <v>489</v>
      </c>
      <c r="H35" s="22" t="s">
        <v>483</v>
      </c>
      <c r="I35" s="22"/>
    </row>
    <row r="36" spans="1:9" x14ac:dyDescent="0.25">
      <c r="A36" s="22" t="b">
        <v>0</v>
      </c>
      <c r="B36" s="22" t="s">
        <v>1200</v>
      </c>
      <c r="C36" s="34">
        <v>45790</v>
      </c>
      <c r="D36" s="22" t="s">
        <v>3832</v>
      </c>
      <c r="E36" s="22">
        <v>-11.5</v>
      </c>
      <c r="F36" s="28">
        <v>-1.92</v>
      </c>
      <c r="G36" s="22" t="s">
        <v>489</v>
      </c>
      <c r="H36" s="22" t="s">
        <v>483</v>
      </c>
      <c r="I36" s="22"/>
    </row>
    <row r="37" spans="1:9" x14ac:dyDescent="0.25">
      <c r="A37" s="22" t="b">
        <v>0</v>
      </c>
      <c r="B37" s="22" t="s">
        <v>1201</v>
      </c>
      <c r="C37" s="34">
        <v>45790</v>
      </c>
      <c r="D37" s="22" t="s">
        <v>3832</v>
      </c>
      <c r="E37" s="22">
        <v>-7.5</v>
      </c>
      <c r="F37" s="28">
        <v>-1.25</v>
      </c>
      <c r="G37" s="22" t="s">
        <v>489</v>
      </c>
      <c r="H37" s="22" t="s">
        <v>483</v>
      </c>
      <c r="I37" s="22"/>
    </row>
    <row r="38" spans="1:9" x14ac:dyDescent="0.25">
      <c r="A38" s="22" t="b">
        <v>0</v>
      </c>
      <c r="B38" s="22" t="s">
        <v>1189</v>
      </c>
      <c r="C38" s="34">
        <v>45791</v>
      </c>
      <c r="D38" s="22" t="s">
        <v>3837</v>
      </c>
      <c r="E38" s="22">
        <v>-34.82</v>
      </c>
      <c r="F38" s="28">
        <v>-5.8</v>
      </c>
      <c r="G38" s="22" t="s">
        <v>489</v>
      </c>
      <c r="H38" s="22" t="s">
        <v>483</v>
      </c>
      <c r="I38" s="22"/>
    </row>
    <row r="39" spans="1:9" x14ac:dyDescent="0.25">
      <c r="A39" s="22" t="b">
        <v>0</v>
      </c>
      <c r="B39" s="22" t="s">
        <v>1191</v>
      </c>
      <c r="C39" s="34">
        <v>45791</v>
      </c>
      <c r="D39" s="22" t="s">
        <v>63</v>
      </c>
      <c r="E39" s="22">
        <v>-6</v>
      </c>
      <c r="F39" s="28">
        <v>-1</v>
      </c>
      <c r="G39" s="22" t="s">
        <v>489</v>
      </c>
      <c r="H39" s="22" t="s">
        <v>483</v>
      </c>
      <c r="I39" s="22"/>
    </row>
    <row r="40" spans="1:9" x14ac:dyDescent="0.25">
      <c r="A40" s="22" t="b">
        <v>0</v>
      </c>
      <c r="B40" s="22" t="s">
        <v>1192</v>
      </c>
      <c r="C40" s="34">
        <v>45791</v>
      </c>
      <c r="D40" s="22" t="s">
        <v>63</v>
      </c>
      <c r="E40" s="22">
        <v>-6</v>
      </c>
      <c r="F40" s="28">
        <v>-1</v>
      </c>
      <c r="G40" s="22" t="s">
        <v>489</v>
      </c>
      <c r="H40" s="22" t="s">
        <v>483</v>
      </c>
      <c r="I40" s="22"/>
    </row>
    <row r="41" spans="1:9" x14ac:dyDescent="0.25">
      <c r="A41" s="22" t="b">
        <v>0</v>
      </c>
      <c r="B41" s="22" t="s">
        <v>1193</v>
      </c>
      <c r="C41" s="34">
        <v>45791</v>
      </c>
      <c r="D41" s="22" t="s">
        <v>63</v>
      </c>
      <c r="E41" s="22">
        <v>-6</v>
      </c>
      <c r="F41" s="28">
        <v>-1</v>
      </c>
      <c r="G41" s="22" t="s">
        <v>489</v>
      </c>
      <c r="H41" s="22" t="s">
        <v>483</v>
      </c>
      <c r="I41" s="22"/>
    </row>
    <row r="42" spans="1:9" x14ac:dyDescent="0.25">
      <c r="A42" s="22" t="b">
        <v>0</v>
      </c>
      <c r="B42" s="22" t="s">
        <v>1196</v>
      </c>
      <c r="C42" s="34">
        <v>45791</v>
      </c>
      <c r="D42" s="22" t="s">
        <v>3836</v>
      </c>
      <c r="E42" s="22">
        <v>-7</v>
      </c>
      <c r="F42" s="28">
        <v>-1.17</v>
      </c>
      <c r="G42" s="22" t="s">
        <v>489</v>
      </c>
      <c r="H42" s="22" t="s">
        <v>483</v>
      </c>
      <c r="I42" s="22"/>
    </row>
    <row r="43" spans="1:9" x14ac:dyDescent="0.25">
      <c r="A43" s="22" t="b">
        <v>0</v>
      </c>
      <c r="B43" s="22" t="s">
        <v>1177</v>
      </c>
      <c r="C43" s="34">
        <v>45793</v>
      </c>
      <c r="D43" s="22" t="s">
        <v>3838</v>
      </c>
      <c r="E43" s="22">
        <v>-7.5</v>
      </c>
      <c r="F43" s="28">
        <v>-1.25</v>
      </c>
      <c r="G43" s="22" t="s">
        <v>489</v>
      </c>
      <c r="H43" s="22" t="s">
        <v>483</v>
      </c>
      <c r="I43" s="22"/>
    </row>
    <row r="44" spans="1:9" x14ac:dyDescent="0.25">
      <c r="A44" s="22" t="b">
        <v>0</v>
      </c>
      <c r="B44" s="22" t="s">
        <v>1178</v>
      </c>
      <c r="C44" s="34">
        <v>45793</v>
      </c>
      <c r="D44" s="22" t="s">
        <v>63</v>
      </c>
      <c r="E44" s="22">
        <v>-6</v>
      </c>
      <c r="F44" s="28">
        <v>-1</v>
      </c>
      <c r="G44" s="22" t="s">
        <v>489</v>
      </c>
      <c r="H44" s="22" t="s">
        <v>483</v>
      </c>
      <c r="I44" s="22"/>
    </row>
    <row r="45" spans="1:9" x14ac:dyDescent="0.25">
      <c r="A45" s="22" t="b">
        <v>0</v>
      </c>
      <c r="B45" s="22" t="s">
        <v>1173</v>
      </c>
      <c r="C45" s="34">
        <v>45794</v>
      </c>
      <c r="D45" s="22" t="s">
        <v>3833</v>
      </c>
      <c r="E45" s="22">
        <v>-7.5</v>
      </c>
      <c r="F45" s="28">
        <v>-1.25</v>
      </c>
      <c r="G45" s="22" t="s">
        <v>489</v>
      </c>
      <c r="H45" s="22" t="s">
        <v>483</v>
      </c>
      <c r="I45" s="22"/>
    </row>
    <row r="46" spans="1:9" x14ac:dyDescent="0.25">
      <c r="A46" s="22" t="b">
        <v>0</v>
      </c>
      <c r="B46" s="22" t="s">
        <v>1171</v>
      </c>
      <c r="C46" s="34">
        <v>45795</v>
      </c>
      <c r="D46" s="22" t="s">
        <v>3838</v>
      </c>
      <c r="E46" s="22">
        <v>-11.5</v>
      </c>
      <c r="F46" s="28">
        <v>-1.92</v>
      </c>
      <c r="G46" s="22" t="s">
        <v>489</v>
      </c>
      <c r="H46" s="22" t="s">
        <v>483</v>
      </c>
      <c r="I46" s="22"/>
    </row>
    <row r="47" spans="1:9" x14ac:dyDescent="0.25">
      <c r="A47" s="22" t="b">
        <v>0</v>
      </c>
      <c r="B47" s="22" t="s">
        <v>1167</v>
      </c>
      <c r="C47" s="34">
        <v>45796</v>
      </c>
      <c r="D47" s="22" t="s">
        <v>3832</v>
      </c>
      <c r="E47" s="22">
        <v>-7.5</v>
      </c>
      <c r="F47" s="28">
        <v>-1.25</v>
      </c>
      <c r="G47" s="22" t="s">
        <v>489</v>
      </c>
      <c r="H47" s="22" t="s">
        <v>483</v>
      </c>
      <c r="I47" s="22"/>
    </row>
    <row r="48" spans="1:9" x14ac:dyDescent="0.25">
      <c r="A48" s="22" t="b">
        <v>0</v>
      </c>
      <c r="B48" s="22" t="s">
        <v>1162</v>
      </c>
      <c r="C48" s="34">
        <v>45797</v>
      </c>
      <c r="D48" s="22" t="s">
        <v>63</v>
      </c>
      <c r="E48" s="22">
        <v>-6</v>
      </c>
      <c r="F48" s="28">
        <v>-1</v>
      </c>
      <c r="G48" s="22" t="s">
        <v>489</v>
      </c>
      <c r="H48" s="22" t="s">
        <v>483</v>
      </c>
      <c r="I48" s="22"/>
    </row>
    <row r="49" spans="1:9" x14ac:dyDescent="0.25">
      <c r="A49" s="22" t="b">
        <v>0</v>
      </c>
      <c r="B49" s="22" t="s">
        <v>1163</v>
      </c>
      <c r="C49" s="34">
        <v>45797</v>
      </c>
      <c r="D49" s="22" t="s">
        <v>63</v>
      </c>
      <c r="E49" s="22">
        <v>-6</v>
      </c>
      <c r="F49" s="28">
        <v>-1</v>
      </c>
      <c r="G49" s="22" t="s">
        <v>489</v>
      </c>
      <c r="H49" s="22" t="s">
        <v>483</v>
      </c>
      <c r="I49" s="22"/>
    </row>
    <row r="50" spans="1:9" x14ac:dyDescent="0.25">
      <c r="A50" s="22" t="b">
        <v>0</v>
      </c>
      <c r="B50" s="22" t="s">
        <v>1159</v>
      </c>
      <c r="C50" s="34">
        <v>45798</v>
      </c>
      <c r="D50" s="22" t="s">
        <v>3838</v>
      </c>
      <c r="E50" s="22">
        <v>-7.5</v>
      </c>
      <c r="F50" s="28">
        <v>-1.25</v>
      </c>
      <c r="G50" s="22" t="s">
        <v>489</v>
      </c>
      <c r="H50" s="22" t="s">
        <v>483</v>
      </c>
      <c r="I50" s="22"/>
    </row>
    <row r="51" spans="1:9" x14ac:dyDescent="0.25">
      <c r="A51" s="22" t="b">
        <v>0</v>
      </c>
      <c r="B51" s="22" t="s">
        <v>1160</v>
      </c>
      <c r="C51" s="34">
        <v>45798</v>
      </c>
      <c r="D51" s="22" t="s">
        <v>63</v>
      </c>
      <c r="E51" s="22">
        <v>-6</v>
      </c>
      <c r="F51" s="28">
        <v>-1</v>
      </c>
      <c r="G51" s="22" t="s">
        <v>489</v>
      </c>
      <c r="H51" s="22" t="s">
        <v>483</v>
      </c>
      <c r="I51" s="22"/>
    </row>
    <row r="52" spans="1:9" x14ac:dyDescent="0.25">
      <c r="A52" s="22" t="b">
        <v>0</v>
      </c>
      <c r="B52" s="22" t="s">
        <v>1148</v>
      </c>
      <c r="C52" s="34">
        <v>45799</v>
      </c>
      <c r="D52" s="22" t="s">
        <v>3838</v>
      </c>
      <c r="E52" s="22">
        <v>-7.5</v>
      </c>
      <c r="F52" s="28">
        <v>-1.25</v>
      </c>
      <c r="G52" s="22" t="s">
        <v>489</v>
      </c>
      <c r="H52" s="22" t="s">
        <v>483</v>
      </c>
      <c r="I52" s="22"/>
    </row>
    <row r="53" spans="1:9" x14ac:dyDescent="0.25">
      <c r="A53" s="22" t="b">
        <v>0</v>
      </c>
      <c r="B53" s="22" t="s">
        <v>1149</v>
      </c>
      <c r="C53" s="34">
        <v>45799</v>
      </c>
      <c r="D53" s="22" t="s">
        <v>63</v>
      </c>
      <c r="E53" s="22">
        <v>-6</v>
      </c>
      <c r="F53" s="28">
        <v>-1</v>
      </c>
      <c r="G53" s="22" t="s">
        <v>489</v>
      </c>
      <c r="H53" s="22" t="s">
        <v>483</v>
      </c>
      <c r="I53" s="22"/>
    </row>
    <row r="54" spans="1:9" x14ac:dyDescent="0.25">
      <c r="A54" s="22" t="b">
        <v>0</v>
      </c>
      <c r="B54" s="22" t="s">
        <v>1150</v>
      </c>
      <c r="C54" s="34">
        <v>45799</v>
      </c>
      <c r="D54" s="22" t="s">
        <v>63</v>
      </c>
      <c r="E54" s="22">
        <v>-6</v>
      </c>
      <c r="F54" s="28">
        <v>-1</v>
      </c>
      <c r="G54" s="22" t="s">
        <v>489</v>
      </c>
      <c r="H54" s="22" t="s">
        <v>483</v>
      </c>
      <c r="I54" s="22"/>
    </row>
    <row r="55" spans="1:9" x14ac:dyDescent="0.25">
      <c r="A55" s="22" t="b">
        <v>0</v>
      </c>
      <c r="B55" s="22" t="s">
        <v>1139</v>
      </c>
      <c r="C55" s="34">
        <v>45800</v>
      </c>
      <c r="D55" s="22" t="s">
        <v>3839</v>
      </c>
      <c r="E55" s="22">
        <v>-8.3000000000000007</v>
      </c>
      <c r="F55" s="28">
        <v>-1.38</v>
      </c>
      <c r="G55" s="22" t="s">
        <v>489</v>
      </c>
      <c r="H55" s="22" t="s">
        <v>483</v>
      </c>
      <c r="I55" s="22"/>
    </row>
    <row r="56" spans="1:9" x14ac:dyDescent="0.25">
      <c r="A56" s="22" t="b">
        <v>0</v>
      </c>
      <c r="B56" s="22" t="s">
        <v>1142</v>
      </c>
      <c r="C56" s="34">
        <v>45800</v>
      </c>
      <c r="D56" s="22" t="s">
        <v>63</v>
      </c>
      <c r="E56" s="22">
        <v>-6</v>
      </c>
      <c r="F56" s="28">
        <v>-1</v>
      </c>
      <c r="G56" s="22" t="s">
        <v>489</v>
      </c>
      <c r="H56" s="22" t="s">
        <v>483</v>
      </c>
      <c r="I56" s="22"/>
    </row>
    <row r="57" spans="1:9" x14ac:dyDescent="0.25">
      <c r="A57" s="22" t="b">
        <v>0</v>
      </c>
      <c r="B57" s="22" t="s">
        <v>1131</v>
      </c>
      <c r="C57" s="34">
        <v>45801</v>
      </c>
      <c r="D57" s="22" t="s">
        <v>63</v>
      </c>
      <c r="E57" s="22">
        <v>-6</v>
      </c>
      <c r="F57" s="28">
        <v>-1</v>
      </c>
      <c r="G57" s="22" t="s">
        <v>489</v>
      </c>
      <c r="H57" s="22" t="s">
        <v>483</v>
      </c>
      <c r="I57" s="22"/>
    </row>
    <row r="58" spans="1:9" x14ac:dyDescent="0.25">
      <c r="A58" s="22" t="b">
        <v>0</v>
      </c>
      <c r="B58" s="22" t="s">
        <v>1125</v>
      </c>
      <c r="C58" s="34">
        <v>45802</v>
      </c>
      <c r="D58" s="22" t="s">
        <v>63</v>
      </c>
      <c r="E58" s="22">
        <v>-6</v>
      </c>
      <c r="F58" s="28">
        <v>-1</v>
      </c>
      <c r="G58" s="22" t="s">
        <v>489</v>
      </c>
      <c r="H58" s="22" t="s">
        <v>483</v>
      </c>
      <c r="I58" s="22"/>
    </row>
    <row r="59" spans="1:9" x14ac:dyDescent="0.25">
      <c r="A59" s="22" t="b">
        <v>0</v>
      </c>
      <c r="B59" s="22" t="s">
        <v>1126</v>
      </c>
      <c r="C59" s="34">
        <v>45802</v>
      </c>
      <c r="D59" s="22" t="s">
        <v>63</v>
      </c>
      <c r="E59" s="22">
        <v>-6</v>
      </c>
      <c r="F59" s="28">
        <v>-1</v>
      </c>
      <c r="G59" s="22" t="s">
        <v>489</v>
      </c>
      <c r="H59" s="22" t="s">
        <v>483</v>
      </c>
      <c r="I59" s="22"/>
    </row>
    <row r="60" spans="1:9" x14ac:dyDescent="0.25">
      <c r="A60" s="22" t="b">
        <v>0</v>
      </c>
      <c r="B60" s="22" t="s">
        <v>1115</v>
      </c>
      <c r="C60" s="34">
        <v>45803</v>
      </c>
      <c r="D60" s="22" t="s">
        <v>3838</v>
      </c>
      <c r="E60" s="22">
        <v>-7.5</v>
      </c>
      <c r="F60" s="28">
        <v>-1.25</v>
      </c>
      <c r="G60" s="22" t="s">
        <v>489</v>
      </c>
      <c r="H60" s="22" t="s">
        <v>483</v>
      </c>
      <c r="I60" s="22"/>
    </row>
    <row r="61" spans="1:9" x14ac:dyDescent="0.25">
      <c r="A61" s="22" t="b">
        <v>0</v>
      </c>
      <c r="B61" s="22" t="s">
        <v>1116</v>
      </c>
      <c r="C61" s="34">
        <v>45803</v>
      </c>
      <c r="D61" s="22" t="s">
        <v>3833</v>
      </c>
      <c r="E61" s="22">
        <v>-7.5</v>
      </c>
      <c r="F61" s="28">
        <v>-1.25</v>
      </c>
      <c r="G61" s="22" t="s">
        <v>489</v>
      </c>
      <c r="H61" s="22" t="s">
        <v>483</v>
      </c>
      <c r="I61" s="22"/>
    </row>
    <row r="62" spans="1:9" x14ac:dyDescent="0.25">
      <c r="A62" s="22" t="b">
        <v>0</v>
      </c>
      <c r="B62" s="22" t="s">
        <v>1117</v>
      </c>
      <c r="C62" s="34">
        <v>45803</v>
      </c>
      <c r="D62" s="22" t="s">
        <v>3833</v>
      </c>
      <c r="E62" s="22">
        <v>-7.5</v>
      </c>
      <c r="F62" s="28">
        <v>-1.25</v>
      </c>
      <c r="G62" s="22" t="s">
        <v>489</v>
      </c>
      <c r="H62" s="22" t="s">
        <v>483</v>
      </c>
      <c r="I62" s="22"/>
    </row>
    <row r="63" spans="1:9" x14ac:dyDescent="0.25">
      <c r="A63" s="22" t="b">
        <v>0</v>
      </c>
      <c r="B63" s="22" t="s">
        <v>1118</v>
      </c>
      <c r="C63" s="34">
        <v>45803</v>
      </c>
      <c r="D63" s="22" t="s">
        <v>63</v>
      </c>
      <c r="E63" s="22">
        <v>-6</v>
      </c>
      <c r="F63" s="28">
        <v>-1</v>
      </c>
      <c r="G63" s="22" t="s">
        <v>489</v>
      </c>
      <c r="H63" s="22" t="s">
        <v>483</v>
      </c>
      <c r="I63" s="22"/>
    </row>
    <row r="64" spans="1:9" x14ac:dyDescent="0.25">
      <c r="A64" s="22" t="b">
        <v>0</v>
      </c>
      <c r="B64" s="22" t="s">
        <v>1119</v>
      </c>
      <c r="C64" s="34">
        <v>45803</v>
      </c>
      <c r="D64" s="22" t="s">
        <v>63</v>
      </c>
      <c r="E64" s="22">
        <v>-6</v>
      </c>
      <c r="F64" s="28">
        <v>-1</v>
      </c>
      <c r="G64" s="22" t="s">
        <v>489</v>
      </c>
      <c r="H64" s="22" t="s">
        <v>483</v>
      </c>
      <c r="I64" s="22"/>
    </row>
    <row r="65" spans="1:9" x14ac:dyDescent="0.25">
      <c r="A65" s="22" t="b">
        <v>0</v>
      </c>
      <c r="B65" s="22" t="s">
        <v>1120</v>
      </c>
      <c r="C65" s="34">
        <v>45803</v>
      </c>
      <c r="D65" s="22" t="s">
        <v>3832</v>
      </c>
      <c r="E65" s="22">
        <v>-7.5</v>
      </c>
      <c r="F65" s="28">
        <v>-1.25</v>
      </c>
      <c r="G65" s="22" t="s">
        <v>489</v>
      </c>
      <c r="H65" s="22" t="s">
        <v>483</v>
      </c>
      <c r="I65" s="22"/>
    </row>
    <row r="66" spans="1:9" x14ac:dyDescent="0.25">
      <c r="A66" s="22" t="b">
        <v>0</v>
      </c>
      <c r="B66" s="22" t="s">
        <v>1121</v>
      </c>
      <c r="C66" s="34">
        <v>45803</v>
      </c>
      <c r="D66" s="22" t="s">
        <v>3832</v>
      </c>
      <c r="E66" s="22">
        <v>-7</v>
      </c>
      <c r="F66" s="28">
        <v>-1.17</v>
      </c>
      <c r="G66" s="22" t="s">
        <v>489</v>
      </c>
      <c r="H66" s="22" t="s">
        <v>483</v>
      </c>
      <c r="I66" s="22"/>
    </row>
    <row r="67" spans="1:9" x14ac:dyDescent="0.25">
      <c r="A67" s="22" t="b">
        <v>0</v>
      </c>
      <c r="B67" s="22" t="s">
        <v>1107</v>
      </c>
      <c r="C67" s="34">
        <v>45804</v>
      </c>
      <c r="D67" s="22" t="s">
        <v>31</v>
      </c>
      <c r="E67" s="22">
        <v>-14.9</v>
      </c>
      <c r="F67" s="28">
        <v>-2.48</v>
      </c>
      <c r="G67" s="22" t="s">
        <v>489</v>
      </c>
      <c r="H67" s="22" t="s">
        <v>483</v>
      </c>
      <c r="I67" s="22"/>
    </row>
    <row r="68" spans="1:9" x14ac:dyDescent="0.25">
      <c r="A68" s="22" t="b">
        <v>0</v>
      </c>
      <c r="B68" s="22" t="s">
        <v>1110</v>
      </c>
      <c r="C68" s="34">
        <v>45804</v>
      </c>
      <c r="D68" s="22" t="s">
        <v>3840</v>
      </c>
      <c r="E68" s="22">
        <v>-5</v>
      </c>
      <c r="F68" s="28">
        <v>-0.83</v>
      </c>
      <c r="G68" s="22" t="s">
        <v>489</v>
      </c>
      <c r="H68" s="22" t="s">
        <v>483</v>
      </c>
      <c r="I68" s="22"/>
    </row>
    <row r="69" spans="1:9" x14ac:dyDescent="0.25">
      <c r="A69" s="22" t="b">
        <v>0</v>
      </c>
      <c r="B69" s="22" t="s">
        <v>1111</v>
      </c>
      <c r="C69" s="34">
        <v>45804</v>
      </c>
      <c r="D69" s="22" t="s">
        <v>63</v>
      </c>
      <c r="E69" s="22">
        <v>-6</v>
      </c>
      <c r="F69" s="28">
        <v>-1</v>
      </c>
      <c r="G69" s="22" t="s">
        <v>489</v>
      </c>
      <c r="H69" s="22" t="s">
        <v>483</v>
      </c>
      <c r="I69" s="22"/>
    </row>
    <row r="70" spans="1:9" x14ac:dyDescent="0.25">
      <c r="A70" s="22" t="b">
        <v>0</v>
      </c>
      <c r="B70" s="22" t="s">
        <v>1096</v>
      </c>
      <c r="C70" s="34">
        <v>45806</v>
      </c>
      <c r="D70" s="22" t="s">
        <v>3833</v>
      </c>
      <c r="E70" s="22">
        <v>-4</v>
      </c>
      <c r="F70" s="28">
        <v>-0.67</v>
      </c>
      <c r="G70" s="22" t="s">
        <v>489</v>
      </c>
      <c r="H70" s="22" t="s">
        <v>483</v>
      </c>
      <c r="I70" s="22"/>
    </row>
    <row r="71" spans="1:9" x14ac:dyDescent="0.25">
      <c r="A71" s="22" t="b">
        <v>0</v>
      </c>
      <c r="B71" s="22" t="s">
        <v>1097</v>
      </c>
      <c r="C71" s="34">
        <v>45806</v>
      </c>
      <c r="D71" s="22" t="s">
        <v>3835</v>
      </c>
      <c r="E71" s="22">
        <v>-18</v>
      </c>
      <c r="F71" s="28">
        <v>-3</v>
      </c>
      <c r="G71" s="22" t="s">
        <v>489</v>
      </c>
      <c r="H71" s="22" t="s">
        <v>483</v>
      </c>
      <c r="I71" s="22"/>
    </row>
    <row r="72" spans="1:9" x14ac:dyDescent="0.25">
      <c r="A72" s="22" t="b">
        <v>0</v>
      </c>
      <c r="B72" s="22" t="s">
        <v>1098</v>
      </c>
      <c r="C72" s="34">
        <v>45806</v>
      </c>
      <c r="D72" s="22" t="s">
        <v>3835</v>
      </c>
      <c r="E72" s="22">
        <v>-18</v>
      </c>
      <c r="F72" s="28">
        <v>-3</v>
      </c>
      <c r="G72" s="22" t="s">
        <v>489</v>
      </c>
      <c r="H72" s="22" t="s">
        <v>483</v>
      </c>
      <c r="I72" s="22"/>
    </row>
    <row r="73" spans="1:9" x14ac:dyDescent="0.25">
      <c r="A73" s="22" t="b">
        <v>0</v>
      </c>
      <c r="B73" s="22" t="s">
        <v>1099</v>
      </c>
      <c r="C73" s="34">
        <v>45806</v>
      </c>
      <c r="D73" s="22" t="s">
        <v>3833</v>
      </c>
      <c r="E73" s="22">
        <v>-7.5</v>
      </c>
      <c r="F73" s="28">
        <v>-1.25</v>
      </c>
      <c r="G73" s="22" t="s">
        <v>489</v>
      </c>
      <c r="H73" s="22" t="s">
        <v>483</v>
      </c>
      <c r="I73" s="22"/>
    </row>
    <row r="74" spans="1:9" x14ac:dyDescent="0.25">
      <c r="A74" s="22" t="b">
        <v>0</v>
      </c>
      <c r="B74" s="22" t="s">
        <v>1100</v>
      </c>
      <c r="C74" s="34">
        <v>45806</v>
      </c>
      <c r="D74" s="22" t="s">
        <v>63</v>
      </c>
      <c r="E74" s="22">
        <v>-6</v>
      </c>
      <c r="F74" s="28">
        <v>-1</v>
      </c>
      <c r="G74" s="22" t="s">
        <v>489</v>
      </c>
      <c r="H74" s="22" t="s">
        <v>483</v>
      </c>
      <c r="I74" s="22"/>
    </row>
    <row r="75" spans="1:9" x14ac:dyDescent="0.25">
      <c r="A75" s="22" t="b">
        <v>0</v>
      </c>
      <c r="B75" s="22" t="s">
        <v>1101</v>
      </c>
      <c r="C75" s="34">
        <v>45806</v>
      </c>
      <c r="D75" s="22" t="s">
        <v>3832</v>
      </c>
      <c r="E75" s="22">
        <v>-11</v>
      </c>
      <c r="F75" s="28">
        <v>-1.83</v>
      </c>
      <c r="G75" s="22" t="s">
        <v>489</v>
      </c>
      <c r="H75" s="22" t="s">
        <v>483</v>
      </c>
      <c r="I75" s="22"/>
    </row>
    <row r="76" spans="1:9" x14ac:dyDescent="0.25">
      <c r="A76" s="22" t="b">
        <v>0</v>
      </c>
      <c r="B76" s="22" t="s">
        <v>1102</v>
      </c>
      <c r="C76" s="34">
        <v>45806</v>
      </c>
      <c r="D76" s="22" t="s">
        <v>3832</v>
      </c>
      <c r="E76" s="22">
        <v>-7.5</v>
      </c>
      <c r="F76" s="28">
        <v>-1.25</v>
      </c>
      <c r="G76" s="22" t="s">
        <v>489</v>
      </c>
      <c r="H76" s="22" t="s">
        <v>483</v>
      </c>
      <c r="I76" s="22"/>
    </row>
    <row r="77" spans="1:9" x14ac:dyDescent="0.25">
      <c r="A77" s="22" t="b">
        <v>0</v>
      </c>
      <c r="B77" s="22" t="s">
        <v>1087</v>
      </c>
      <c r="C77" s="34">
        <v>45807</v>
      </c>
      <c r="D77" s="22" t="s">
        <v>31</v>
      </c>
      <c r="E77" s="22">
        <v>-14.9</v>
      </c>
      <c r="F77" s="28">
        <v>-2.48</v>
      </c>
      <c r="G77" s="22" t="s">
        <v>489</v>
      </c>
      <c r="H77" s="22" t="s">
        <v>483</v>
      </c>
      <c r="I77" s="22"/>
    </row>
    <row r="78" spans="1:9" x14ac:dyDescent="0.25">
      <c r="A78" s="22" t="b">
        <v>0</v>
      </c>
      <c r="B78" s="22" t="s">
        <v>1088</v>
      </c>
      <c r="C78" s="34">
        <v>45807</v>
      </c>
      <c r="D78" s="22" t="s">
        <v>3838</v>
      </c>
      <c r="E78" s="22">
        <v>-7.5</v>
      </c>
      <c r="F78" s="28">
        <v>-1.25</v>
      </c>
      <c r="G78" s="22" t="s">
        <v>489</v>
      </c>
      <c r="H78" s="22" t="s">
        <v>483</v>
      </c>
      <c r="I78" s="22"/>
    </row>
    <row r="79" spans="1:9" x14ac:dyDescent="0.25">
      <c r="A79" s="22" t="b">
        <v>0</v>
      </c>
      <c r="B79" s="22" t="s">
        <v>1090</v>
      </c>
      <c r="C79" s="34">
        <v>45807</v>
      </c>
      <c r="D79" s="22" t="s">
        <v>3834</v>
      </c>
      <c r="E79" s="22">
        <v>-15.5</v>
      </c>
      <c r="F79" s="28">
        <v>-2.58</v>
      </c>
      <c r="G79" s="22" t="s">
        <v>489</v>
      </c>
      <c r="H79" s="22" t="s">
        <v>483</v>
      </c>
      <c r="I79" s="22"/>
    </row>
    <row r="80" spans="1:9" x14ac:dyDescent="0.25">
      <c r="A80" s="22" t="b">
        <v>0</v>
      </c>
      <c r="B80" s="22" t="s">
        <v>1074</v>
      </c>
      <c r="C80" s="34">
        <v>45809</v>
      </c>
      <c r="D80" s="22" t="s">
        <v>3838</v>
      </c>
      <c r="E80" s="22">
        <v>-7.5</v>
      </c>
      <c r="F80" s="28">
        <v>-1.25</v>
      </c>
      <c r="G80" s="22" t="s">
        <v>489</v>
      </c>
      <c r="H80" s="22" t="s">
        <v>483</v>
      </c>
      <c r="I80" s="22"/>
    </row>
    <row r="81" spans="1:9" x14ac:dyDescent="0.25">
      <c r="A81" s="22" t="b">
        <v>0</v>
      </c>
      <c r="B81" s="22" t="s">
        <v>1075</v>
      </c>
      <c r="C81" s="34">
        <v>45809</v>
      </c>
      <c r="D81" s="22" t="s">
        <v>3838</v>
      </c>
      <c r="E81" s="22">
        <v>-7</v>
      </c>
      <c r="F81" s="28">
        <v>-1.17</v>
      </c>
      <c r="G81" s="22" t="s">
        <v>489</v>
      </c>
      <c r="H81" s="22" t="s">
        <v>483</v>
      </c>
      <c r="I81" s="22"/>
    </row>
    <row r="82" spans="1:9" x14ac:dyDescent="0.25">
      <c r="A82" s="22" t="b">
        <v>0</v>
      </c>
      <c r="B82" s="22" t="s">
        <v>1076</v>
      </c>
      <c r="C82" s="34">
        <v>45809</v>
      </c>
      <c r="D82" s="22" t="s">
        <v>3838</v>
      </c>
      <c r="E82" s="22">
        <v>-7.5</v>
      </c>
      <c r="F82" s="28">
        <v>-1.25</v>
      </c>
      <c r="G82" s="22" t="s">
        <v>489</v>
      </c>
      <c r="H82" s="22" t="s">
        <v>483</v>
      </c>
      <c r="I82" s="22"/>
    </row>
    <row r="83" spans="1:9" x14ac:dyDescent="0.25">
      <c r="A83" s="22" t="b">
        <v>0</v>
      </c>
      <c r="B83" s="22" t="s">
        <v>1060</v>
      </c>
      <c r="C83" s="34">
        <v>45810</v>
      </c>
      <c r="D83" s="22" t="s">
        <v>170</v>
      </c>
      <c r="E83" s="22">
        <v>-25</v>
      </c>
      <c r="F83" s="28">
        <v>-4.17</v>
      </c>
      <c r="G83" s="22" t="s">
        <v>489</v>
      </c>
      <c r="H83" s="22" t="s">
        <v>483</v>
      </c>
      <c r="I83" s="22"/>
    </row>
    <row r="84" spans="1:9" x14ac:dyDescent="0.25">
      <c r="A84" s="22" t="b">
        <v>0</v>
      </c>
      <c r="B84" s="22" t="s">
        <v>1062</v>
      </c>
      <c r="C84" s="34">
        <v>45810</v>
      </c>
      <c r="D84" s="22" t="s">
        <v>3833</v>
      </c>
      <c r="E84" s="22">
        <v>-7.5</v>
      </c>
      <c r="F84" s="28">
        <v>-1.25</v>
      </c>
      <c r="G84" s="22" t="s">
        <v>489</v>
      </c>
      <c r="H84" s="22" t="s">
        <v>483</v>
      </c>
      <c r="I84" s="22"/>
    </row>
    <row r="85" spans="1:9" x14ac:dyDescent="0.25">
      <c r="A85" s="22" t="b">
        <v>0</v>
      </c>
      <c r="B85" s="22" t="s">
        <v>1063</v>
      </c>
      <c r="C85" s="34">
        <v>45810</v>
      </c>
      <c r="D85" s="22" t="s">
        <v>3832</v>
      </c>
      <c r="E85" s="22">
        <v>-7.5</v>
      </c>
      <c r="F85" s="28">
        <v>-1.25</v>
      </c>
      <c r="G85" s="22" t="s">
        <v>489</v>
      </c>
      <c r="H85" s="22" t="s">
        <v>483</v>
      </c>
      <c r="I85" s="22"/>
    </row>
    <row r="86" spans="1:9" x14ac:dyDescent="0.25">
      <c r="A86" s="22" t="b">
        <v>0</v>
      </c>
      <c r="B86" s="22" t="s">
        <v>1064</v>
      </c>
      <c r="C86" s="34">
        <v>45810</v>
      </c>
      <c r="D86" s="22" t="s">
        <v>3832</v>
      </c>
      <c r="E86" s="22">
        <v>-7.5</v>
      </c>
      <c r="F86" s="28">
        <v>-1.25</v>
      </c>
      <c r="G86" s="22" t="s">
        <v>489</v>
      </c>
      <c r="H86" s="22" t="s">
        <v>483</v>
      </c>
      <c r="I86" s="22"/>
    </row>
    <row r="87" spans="1:9" x14ac:dyDescent="0.25">
      <c r="A87" s="22" t="b">
        <v>0</v>
      </c>
      <c r="B87" s="22" t="s">
        <v>1051</v>
      </c>
      <c r="C87" s="34">
        <v>45811</v>
      </c>
      <c r="D87" s="22" t="s">
        <v>206</v>
      </c>
      <c r="E87" s="22">
        <v>-7.5</v>
      </c>
      <c r="F87" s="28">
        <v>-1.25</v>
      </c>
      <c r="G87" s="22" t="s">
        <v>489</v>
      </c>
      <c r="H87" s="22" t="s">
        <v>483</v>
      </c>
      <c r="I87" s="22"/>
    </row>
    <row r="88" spans="1:9" x14ac:dyDescent="0.25">
      <c r="A88" s="22" t="b">
        <v>0</v>
      </c>
      <c r="B88" s="22" t="s">
        <v>1052</v>
      </c>
      <c r="C88" s="34">
        <v>45811</v>
      </c>
      <c r="D88" s="22" t="s">
        <v>3833</v>
      </c>
      <c r="E88" s="22">
        <v>-7.5</v>
      </c>
      <c r="F88" s="28">
        <v>-1.25</v>
      </c>
      <c r="G88" s="22" t="s">
        <v>489</v>
      </c>
      <c r="H88" s="22" t="s">
        <v>483</v>
      </c>
      <c r="I88" s="22"/>
    </row>
    <row r="89" spans="1:9" x14ac:dyDescent="0.25">
      <c r="A89" s="22" t="b">
        <v>0</v>
      </c>
      <c r="B89" s="22" t="s">
        <v>1053</v>
      </c>
      <c r="C89" s="34">
        <v>45811</v>
      </c>
      <c r="D89" s="22" t="s">
        <v>3833</v>
      </c>
      <c r="E89" s="22">
        <v>-7</v>
      </c>
      <c r="F89" s="28">
        <v>-1.17</v>
      </c>
      <c r="G89" s="22" t="s">
        <v>489</v>
      </c>
      <c r="H89" s="22" t="s">
        <v>483</v>
      </c>
      <c r="I89" s="22"/>
    </row>
    <row r="90" spans="1:9" x14ac:dyDescent="0.25">
      <c r="A90" s="22" t="b">
        <v>0</v>
      </c>
      <c r="B90" s="22" t="s">
        <v>1044</v>
      </c>
      <c r="C90" s="34">
        <v>45812</v>
      </c>
      <c r="D90" s="22" t="s">
        <v>31</v>
      </c>
      <c r="E90" s="22">
        <v>-6.9</v>
      </c>
      <c r="F90" s="28">
        <v>-1.1499999999999999</v>
      </c>
      <c r="G90" s="22" t="s">
        <v>489</v>
      </c>
      <c r="H90" s="22" t="s">
        <v>483</v>
      </c>
      <c r="I90" s="22"/>
    </row>
    <row r="91" spans="1:9" x14ac:dyDescent="0.25">
      <c r="A91" s="22" t="b">
        <v>0</v>
      </c>
      <c r="B91" s="22" t="s">
        <v>1046</v>
      </c>
      <c r="C91" s="34">
        <v>45812</v>
      </c>
      <c r="D91" s="22" t="s">
        <v>206</v>
      </c>
      <c r="E91" s="22">
        <v>-7</v>
      </c>
      <c r="F91" s="28">
        <v>-1.17</v>
      </c>
      <c r="G91" s="22" t="s">
        <v>489</v>
      </c>
      <c r="H91" s="22" t="s">
        <v>483</v>
      </c>
      <c r="I91" s="22"/>
    </row>
    <row r="92" spans="1:9" x14ac:dyDescent="0.25">
      <c r="A92" s="22" t="b">
        <v>0</v>
      </c>
      <c r="B92" s="22" t="s">
        <v>1047</v>
      </c>
      <c r="C92" s="34">
        <v>45812</v>
      </c>
      <c r="D92" s="22" t="s">
        <v>206</v>
      </c>
      <c r="E92" s="22">
        <v>-7.5</v>
      </c>
      <c r="F92" s="28">
        <v>-1.25</v>
      </c>
      <c r="G92" s="22" t="s">
        <v>489</v>
      </c>
      <c r="H92" s="22" t="s">
        <v>483</v>
      </c>
      <c r="I92" s="22"/>
    </row>
    <row r="93" spans="1:9" x14ac:dyDescent="0.25">
      <c r="A93" s="22" t="b">
        <v>0</v>
      </c>
      <c r="B93" s="22" t="s">
        <v>1037</v>
      </c>
      <c r="C93" s="34">
        <v>45813</v>
      </c>
      <c r="D93" s="22" t="s">
        <v>63</v>
      </c>
      <c r="E93" s="22">
        <v>-6</v>
      </c>
      <c r="F93" s="28">
        <v>-1</v>
      </c>
      <c r="G93" s="22" t="s">
        <v>489</v>
      </c>
      <c r="H93" s="22" t="s">
        <v>483</v>
      </c>
      <c r="I93" s="22"/>
    </row>
    <row r="94" spans="1:9" x14ac:dyDescent="0.25">
      <c r="A94" s="22" t="b">
        <v>0</v>
      </c>
      <c r="B94" s="22" t="s">
        <v>1029</v>
      </c>
      <c r="C94" s="34">
        <v>45814</v>
      </c>
      <c r="D94" s="22" t="s">
        <v>170</v>
      </c>
      <c r="E94" s="22">
        <v>-7</v>
      </c>
      <c r="F94" s="28">
        <v>-1.17</v>
      </c>
      <c r="G94" s="22" t="s">
        <v>489</v>
      </c>
      <c r="H94" s="22" t="s">
        <v>483</v>
      </c>
      <c r="I94" s="22"/>
    </row>
    <row r="95" spans="1:9" x14ac:dyDescent="0.25">
      <c r="A95" s="22" t="b">
        <v>0</v>
      </c>
      <c r="B95" s="22" t="s">
        <v>1030</v>
      </c>
      <c r="C95" s="34">
        <v>45814</v>
      </c>
      <c r="D95" s="22" t="s">
        <v>3838</v>
      </c>
      <c r="E95" s="22">
        <v>-7.5</v>
      </c>
      <c r="F95" s="28">
        <v>-1.25</v>
      </c>
      <c r="G95" s="22" t="s">
        <v>489</v>
      </c>
      <c r="H95" s="22" t="s">
        <v>483</v>
      </c>
      <c r="I95" s="22"/>
    </row>
    <row r="96" spans="1:9" x14ac:dyDescent="0.25">
      <c r="A96" s="22" t="b">
        <v>0</v>
      </c>
      <c r="B96" s="22" t="s">
        <v>1031</v>
      </c>
      <c r="C96" s="34">
        <v>45814</v>
      </c>
      <c r="D96" s="22" t="s">
        <v>63</v>
      </c>
      <c r="E96" s="22">
        <v>-6</v>
      </c>
      <c r="F96" s="28">
        <v>-1</v>
      </c>
      <c r="G96" s="22" t="s">
        <v>489</v>
      </c>
      <c r="H96" s="22" t="s">
        <v>483</v>
      </c>
      <c r="I96" s="22"/>
    </row>
    <row r="97" spans="1:9" x14ac:dyDescent="0.25">
      <c r="A97" s="22" t="b">
        <v>0</v>
      </c>
      <c r="B97" s="22" t="s">
        <v>1022</v>
      </c>
      <c r="C97" s="34">
        <v>45815</v>
      </c>
      <c r="D97" s="22" t="s">
        <v>63</v>
      </c>
      <c r="E97" s="22">
        <v>-6</v>
      </c>
      <c r="F97" s="28">
        <v>-1</v>
      </c>
      <c r="G97" s="22" t="s">
        <v>489</v>
      </c>
      <c r="H97" s="22" t="s">
        <v>483</v>
      </c>
      <c r="I97" s="22"/>
    </row>
    <row r="98" spans="1:9" x14ac:dyDescent="0.25">
      <c r="A98" s="22" t="b">
        <v>0</v>
      </c>
      <c r="B98" s="22" t="s">
        <v>1005</v>
      </c>
      <c r="C98" s="34">
        <v>45816</v>
      </c>
      <c r="D98" s="22" t="s">
        <v>206</v>
      </c>
      <c r="E98" s="22">
        <v>-11.5</v>
      </c>
      <c r="F98" s="28">
        <v>-1.92</v>
      </c>
      <c r="G98" s="22" t="s">
        <v>489</v>
      </c>
      <c r="H98" s="22" t="s">
        <v>483</v>
      </c>
      <c r="I98" s="22"/>
    </row>
    <row r="99" spans="1:9" x14ac:dyDescent="0.25">
      <c r="A99" s="22" t="b">
        <v>0</v>
      </c>
      <c r="B99" s="22" t="s">
        <v>1006</v>
      </c>
      <c r="C99" s="34">
        <v>45816</v>
      </c>
      <c r="D99" s="22" t="s">
        <v>63</v>
      </c>
      <c r="E99" s="22">
        <v>-6</v>
      </c>
      <c r="F99" s="28">
        <v>-1</v>
      </c>
      <c r="G99" s="22" t="s">
        <v>489</v>
      </c>
      <c r="H99" s="22" t="s">
        <v>483</v>
      </c>
      <c r="I99" s="22"/>
    </row>
    <row r="100" spans="1:9" x14ac:dyDescent="0.25">
      <c r="A100" s="22" t="b">
        <v>0</v>
      </c>
      <c r="B100" s="22" t="s">
        <v>1007</v>
      </c>
      <c r="C100" s="34">
        <v>45816</v>
      </c>
      <c r="D100" s="22" t="s">
        <v>63</v>
      </c>
      <c r="E100" s="22">
        <v>-6</v>
      </c>
      <c r="F100" s="28">
        <v>-1</v>
      </c>
      <c r="G100" s="22" t="s">
        <v>489</v>
      </c>
      <c r="H100" s="22" t="s">
        <v>483</v>
      </c>
      <c r="I100" s="22"/>
    </row>
    <row r="101" spans="1:9" x14ac:dyDescent="0.25">
      <c r="A101" s="22" t="b">
        <v>0</v>
      </c>
      <c r="B101" s="22" t="s">
        <v>995</v>
      </c>
      <c r="C101" s="34">
        <v>45817</v>
      </c>
      <c r="D101" s="22" t="s">
        <v>347</v>
      </c>
      <c r="E101" s="22">
        <v>-7.5</v>
      </c>
      <c r="F101" s="28">
        <v>-1.25</v>
      </c>
      <c r="G101" s="22" t="s">
        <v>489</v>
      </c>
      <c r="H101" s="22" t="s">
        <v>483</v>
      </c>
      <c r="I101" s="22"/>
    </row>
    <row r="102" spans="1:9" x14ac:dyDescent="0.25">
      <c r="A102" s="22" t="b">
        <v>0</v>
      </c>
      <c r="B102" s="22" t="s">
        <v>997</v>
      </c>
      <c r="C102" s="34">
        <v>45817</v>
      </c>
      <c r="D102" s="22" t="s">
        <v>3832</v>
      </c>
      <c r="E102" s="22">
        <v>-7.5</v>
      </c>
      <c r="F102" s="28">
        <v>-1.25</v>
      </c>
      <c r="G102" s="22" t="s">
        <v>489</v>
      </c>
      <c r="H102" s="22" t="s">
        <v>483</v>
      </c>
      <c r="I102" s="22"/>
    </row>
    <row r="103" spans="1:9" x14ac:dyDescent="0.25">
      <c r="A103" s="22" t="b">
        <v>0</v>
      </c>
      <c r="B103" s="22" t="s">
        <v>991</v>
      </c>
      <c r="C103" s="34">
        <v>45818</v>
      </c>
      <c r="D103" s="22" t="s">
        <v>63</v>
      </c>
      <c r="E103" s="22">
        <v>-6</v>
      </c>
      <c r="F103" s="28">
        <v>-1</v>
      </c>
      <c r="G103" s="22" t="s">
        <v>489</v>
      </c>
      <c r="H103" s="22" t="s">
        <v>483</v>
      </c>
      <c r="I103" s="22"/>
    </row>
    <row r="104" spans="1:9" x14ac:dyDescent="0.25">
      <c r="A104" s="22" t="b">
        <v>0</v>
      </c>
      <c r="B104" s="22" t="s">
        <v>992</v>
      </c>
      <c r="C104" s="34">
        <v>45818</v>
      </c>
      <c r="D104" s="22" t="s">
        <v>3832</v>
      </c>
      <c r="E104" s="22">
        <v>-7.5</v>
      </c>
      <c r="F104" s="28">
        <v>-1.25</v>
      </c>
      <c r="G104" s="22" t="s">
        <v>489</v>
      </c>
      <c r="H104" s="22" t="s">
        <v>483</v>
      </c>
      <c r="I104" s="22"/>
    </row>
    <row r="105" spans="1:9" x14ac:dyDescent="0.25">
      <c r="A105" s="22" t="b">
        <v>0</v>
      </c>
      <c r="B105" s="22" t="s">
        <v>986</v>
      </c>
      <c r="C105" s="34">
        <v>45819</v>
      </c>
      <c r="D105" s="22" t="s">
        <v>63</v>
      </c>
      <c r="E105" s="22">
        <v>-6</v>
      </c>
      <c r="F105" s="28">
        <v>-1</v>
      </c>
      <c r="G105" s="22" t="s">
        <v>489</v>
      </c>
      <c r="H105" s="22" t="s">
        <v>483</v>
      </c>
      <c r="I105" s="22"/>
    </row>
    <row r="106" spans="1:9" x14ac:dyDescent="0.25">
      <c r="A106" s="22" t="b">
        <v>0</v>
      </c>
      <c r="B106" s="22" t="s">
        <v>987</v>
      </c>
      <c r="C106" s="34">
        <v>45819</v>
      </c>
      <c r="D106" s="22" t="s">
        <v>3832</v>
      </c>
      <c r="E106" s="22">
        <v>-11.5</v>
      </c>
      <c r="F106" s="28">
        <v>-1.92</v>
      </c>
      <c r="G106" s="22" t="s">
        <v>489</v>
      </c>
      <c r="H106" s="22" t="s">
        <v>483</v>
      </c>
      <c r="I106" s="22"/>
    </row>
    <row r="107" spans="1:9" x14ac:dyDescent="0.25">
      <c r="A107" s="22" t="b">
        <v>0</v>
      </c>
      <c r="B107" s="22" t="s">
        <v>976</v>
      </c>
      <c r="C107" s="34">
        <v>45820</v>
      </c>
      <c r="D107" s="22" t="s">
        <v>3833</v>
      </c>
      <c r="E107" s="22">
        <v>-14.5</v>
      </c>
      <c r="F107" s="28">
        <v>-2.42</v>
      </c>
      <c r="G107" s="22" t="s">
        <v>489</v>
      </c>
      <c r="H107" s="22" t="s">
        <v>483</v>
      </c>
      <c r="I107" s="22"/>
    </row>
    <row r="108" spans="1:9" x14ac:dyDescent="0.25">
      <c r="A108" s="22" t="b">
        <v>0</v>
      </c>
      <c r="B108" s="22" t="s">
        <v>977</v>
      </c>
      <c r="C108" s="34">
        <v>45820</v>
      </c>
      <c r="D108" s="22" t="s">
        <v>63</v>
      </c>
      <c r="E108" s="22">
        <v>-6</v>
      </c>
      <c r="F108" s="28">
        <v>-1</v>
      </c>
      <c r="G108" s="22" t="s">
        <v>489</v>
      </c>
      <c r="H108" s="22" t="s">
        <v>483</v>
      </c>
      <c r="I108" s="22"/>
    </row>
    <row r="109" spans="1:9" x14ac:dyDescent="0.25">
      <c r="A109" s="22" t="b">
        <v>0</v>
      </c>
      <c r="B109" s="22" t="s">
        <v>968</v>
      </c>
      <c r="C109" s="34">
        <v>45821</v>
      </c>
      <c r="D109" s="22" t="s">
        <v>120</v>
      </c>
      <c r="E109" s="22">
        <v>-2.2599999999999998</v>
      </c>
      <c r="F109" s="28">
        <v>-0.38</v>
      </c>
      <c r="G109" s="22" t="s">
        <v>489</v>
      </c>
      <c r="H109" s="22" t="s">
        <v>483</v>
      </c>
      <c r="I109" s="22"/>
    </row>
    <row r="110" spans="1:9" x14ac:dyDescent="0.25">
      <c r="A110" s="22" t="b">
        <v>0</v>
      </c>
      <c r="B110" s="22" t="s">
        <v>971</v>
      </c>
      <c r="C110" s="34">
        <v>45821</v>
      </c>
      <c r="D110" s="22" t="s">
        <v>3838</v>
      </c>
      <c r="E110" s="22">
        <v>-7.5</v>
      </c>
      <c r="F110" s="28">
        <v>-1.25</v>
      </c>
      <c r="G110" s="22" t="s">
        <v>489</v>
      </c>
      <c r="H110" s="22" t="s">
        <v>483</v>
      </c>
      <c r="I110" s="22"/>
    </row>
    <row r="111" spans="1:9" x14ac:dyDescent="0.25">
      <c r="A111" s="22" t="b">
        <v>0</v>
      </c>
      <c r="B111" s="22" t="s">
        <v>955</v>
      </c>
      <c r="C111" s="34">
        <v>45822</v>
      </c>
      <c r="D111" s="22" t="s">
        <v>120</v>
      </c>
      <c r="E111" s="22">
        <v>-1.0900000000000001</v>
      </c>
      <c r="F111" s="28">
        <v>-0.18</v>
      </c>
      <c r="G111" s="22" t="s">
        <v>489</v>
      </c>
      <c r="H111" s="22" t="s">
        <v>483</v>
      </c>
      <c r="I111" s="22"/>
    </row>
    <row r="112" spans="1:9" x14ac:dyDescent="0.25">
      <c r="A112" s="22" t="b">
        <v>0</v>
      </c>
      <c r="B112" s="22" t="s">
        <v>956</v>
      </c>
      <c r="C112" s="34">
        <v>45822</v>
      </c>
      <c r="D112" s="22" t="s">
        <v>3839</v>
      </c>
      <c r="E112" s="22">
        <v>-8.3000000000000007</v>
      </c>
      <c r="F112" s="28">
        <v>-1.38</v>
      </c>
      <c r="G112" s="22" t="s">
        <v>489</v>
      </c>
      <c r="H112" s="22" t="s">
        <v>483</v>
      </c>
      <c r="I112" s="22"/>
    </row>
    <row r="113" spans="1:9" x14ac:dyDescent="0.25">
      <c r="A113" s="22" t="b">
        <v>0</v>
      </c>
      <c r="B113" s="22" t="s">
        <v>958</v>
      </c>
      <c r="C113" s="34">
        <v>45822</v>
      </c>
      <c r="D113" s="22" t="s">
        <v>3833</v>
      </c>
      <c r="E113" s="22">
        <v>-7.5</v>
      </c>
      <c r="F113" s="28">
        <v>-1.25</v>
      </c>
      <c r="G113" s="22" t="s">
        <v>489</v>
      </c>
      <c r="H113" s="22" t="s">
        <v>483</v>
      </c>
      <c r="I113" s="22"/>
    </row>
    <row r="114" spans="1:9" x14ac:dyDescent="0.25">
      <c r="A114" s="22" t="b">
        <v>0</v>
      </c>
      <c r="B114" s="22" t="s">
        <v>959</v>
      </c>
      <c r="C114" s="34">
        <v>45822</v>
      </c>
      <c r="D114" s="22" t="s">
        <v>3833</v>
      </c>
      <c r="E114" s="22">
        <v>-18.5</v>
      </c>
      <c r="F114" s="28">
        <v>-3.08</v>
      </c>
      <c r="G114" s="22" t="s">
        <v>489</v>
      </c>
      <c r="H114" s="22" t="s">
        <v>483</v>
      </c>
      <c r="I114" s="22"/>
    </row>
    <row r="115" spans="1:9" x14ac:dyDescent="0.25">
      <c r="A115" s="22" t="b">
        <v>0</v>
      </c>
      <c r="B115" s="22" t="s">
        <v>960</v>
      </c>
      <c r="C115" s="34">
        <v>45822</v>
      </c>
      <c r="D115" s="22" t="s">
        <v>63</v>
      </c>
      <c r="E115" s="22">
        <v>-6</v>
      </c>
      <c r="F115" s="28">
        <v>-1</v>
      </c>
      <c r="G115" s="22" t="s">
        <v>489</v>
      </c>
      <c r="H115" s="22" t="s">
        <v>483</v>
      </c>
      <c r="I115" s="22"/>
    </row>
    <row r="116" spans="1:9" x14ac:dyDescent="0.25">
      <c r="A116" s="22" t="b">
        <v>0</v>
      </c>
      <c r="B116" s="22" t="s">
        <v>947</v>
      </c>
      <c r="C116" s="34">
        <v>45823</v>
      </c>
      <c r="D116" s="22" t="s">
        <v>120</v>
      </c>
      <c r="E116" s="22">
        <v>-1.42</v>
      </c>
      <c r="F116" s="28">
        <v>-0.24</v>
      </c>
      <c r="G116" s="22" t="s">
        <v>489</v>
      </c>
      <c r="H116" s="22" t="s">
        <v>483</v>
      </c>
      <c r="I116" s="22"/>
    </row>
    <row r="117" spans="1:9" x14ac:dyDescent="0.25">
      <c r="A117" s="22" t="b">
        <v>0</v>
      </c>
      <c r="B117" s="22" t="s">
        <v>948</v>
      </c>
      <c r="C117" s="34">
        <v>45823</v>
      </c>
      <c r="D117" s="22" t="s">
        <v>120</v>
      </c>
      <c r="E117" s="22">
        <v>-0.84</v>
      </c>
      <c r="F117" s="28">
        <v>-0.14000000000000001</v>
      </c>
      <c r="G117" s="22" t="s">
        <v>489</v>
      </c>
      <c r="H117" s="22" t="s">
        <v>483</v>
      </c>
      <c r="I117" s="22"/>
    </row>
    <row r="118" spans="1:9" x14ac:dyDescent="0.25">
      <c r="A118" s="22" t="b">
        <v>0</v>
      </c>
      <c r="B118" s="22" t="s">
        <v>949</v>
      </c>
      <c r="C118" s="34">
        <v>45823</v>
      </c>
      <c r="D118" s="22" t="s">
        <v>120</v>
      </c>
      <c r="E118" s="22">
        <v>-0.84</v>
      </c>
      <c r="F118" s="28">
        <v>-0.14000000000000001</v>
      </c>
      <c r="G118" s="22" t="s">
        <v>489</v>
      </c>
      <c r="H118" s="22" t="s">
        <v>483</v>
      </c>
      <c r="I118" s="22"/>
    </row>
    <row r="119" spans="1:9" x14ac:dyDescent="0.25">
      <c r="A119" s="22" t="b">
        <v>0</v>
      </c>
      <c r="B119" s="22" t="s">
        <v>950</v>
      </c>
      <c r="C119" s="34">
        <v>45823</v>
      </c>
      <c r="D119" s="22" t="s">
        <v>63</v>
      </c>
      <c r="E119" s="22">
        <v>-6</v>
      </c>
      <c r="F119" s="28">
        <v>-1</v>
      </c>
      <c r="G119" s="22" t="s">
        <v>489</v>
      </c>
      <c r="H119" s="22" t="s">
        <v>483</v>
      </c>
      <c r="I119" s="22"/>
    </row>
    <row r="120" spans="1:9" x14ac:dyDescent="0.25">
      <c r="A120" s="22" t="b">
        <v>0</v>
      </c>
      <c r="B120" s="22" t="s">
        <v>944</v>
      </c>
      <c r="C120" s="34">
        <v>45824</v>
      </c>
      <c r="D120" s="22" t="s">
        <v>3835</v>
      </c>
      <c r="E120" s="22">
        <v>-18</v>
      </c>
      <c r="F120" s="28">
        <v>-3</v>
      </c>
      <c r="G120" s="22" t="s">
        <v>489</v>
      </c>
      <c r="H120" s="22" t="s">
        <v>483</v>
      </c>
      <c r="I120" s="22"/>
    </row>
    <row r="121" spans="1:9" x14ac:dyDescent="0.25">
      <c r="A121" s="22" t="b">
        <v>0</v>
      </c>
      <c r="B121" s="22" t="s">
        <v>945</v>
      </c>
      <c r="C121" s="34">
        <v>45824</v>
      </c>
      <c r="D121" s="22" t="s">
        <v>63</v>
      </c>
      <c r="E121" s="22">
        <v>-6</v>
      </c>
      <c r="F121" s="28">
        <v>-1</v>
      </c>
      <c r="G121" s="22" t="s">
        <v>489</v>
      </c>
      <c r="H121" s="22" t="s">
        <v>483</v>
      </c>
      <c r="I121" s="22"/>
    </row>
    <row r="122" spans="1:9" x14ac:dyDescent="0.25">
      <c r="A122" s="22" t="b">
        <v>0</v>
      </c>
      <c r="B122" s="22" t="s">
        <v>935</v>
      </c>
      <c r="C122" s="34">
        <v>45825</v>
      </c>
      <c r="D122" s="22" t="s">
        <v>63</v>
      </c>
      <c r="E122" s="22">
        <v>-6</v>
      </c>
      <c r="F122" s="28">
        <v>-1</v>
      </c>
      <c r="G122" s="22" t="s">
        <v>489</v>
      </c>
      <c r="H122" s="22" t="s">
        <v>483</v>
      </c>
      <c r="I122" s="22"/>
    </row>
    <row r="123" spans="1:9" x14ac:dyDescent="0.25">
      <c r="A123" s="22" t="b">
        <v>0</v>
      </c>
      <c r="B123" s="22" t="s">
        <v>936</v>
      </c>
      <c r="C123" s="34">
        <v>45825</v>
      </c>
      <c r="D123" s="22" t="s">
        <v>3832</v>
      </c>
      <c r="E123" s="22">
        <v>-7.5</v>
      </c>
      <c r="F123" s="28">
        <v>-1.25</v>
      </c>
      <c r="G123" s="22" t="s">
        <v>489</v>
      </c>
      <c r="H123" s="22" t="s">
        <v>483</v>
      </c>
      <c r="I123" s="22"/>
    </row>
    <row r="124" spans="1:9" x14ac:dyDescent="0.25">
      <c r="A124" s="22" t="b">
        <v>0</v>
      </c>
      <c r="B124" s="22" t="s">
        <v>927</v>
      </c>
      <c r="C124" s="34">
        <v>45826</v>
      </c>
      <c r="D124" s="22" t="s">
        <v>3838</v>
      </c>
      <c r="E124" s="22">
        <v>-14.5</v>
      </c>
      <c r="F124" s="28">
        <v>-2.42</v>
      </c>
      <c r="G124" s="22" t="s">
        <v>489</v>
      </c>
      <c r="H124" s="22" t="s">
        <v>483</v>
      </c>
      <c r="I124" s="22"/>
    </row>
    <row r="125" spans="1:9" x14ac:dyDescent="0.25">
      <c r="A125" s="22" t="b">
        <v>0</v>
      </c>
      <c r="B125" s="22" t="s">
        <v>928</v>
      </c>
      <c r="C125" s="34">
        <v>45826</v>
      </c>
      <c r="D125" s="22" t="s">
        <v>3832</v>
      </c>
      <c r="E125" s="22">
        <v>-7.5</v>
      </c>
      <c r="F125" s="28">
        <v>-1.25</v>
      </c>
      <c r="G125" s="22" t="s">
        <v>489</v>
      </c>
      <c r="H125" s="22" t="s">
        <v>483</v>
      </c>
      <c r="I125" s="22"/>
    </row>
    <row r="126" spans="1:9" x14ac:dyDescent="0.25">
      <c r="A126" s="22" t="b">
        <v>0</v>
      </c>
      <c r="B126" s="22" t="s">
        <v>914</v>
      </c>
      <c r="C126" s="34">
        <v>45828</v>
      </c>
      <c r="D126" s="22" t="s">
        <v>3838</v>
      </c>
      <c r="E126" s="22">
        <v>-11.5</v>
      </c>
      <c r="F126" s="28">
        <v>-1.92</v>
      </c>
      <c r="G126" s="22" t="s">
        <v>489</v>
      </c>
      <c r="H126" s="22" t="s">
        <v>483</v>
      </c>
      <c r="I126" s="22"/>
    </row>
    <row r="127" spans="1:9" x14ac:dyDescent="0.25">
      <c r="A127" s="22" t="b">
        <v>0</v>
      </c>
      <c r="B127" s="22" t="s">
        <v>915</v>
      </c>
      <c r="C127" s="34">
        <v>45828</v>
      </c>
      <c r="D127" s="22" t="s">
        <v>63</v>
      </c>
      <c r="E127" s="22">
        <v>-6</v>
      </c>
      <c r="F127" s="28">
        <v>-1</v>
      </c>
      <c r="G127" s="22" t="s">
        <v>489</v>
      </c>
      <c r="H127" s="22" t="s">
        <v>483</v>
      </c>
      <c r="I127" s="22"/>
    </row>
    <row r="128" spans="1:9" x14ac:dyDescent="0.25">
      <c r="A128" s="22" t="b">
        <v>0</v>
      </c>
      <c r="B128" s="22" t="s">
        <v>916</v>
      </c>
      <c r="C128" s="34">
        <v>45828</v>
      </c>
      <c r="D128" s="22" t="s">
        <v>63</v>
      </c>
      <c r="E128" s="22">
        <v>-6</v>
      </c>
      <c r="F128" s="28">
        <v>-1</v>
      </c>
      <c r="G128" s="22" t="s">
        <v>489</v>
      </c>
      <c r="H128" s="22" t="s">
        <v>483</v>
      </c>
      <c r="I128" s="22"/>
    </row>
    <row r="129" spans="1:9" x14ac:dyDescent="0.25">
      <c r="A129" s="22" t="b">
        <v>0</v>
      </c>
      <c r="B129" s="22" t="s">
        <v>917</v>
      </c>
      <c r="C129" s="34">
        <v>45828</v>
      </c>
      <c r="D129" s="22" t="s">
        <v>3832</v>
      </c>
      <c r="E129" s="22">
        <v>-14.5</v>
      </c>
      <c r="F129" s="28">
        <v>-2.42</v>
      </c>
      <c r="G129" s="22" t="s">
        <v>489</v>
      </c>
      <c r="H129" s="22" t="s">
        <v>483</v>
      </c>
      <c r="I129" s="22"/>
    </row>
    <row r="130" spans="1:9" x14ac:dyDescent="0.25">
      <c r="A130" s="22" t="b">
        <v>0</v>
      </c>
      <c r="B130" s="22" t="s">
        <v>918</v>
      </c>
      <c r="C130" s="34">
        <v>45828</v>
      </c>
      <c r="D130" s="22" t="s">
        <v>3832</v>
      </c>
      <c r="E130" s="22">
        <v>-14.5</v>
      </c>
      <c r="F130" s="28">
        <v>-2.42</v>
      </c>
      <c r="G130" s="22" t="s">
        <v>489</v>
      </c>
      <c r="H130" s="22" t="s">
        <v>483</v>
      </c>
      <c r="I130" s="22"/>
    </row>
    <row r="131" spans="1:9" x14ac:dyDescent="0.25">
      <c r="A131" s="22" t="b">
        <v>0</v>
      </c>
      <c r="B131" s="22" t="s">
        <v>896</v>
      </c>
      <c r="C131" s="34">
        <v>45829</v>
      </c>
      <c r="D131" s="22" t="s">
        <v>3833</v>
      </c>
      <c r="E131" s="22">
        <v>-7.5</v>
      </c>
      <c r="F131" s="28">
        <v>-1.25</v>
      </c>
      <c r="G131" s="22" t="s">
        <v>489</v>
      </c>
      <c r="H131" s="22" t="s">
        <v>483</v>
      </c>
      <c r="I131" s="22"/>
    </row>
    <row r="132" spans="1:9" x14ac:dyDescent="0.25">
      <c r="A132" s="22" t="b">
        <v>0</v>
      </c>
      <c r="B132" s="22" t="s">
        <v>897</v>
      </c>
      <c r="C132" s="34">
        <v>45829</v>
      </c>
      <c r="D132" s="22" t="s">
        <v>63</v>
      </c>
      <c r="E132" s="22">
        <v>-6</v>
      </c>
      <c r="F132" s="28">
        <v>-1</v>
      </c>
      <c r="G132" s="22" t="s">
        <v>489</v>
      </c>
      <c r="H132" s="22" t="s">
        <v>483</v>
      </c>
      <c r="I132" s="22"/>
    </row>
    <row r="133" spans="1:9" x14ac:dyDescent="0.25">
      <c r="A133" s="22" t="b">
        <v>0</v>
      </c>
      <c r="B133" s="22" t="s">
        <v>898</v>
      </c>
      <c r="C133" s="34">
        <v>45829</v>
      </c>
      <c r="D133" s="22" t="s">
        <v>63</v>
      </c>
      <c r="E133" s="22">
        <v>-6</v>
      </c>
      <c r="F133" s="28">
        <v>-1</v>
      </c>
      <c r="G133" s="22" t="s">
        <v>489</v>
      </c>
      <c r="H133" s="22" t="s">
        <v>483</v>
      </c>
      <c r="I133" s="22"/>
    </row>
    <row r="134" spans="1:9" x14ac:dyDescent="0.25">
      <c r="A134" s="22" t="b">
        <v>0</v>
      </c>
      <c r="B134" s="22" t="s">
        <v>899</v>
      </c>
      <c r="C134" s="34">
        <v>45829</v>
      </c>
      <c r="D134" s="22" t="s">
        <v>63</v>
      </c>
      <c r="E134" s="22">
        <v>-6</v>
      </c>
      <c r="F134" s="28">
        <v>-1</v>
      </c>
      <c r="G134" s="22" t="s">
        <v>489</v>
      </c>
      <c r="H134" s="22" t="s">
        <v>483</v>
      </c>
      <c r="I134" s="22"/>
    </row>
    <row r="135" spans="1:9" x14ac:dyDescent="0.25">
      <c r="A135" s="22" t="b">
        <v>0</v>
      </c>
      <c r="B135" s="22" t="s">
        <v>888</v>
      </c>
      <c r="C135" s="34">
        <v>45830</v>
      </c>
      <c r="D135" s="22" t="s">
        <v>206</v>
      </c>
      <c r="E135" s="22">
        <v>-7.5</v>
      </c>
      <c r="F135" s="28">
        <v>-1.25</v>
      </c>
      <c r="G135" s="22" t="s">
        <v>489</v>
      </c>
      <c r="H135" s="22" t="s">
        <v>483</v>
      </c>
      <c r="I135" s="22"/>
    </row>
    <row r="136" spans="1:9" x14ac:dyDescent="0.25">
      <c r="A136" s="22" t="b">
        <v>0</v>
      </c>
      <c r="B136" s="22" t="s">
        <v>889</v>
      </c>
      <c r="C136" s="34">
        <v>45830</v>
      </c>
      <c r="D136" s="22" t="s">
        <v>206</v>
      </c>
      <c r="E136" s="22">
        <v>-7.5</v>
      </c>
      <c r="F136" s="28">
        <v>-1.25</v>
      </c>
      <c r="G136" s="22" t="s">
        <v>489</v>
      </c>
      <c r="H136" s="22" t="s">
        <v>483</v>
      </c>
      <c r="I136" s="22"/>
    </row>
    <row r="137" spans="1:9" x14ac:dyDescent="0.25">
      <c r="A137" s="22" t="b">
        <v>0</v>
      </c>
      <c r="B137" s="22" t="s">
        <v>882</v>
      </c>
      <c r="C137" s="34">
        <v>45831</v>
      </c>
      <c r="D137" s="22" t="s">
        <v>3838</v>
      </c>
      <c r="E137" s="22">
        <v>-11.5</v>
      </c>
      <c r="F137" s="28">
        <v>-1.92</v>
      </c>
      <c r="G137" s="22" t="s">
        <v>489</v>
      </c>
      <c r="H137" s="22" t="s">
        <v>483</v>
      </c>
      <c r="I137" s="22"/>
    </row>
    <row r="138" spans="1:9" x14ac:dyDescent="0.25">
      <c r="A138" s="22" t="b">
        <v>0</v>
      </c>
      <c r="B138" s="22" t="s">
        <v>883</v>
      </c>
      <c r="C138" s="34">
        <v>45831</v>
      </c>
      <c r="D138" s="22" t="s">
        <v>63</v>
      </c>
      <c r="E138" s="22">
        <v>-6</v>
      </c>
      <c r="F138" s="28">
        <v>-1</v>
      </c>
      <c r="G138" s="22" t="s">
        <v>489</v>
      </c>
      <c r="H138" s="22" t="s">
        <v>483</v>
      </c>
      <c r="I138" s="22"/>
    </row>
    <row r="139" spans="1:9" x14ac:dyDescent="0.25">
      <c r="A139" s="22" t="b">
        <v>0</v>
      </c>
      <c r="B139" s="22" t="s">
        <v>884</v>
      </c>
      <c r="C139" s="34">
        <v>45831</v>
      </c>
      <c r="D139" s="22" t="s">
        <v>63</v>
      </c>
      <c r="E139" s="22">
        <v>-6</v>
      </c>
      <c r="F139" s="28">
        <v>-1</v>
      </c>
      <c r="G139" s="22" t="s">
        <v>489</v>
      </c>
      <c r="H139" s="22" t="s">
        <v>483</v>
      </c>
      <c r="I139" s="22"/>
    </row>
    <row r="140" spans="1:9" x14ac:dyDescent="0.25">
      <c r="A140" s="22" t="b">
        <v>0</v>
      </c>
      <c r="B140" s="22" t="s">
        <v>869</v>
      </c>
      <c r="C140" s="34">
        <v>45832</v>
      </c>
      <c r="D140" s="22" t="s">
        <v>120</v>
      </c>
      <c r="E140" s="22">
        <v>-1.17</v>
      </c>
      <c r="F140" s="28">
        <v>-0.19</v>
      </c>
      <c r="G140" s="22" t="s">
        <v>489</v>
      </c>
      <c r="H140" s="22" t="s">
        <v>483</v>
      </c>
      <c r="I140" s="22"/>
    </row>
    <row r="141" spans="1:9" x14ac:dyDescent="0.25">
      <c r="A141" s="22" t="b">
        <v>0</v>
      </c>
      <c r="B141" s="22" t="s">
        <v>870</v>
      </c>
      <c r="C141" s="34">
        <v>45832</v>
      </c>
      <c r="D141" s="22" t="s">
        <v>63</v>
      </c>
      <c r="E141" s="22">
        <v>-6</v>
      </c>
      <c r="F141" s="28">
        <v>-1</v>
      </c>
      <c r="G141" s="22" t="s">
        <v>489</v>
      </c>
      <c r="H141" s="22" t="s">
        <v>483</v>
      </c>
      <c r="I141" s="22"/>
    </row>
    <row r="142" spans="1:9" x14ac:dyDescent="0.25">
      <c r="A142" s="22" t="b">
        <v>0</v>
      </c>
      <c r="B142" s="22" t="s">
        <v>860</v>
      </c>
      <c r="C142" s="34">
        <v>45833</v>
      </c>
      <c r="D142" s="22" t="s">
        <v>120</v>
      </c>
      <c r="E142" s="22">
        <v>-0.59</v>
      </c>
      <c r="F142" s="28">
        <v>-0.1</v>
      </c>
      <c r="G142" s="22" t="s">
        <v>489</v>
      </c>
      <c r="H142" s="22" t="s">
        <v>483</v>
      </c>
      <c r="I142" s="22"/>
    </row>
    <row r="143" spans="1:9" x14ac:dyDescent="0.25">
      <c r="A143" s="22" t="b">
        <v>0</v>
      </c>
      <c r="B143" s="22" t="s">
        <v>846</v>
      </c>
      <c r="C143" s="34">
        <v>45834</v>
      </c>
      <c r="D143" s="22" t="s">
        <v>120</v>
      </c>
      <c r="E143" s="22">
        <v>-1.99</v>
      </c>
      <c r="F143" s="28">
        <v>-0.33</v>
      </c>
      <c r="G143" s="22" t="s">
        <v>489</v>
      </c>
      <c r="H143" s="22" t="s">
        <v>483</v>
      </c>
      <c r="I143" s="22"/>
    </row>
    <row r="144" spans="1:9" x14ac:dyDescent="0.25">
      <c r="A144" s="22" t="b">
        <v>0</v>
      </c>
      <c r="B144" s="22" t="s">
        <v>847</v>
      </c>
      <c r="C144" s="34">
        <v>45834</v>
      </c>
      <c r="D144" s="22" t="s">
        <v>120</v>
      </c>
      <c r="E144" s="22">
        <v>-0.59</v>
      </c>
      <c r="F144" s="28">
        <v>-0.1</v>
      </c>
      <c r="G144" s="22" t="s">
        <v>489</v>
      </c>
      <c r="H144" s="22" t="s">
        <v>483</v>
      </c>
      <c r="I144" s="22"/>
    </row>
    <row r="145" spans="1:9" x14ac:dyDescent="0.25">
      <c r="A145" s="22" t="b">
        <v>0</v>
      </c>
      <c r="B145" s="22" t="s">
        <v>850</v>
      </c>
      <c r="C145" s="34">
        <v>45834</v>
      </c>
      <c r="D145" s="22" t="s">
        <v>170</v>
      </c>
      <c r="E145" s="22">
        <v>-7</v>
      </c>
      <c r="F145" s="28">
        <v>-1.17</v>
      </c>
      <c r="G145" s="22" t="s">
        <v>489</v>
      </c>
      <c r="H145" s="22" t="s">
        <v>483</v>
      </c>
      <c r="I145" s="22"/>
    </row>
    <row r="146" spans="1:9" x14ac:dyDescent="0.25">
      <c r="A146" s="22" t="b">
        <v>0</v>
      </c>
      <c r="B146" s="22" t="s">
        <v>851</v>
      </c>
      <c r="C146" s="34">
        <v>45834</v>
      </c>
      <c r="D146" s="22" t="s">
        <v>170</v>
      </c>
      <c r="E146" s="22">
        <v>-7</v>
      </c>
      <c r="F146" s="28">
        <v>-1.17</v>
      </c>
      <c r="G146" s="22" t="s">
        <v>489</v>
      </c>
      <c r="H146" s="22" t="s">
        <v>483</v>
      </c>
      <c r="I146" s="22"/>
    </row>
    <row r="147" spans="1:9" x14ac:dyDescent="0.25">
      <c r="A147" s="22" t="b">
        <v>0</v>
      </c>
      <c r="B147" s="22" t="s">
        <v>853</v>
      </c>
      <c r="C147" s="34">
        <v>45834</v>
      </c>
      <c r="D147" s="22" t="s">
        <v>3833</v>
      </c>
      <c r="E147" s="22">
        <v>-14.5</v>
      </c>
      <c r="F147" s="28">
        <v>-2.42</v>
      </c>
      <c r="G147" s="22" t="s">
        <v>489</v>
      </c>
      <c r="H147" s="22" t="s">
        <v>483</v>
      </c>
      <c r="I147" s="22"/>
    </row>
    <row r="148" spans="1:9" x14ac:dyDescent="0.25">
      <c r="A148" s="22" t="b">
        <v>0</v>
      </c>
      <c r="B148" s="22" t="s">
        <v>854</v>
      </c>
      <c r="C148" s="34">
        <v>45834</v>
      </c>
      <c r="D148" s="22" t="s">
        <v>63</v>
      </c>
      <c r="E148" s="22">
        <v>-6</v>
      </c>
      <c r="F148" s="28">
        <v>-1</v>
      </c>
      <c r="G148" s="22" t="s">
        <v>489</v>
      </c>
      <c r="H148" s="22" t="s">
        <v>483</v>
      </c>
      <c r="I148" s="22"/>
    </row>
    <row r="149" spans="1:9" x14ac:dyDescent="0.25">
      <c r="A149" s="22" t="b">
        <v>0</v>
      </c>
      <c r="B149" s="22" t="s">
        <v>855</v>
      </c>
      <c r="C149" s="34">
        <v>45834</v>
      </c>
      <c r="D149" s="22" t="s">
        <v>63</v>
      </c>
      <c r="E149" s="22">
        <v>-6</v>
      </c>
      <c r="F149" s="28">
        <v>-1</v>
      </c>
      <c r="G149" s="22" t="s">
        <v>489</v>
      </c>
      <c r="H149" s="22" t="s">
        <v>483</v>
      </c>
      <c r="I149" s="22"/>
    </row>
    <row r="150" spans="1:9" x14ac:dyDescent="0.25">
      <c r="A150" s="22" t="b">
        <v>0</v>
      </c>
      <c r="B150" s="22" t="s">
        <v>839</v>
      </c>
      <c r="C150" s="34">
        <v>45835</v>
      </c>
      <c r="D150" s="22" t="s">
        <v>3838</v>
      </c>
      <c r="E150" s="22">
        <v>-7.5</v>
      </c>
      <c r="F150" s="28">
        <v>-1.25</v>
      </c>
      <c r="G150" s="22" t="s">
        <v>489</v>
      </c>
      <c r="H150" s="22" t="s">
        <v>483</v>
      </c>
      <c r="I150" s="22"/>
    </row>
    <row r="151" spans="1:9" x14ac:dyDescent="0.25">
      <c r="A151" s="22" t="b">
        <v>0</v>
      </c>
      <c r="B151" s="22" t="s">
        <v>840</v>
      </c>
      <c r="C151" s="34">
        <v>45835</v>
      </c>
      <c r="D151" s="22" t="s">
        <v>3838</v>
      </c>
      <c r="E151" s="22">
        <v>-18.5</v>
      </c>
      <c r="F151" s="28">
        <v>-3.08</v>
      </c>
      <c r="G151" s="22" t="s">
        <v>489</v>
      </c>
      <c r="H151" s="22" t="s">
        <v>483</v>
      </c>
      <c r="I151" s="22"/>
    </row>
    <row r="152" spans="1:9" x14ac:dyDescent="0.25">
      <c r="A152" s="22" t="b">
        <v>0</v>
      </c>
      <c r="B152" s="22" t="s">
        <v>841</v>
      </c>
      <c r="C152" s="34">
        <v>45835</v>
      </c>
      <c r="D152" s="22" t="s">
        <v>63</v>
      </c>
      <c r="E152" s="22">
        <v>-6</v>
      </c>
      <c r="F152" s="28">
        <v>-1</v>
      </c>
      <c r="G152" s="22" t="s">
        <v>489</v>
      </c>
      <c r="H152" s="22" t="s">
        <v>483</v>
      </c>
      <c r="I152" s="22"/>
    </row>
    <row r="153" spans="1:9" x14ac:dyDescent="0.25">
      <c r="A153" s="22" t="b">
        <v>0</v>
      </c>
      <c r="B153" s="22" t="s">
        <v>842</v>
      </c>
      <c r="C153" s="34">
        <v>45835</v>
      </c>
      <c r="D153" s="22" t="s">
        <v>63</v>
      </c>
      <c r="E153" s="22">
        <v>-6</v>
      </c>
      <c r="F153" s="28">
        <v>-1</v>
      </c>
      <c r="G153" s="22" t="s">
        <v>489</v>
      </c>
      <c r="H153" s="22" t="s">
        <v>483</v>
      </c>
      <c r="I153" s="22"/>
    </row>
    <row r="154" spans="1:9" x14ac:dyDescent="0.25">
      <c r="A154" s="22" t="b">
        <v>0</v>
      </c>
      <c r="B154" s="22" t="s">
        <v>833</v>
      </c>
      <c r="C154" s="34">
        <v>45836</v>
      </c>
      <c r="D154" s="22" t="s">
        <v>3838</v>
      </c>
      <c r="E154" s="22">
        <v>-11.5</v>
      </c>
      <c r="F154" s="28">
        <v>-1.92</v>
      </c>
      <c r="G154" s="22" t="s">
        <v>489</v>
      </c>
      <c r="H154" s="22" t="s">
        <v>483</v>
      </c>
      <c r="I154" s="22"/>
    </row>
    <row r="155" spans="1:9" x14ac:dyDescent="0.25">
      <c r="A155" s="22" t="b">
        <v>0</v>
      </c>
      <c r="B155" s="22" t="s">
        <v>828</v>
      </c>
      <c r="C155" s="34">
        <v>45837</v>
      </c>
      <c r="D155" s="22" t="s">
        <v>3833</v>
      </c>
      <c r="E155" s="22">
        <v>-7.5</v>
      </c>
      <c r="F155" s="28">
        <v>-1.25</v>
      </c>
      <c r="G155" s="22" t="s">
        <v>489</v>
      </c>
      <c r="H155" s="22" t="s">
        <v>483</v>
      </c>
      <c r="I155" s="22"/>
    </row>
    <row r="156" spans="1:9" x14ac:dyDescent="0.25">
      <c r="A156" s="22" t="b">
        <v>0</v>
      </c>
      <c r="B156" s="22" t="s">
        <v>829</v>
      </c>
      <c r="C156" s="34">
        <v>45837</v>
      </c>
      <c r="D156" s="22" t="s">
        <v>63</v>
      </c>
      <c r="E156" s="22">
        <v>-6</v>
      </c>
      <c r="F156" s="28">
        <v>-1</v>
      </c>
      <c r="G156" s="22" t="s">
        <v>489</v>
      </c>
      <c r="H156" s="22" t="s">
        <v>483</v>
      </c>
      <c r="I156" s="22"/>
    </row>
    <row r="157" spans="1:9" x14ac:dyDescent="0.25">
      <c r="A157" s="22" t="b">
        <v>0</v>
      </c>
      <c r="B157" s="22" t="s">
        <v>830</v>
      </c>
      <c r="C157" s="34">
        <v>45837</v>
      </c>
      <c r="D157" s="22" t="s">
        <v>3834</v>
      </c>
      <c r="E157" s="22">
        <v>-7</v>
      </c>
      <c r="F157" s="28">
        <v>-1.17</v>
      </c>
      <c r="G157" s="22" t="s">
        <v>489</v>
      </c>
      <c r="H157" s="22" t="s">
        <v>483</v>
      </c>
      <c r="I157" s="22"/>
    </row>
    <row r="158" spans="1:9" x14ac:dyDescent="0.25">
      <c r="A158" s="22" t="b">
        <v>0</v>
      </c>
      <c r="B158" s="22" t="s">
        <v>818</v>
      </c>
      <c r="C158" s="34">
        <v>45838</v>
      </c>
      <c r="D158" s="22" t="s">
        <v>3838</v>
      </c>
      <c r="E158" s="22">
        <v>-7.5</v>
      </c>
      <c r="F158" s="28">
        <v>-1.25</v>
      </c>
      <c r="G158" s="22" t="s">
        <v>489</v>
      </c>
      <c r="H158" s="22" t="s">
        <v>483</v>
      </c>
      <c r="I158" s="22"/>
    </row>
    <row r="159" spans="1:9" x14ac:dyDescent="0.25">
      <c r="A159" s="22" t="b">
        <v>0</v>
      </c>
      <c r="B159" s="22" t="s">
        <v>819</v>
      </c>
      <c r="C159" s="34">
        <v>45838</v>
      </c>
      <c r="D159" s="22" t="s">
        <v>3833</v>
      </c>
      <c r="E159" s="22">
        <v>-18.5</v>
      </c>
      <c r="F159" s="28">
        <v>-3.08</v>
      </c>
      <c r="G159" s="22" t="s">
        <v>489</v>
      </c>
      <c r="H159" s="22" t="s">
        <v>483</v>
      </c>
      <c r="I159" s="22"/>
    </row>
    <row r="160" spans="1:9" x14ac:dyDescent="0.25">
      <c r="A160" s="22" t="b">
        <v>0</v>
      </c>
      <c r="B160" s="22" t="s">
        <v>820</v>
      </c>
      <c r="C160" s="34">
        <v>45838</v>
      </c>
      <c r="D160" s="22" t="s">
        <v>3833</v>
      </c>
      <c r="E160" s="22">
        <v>-18.5</v>
      </c>
      <c r="F160" s="28">
        <v>-3.08</v>
      </c>
      <c r="G160" s="22" t="s">
        <v>489</v>
      </c>
      <c r="H160" s="22" t="s">
        <v>483</v>
      </c>
      <c r="I160" s="22"/>
    </row>
    <row r="161" spans="1:9" x14ac:dyDescent="0.25">
      <c r="A161" s="22" t="b">
        <v>0</v>
      </c>
      <c r="B161" s="22" t="s">
        <v>801</v>
      </c>
      <c r="C161" s="34">
        <v>45839</v>
      </c>
      <c r="D161" s="22" t="s">
        <v>3838</v>
      </c>
      <c r="E161" s="22">
        <v>-11</v>
      </c>
      <c r="F161" s="28">
        <v>-1.83</v>
      </c>
      <c r="G161" s="22" t="s">
        <v>489</v>
      </c>
      <c r="H161" s="22" t="s">
        <v>483</v>
      </c>
      <c r="I161" s="22"/>
    </row>
    <row r="162" spans="1:9" x14ac:dyDescent="0.25">
      <c r="A162" s="22" t="b">
        <v>0</v>
      </c>
      <c r="B162" s="22" t="s">
        <v>802</v>
      </c>
      <c r="C162" s="34">
        <v>45839</v>
      </c>
      <c r="D162" s="22" t="s">
        <v>3838</v>
      </c>
      <c r="E162" s="22">
        <v>-7.5</v>
      </c>
      <c r="F162" s="28">
        <v>-1.25</v>
      </c>
      <c r="G162" s="22" t="s">
        <v>489</v>
      </c>
      <c r="H162" s="22" t="s">
        <v>483</v>
      </c>
      <c r="I162" s="22"/>
    </row>
    <row r="163" spans="1:9" x14ac:dyDescent="0.25">
      <c r="A163" s="22" t="b">
        <v>0</v>
      </c>
      <c r="B163" s="22" t="s">
        <v>803</v>
      </c>
      <c r="C163" s="34">
        <v>45839</v>
      </c>
      <c r="D163" s="22" t="s">
        <v>3838</v>
      </c>
      <c r="E163" s="22">
        <v>-7.5</v>
      </c>
      <c r="F163" s="28">
        <v>-1.25</v>
      </c>
      <c r="G163" s="22" t="s">
        <v>489</v>
      </c>
      <c r="H163" s="22" t="s">
        <v>483</v>
      </c>
      <c r="I163" s="22"/>
    </row>
    <row r="164" spans="1:9" x14ac:dyDescent="0.25">
      <c r="A164" s="22" t="b">
        <v>0</v>
      </c>
      <c r="B164" s="22" t="s">
        <v>804</v>
      </c>
      <c r="C164" s="34">
        <v>45839</v>
      </c>
      <c r="D164" s="22" t="s">
        <v>63</v>
      </c>
      <c r="E164" s="22">
        <v>-6</v>
      </c>
      <c r="F164" s="28">
        <v>-1</v>
      </c>
      <c r="G164" s="22" t="s">
        <v>489</v>
      </c>
      <c r="H164" s="22" t="s">
        <v>483</v>
      </c>
      <c r="I164" s="22"/>
    </row>
    <row r="165" spans="1:9" x14ac:dyDescent="0.25">
      <c r="A165" s="22" t="b">
        <v>0</v>
      </c>
      <c r="B165" s="22" t="s">
        <v>805</v>
      </c>
      <c r="C165" s="34">
        <v>45839</v>
      </c>
      <c r="D165" s="22" t="s">
        <v>63</v>
      </c>
      <c r="E165" s="22">
        <v>-6</v>
      </c>
      <c r="F165" s="28">
        <v>-1</v>
      </c>
      <c r="G165" s="22" t="s">
        <v>489</v>
      </c>
      <c r="H165" s="22" t="s">
        <v>483</v>
      </c>
      <c r="I165" s="22"/>
    </row>
    <row r="166" spans="1:9" x14ac:dyDescent="0.25">
      <c r="A166" s="22" t="b">
        <v>0</v>
      </c>
      <c r="B166" s="22" t="s">
        <v>806</v>
      </c>
      <c r="C166" s="34">
        <v>45839</v>
      </c>
      <c r="D166" s="22" t="s">
        <v>63</v>
      </c>
      <c r="E166" s="22">
        <v>-6</v>
      </c>
      <c r="F166" s="28">
        <v>-1</v>
      </c>
      <c r="G166" s="22" t="s">
        <v>489</v>
      </c>
      <c r="H166" s="22" t="s">
        <v>483</v>
      </c>
      <c r="I166" s="22"/>
    </row>
    <row r="167" spans="1:9" x14ac:dyDescent="0.25">
      <c r="A167" s="22" t="b">
        <v>0</v>
      </c>
      <c r="B167" s="22" t="s">
        <v>794</v>
      </c>
      <c r="C167" s="34">
        <v>45840</v>
      </c>
      <c r="D167" s="22" t="s">
        <v>63</v>
      </c>
      <c r="E167" s="22">
        <v>-6</v>
      </c>
      <c r="F167" s="28">
        <v>-1</v>
      </c>
      <c r="G167" s="22" t="s">
        <v>489</v>
      </c>
      <c r="H167" s="22" t="s">
        <v>483</v>
      </c>
      <c r="I167" s="22"/>
    </row>
    <row r="168" spans="1:9" x14ac:dyDescent="0.25">
      <c r="A168" s="22" t="b">
        <v>0</v>
      </c>
      <c r="B168" s="22" t="s">
        <v>771</v>
      </c>
      <c r="C168" s="34">
        <v>45842</v>
      </c>
      <c r="D168" s="22" t="s">
        <v>3833</v>
      </c>
      <c r="E168" s="22">
        <v>-11.5</v>
      </c>
      <c r="F168" s="28">
        <v>-1.92</v>
      </c>
      <c r="G168" s="22" t="s">
        <v>489</v>
      </c>
      <c r="H168" s="22" t="s">
        <v>483</v>
      </c>
      <c r="I168" s="22"/>
    </row>
    <row r="169" spans="1:9" x14ac:dyDescent="0.25">
      <c r="A169" s="22" t="b">
        <v>0</v>
      </c>
      <c r="B169" s="22" t="s">
        <v>772</v>
      </c>
      <c r="C169" s="34">
        <v>45842</v>
      </c>
      <c r="D169" s="22" t="s">
        <v>63</v>
      </c>
      <c r="E169" s="22">
        <v>-6</v>
      </c>
      <c r="F169" s="28">
        <v>-1</v>
      </c>
      <c r="G169" s="22" t="s">
        <v>489</v>
      </c>
      <c r="H169" s="22" t="s">
        <v>483</v>
      </c>
      <c r="I169" s="22"/>
    </row>
    <row r="170" spans="1:9" x14ac:dyDescent="0.25">
      <c r="A170" s="22" t="b">
        <v>0</v>
      </c>
      <c r="B170" s="22" t="s">
        <v>756</v>
      </c>
      <c r="C170" s="34">
        <v>45843</v>
      </c>
      <c r="D170" s="22" t="s">
        <v>3841</v>
      </c>
      <c r="E170" s="22">
        <v>-60</v>
      </c>
      <c r="F170" s="28">
        <v>-10</v>
      </c>
      <c r="G170" s="22" t="s">
        <v>489</v>
      </c>
      <c r="H170" s="22" t="s">
        <v>483</v>
      </c>
      <c r="I170" s="22"/>
    </row>
    <row r="171" spans="1:9" x14ac:dyDescent="0.25">
      <c r="A171" s="22" t="b">
        <v>0</v>
      </c>
      <c r="B171" s="22" t="s">
        <v>758</v>
      </c>
      <c r="C171" s="34">
        <v>45843</v>
      </c>
      <c r="D171" s="22" t="s">
        <v>3838</v>
      </c>
      <c r="E171" s="22">
        <v>-7.5</v>
      </c>
      <c r="F171" s="28">
        <v>-1.25</v>
      </c>
      <c r="G171" s="22" t="s">
        <v>489</v>
      </c>
      <c r="H171" s="22" t="s">
        <v>483</v>
      </c>
      <c r="I171" s="22"/>
    </row>
    <row r="172" spans="1:9" x14ac:dyDescent="0.25">
      <c r="A172" s="22" t="b">
        <v>0</v>
      </c>
      <c r="B172" s="22" t="s">
        <v>759</v>
      </c>
      <c r="C172" s="34">
        <v>45843</v>
      </c>
      <c r="D172" s="22" t="s">
        <v>3842</v>
      </c>
      <c r="E172" s="22">
        <v>-1.2</v>
      </c>
      <c r="F172" s="28">
        <v>-0.2</v>
      </c>
      <c r="G172" s="22" t="s">
        <v>489</v>
      </c>
      <c r="H172" s="22" t="s">
        <v>483</v>
      </c>
      <c r="I172" s="22"/>
    </row>
    <row r="173" spans="1:9" x14ac:dyDescent="0.25">
      <c r="A173" s="22" t="b">
        <v>0</v>
      </c>
      <c r="B173" s="22" t="s">
        <v>760</v>
      </c>
      <c r="C173" s="34">
        <v>45843</v>
      </c>
      <c r="D173" s="22" t="s">
        <v>63</v>
      </c>
      <c r="E173" s="22">
        <v>-6</v>
      </c>
      <c r="F173" s="28">
        <v>-1</v>
      </c>
      <c r="G173" s="22" t="s">
        <v>489</v>
      </c>
      <c r="H173" s="22" t="s">
        <v>483</v>
      </c>
      <c r="I173" s="22"/>
    </row>
    <row r="174" spans="1:9" x14ac:dyDescent="0.25">
      <c r="A174" s="22" t="b">
        <v>0</v>
      </c>
      <c r="B174" s="22" t="s">
        <v>761</v>
      </c>
      <c r="C174" s="34">
        <v>45843</v>
      </c>
      <c r="D174" s="22" t="s">
        <v>3832</v>
      </c>
      <c r="E174" s="22">
        <v>-7.5</v>
      </c>
      <c r="F174" s="28">
        <v>-1.25</v>
      </c>
      <c r="G174" s="22" t="s">
        <v>489</v>
      </c>
      <c r="H174" s="22" t="s">
        <v>483</v>
      </c>
      <c r="I174" s="22"/>
    </row>
    <row r="175" spans="1:9" x14ac:dyDescent="0.25">
      <c r="A175" s="22" t="b">
        <v>0</v>
      </c>
      <c r="B175" s="22" t="s">
        <v>762</v>
      </c>
      <c r="C175" s="34">
        <v>45843</v>
      </c>
      <c r="D175" s="22" t="s">
        <v>3834</v>
      </c>
      <c r="E175" s="22">
        <v>-10</v>
      </c>
      <c r="F175" s="28">
        <v>-1.67</v>
      </c>
      <c r="G175" s="22" t="s">
        <v>489</v>
      </c>
      <c r="H175" s="22" t="s">
        <v>483</v>
      </c>
      <c r="I175" s="22"/>
    </row>
    <row r="176" spans="1:9" x14ac:dyDescent="0.25">
      <c r="A176" s="22" t="b">
        <v>0</v>
      </c>
      <c r="B176" s="22" t="s">
        <v>763</v>
      </c>
      <c r="C176" s="34">
        <v>45843</v>
      </c>
      <c r="D176" s="22" t="s">
        <v>3834</v>
      </c>
      <c r="E176" s="22">
        <v>-7</v>
      </c>
      <c r="F176" s="28">
        <v>-1.17</v>
      </c>
      <c r="G176" s="22" t="s">
        <v>489</v>
      </c>
      <c r="H176" s="22" t="s">
        <v>483</v>
      </c>
      <c r="I176" s="22"/>
    </row>
    <row r="177" spans="1:9" x14ac:dyDescent="0.25">
      <c r="A177" s="22" t="b">
        <v>0</v>
      </c>
      <c r="B177" s="22" t="s">
        <v>748</v>
      </c>
      <c r="C177" s="34">
        <v>45844</v>
      </c>
      <c r="D177" s="22" t="s">
        <v>63</v>
      </c>
      <c r="E177" s="22">
        <v>-6</v>
      </c>
      <c r="F177" s="28">
        <v>-1</v>
      </c>
      <c r="G177" s="22" t="s">
        <v>489</v>
      </c>
      <c r="H177" s="22" t="s">
        <v>483</v>
      </c>
      <c r="I177" s="22"/>
    </row>
    <row r="178" spans="1:9" x14ac:dyDescent="0.25">
      <c r="A178" s="22" t="b">
        <v>0</v>
      </c>
      <c r="B178" s="22" t="s">
        <v>749</v>
      </c>
      <c r="C178" s="34">
        <v>45844</v>
      </c>
      <c r="D178" s="22" t="s">
        <v>63</v>
      </c>
      <c r="E178" s="22">
        <v>-6</v>
      </c>
      <c r="F178" s="28">
        <v>-1</v>
      </c>
      <c r="G178" s="22" t="s">
        <v>489</v>
      </c>
      <c r="H178" s="22" t="s">
        <v>483</v>
      </c>
      <c r="I178" s="22"/>
    </row>
    <row r="179" spans="1:9" x14ac:dyDescent="0.25">
      <c r="A179" s="22" t="b">
        <v>0</v>
      </c>
      <c r="B179" s="22" t="s">
        <v>750</v>
      </c>
      <c r="C179" s="34">
        <v>45844</v>
      </c>
      <c r="D179" s="22" t="s">
        <v>3832</v>
      </c>
      <c r="E179" s="22">
        <v>-7.5</v>
      </c>
      <c r="F179" s="28">
        <v>-1.25</v>
      </c>
      <c r="G179" s="22" t="s">
        <v>489</v>
      </c>
      <c r="H179" s="22" t="s">
        <v>483</v>
      </c>
      <c r="I179" s="22"/>
    </row>
    <row r="180" spans="1:9" x14ac:dyDescent="0.25">
      <c r="A180" s="22" t="b">
        <v>0</v>
      </c>
      <c r="B180" s="22" t="s">
        <v>734</v>
      </c>
      <c r="C180" s="34">
        <v>45845</v>
      </c>
      <c r="D180" s="22" t="s">
        <v>3838</v>
      </c>
      <c r="E180" s="22">
        <v>-7.5</v>
      </c>
      <c r="F180" s="28">
        <v>-1.25</v>
      </c>
      <c r="G180" s="22" t="s">
        <v>489</v>
      </c>
      <c r="H180" s="22" t="s">
        <v>483</v>
      </c>
      <c r="I180" s="22"/>
    </row>
    <row r="181" spans="1:9" x14ac:dyDescent="0.25">
      <c r="A181" s="22" t="b">
        <v>0</v>
      </c>
      <c r="B181" s="22" t="s">
        <v>735</v>
      </c>
      <c r="C181" s="34">
        <v>45845</v>
      </c>
      <c r="D181" s="22" t="s">
        <v>206</v>
      </c>
      <c r="E181" s="22">
        <v>-18.5</v>
      </c>
      <c r="F181" s="28">
        <v>-3.08</v>
      </c>
      <c r="G181" s="22" t="s">
        <v>489</v>
      </c>
      <c r="H181" s="22" t="s">
        <v>483</v>
      </c>
      <c r="I181" s="22"/>
    </row>
    <row r="182" spans="1:9" x14ac:dyDescent="0.25">
      <c r="A182" s="22" t="b">
        <v>0</v>
      </c>
      <c r="B182" s="22" t="s">
        <v>736</v>
      </c>
      <c r="C182" s="34">
        <v>45845</v>
      </c>
      <c r="D182" s="22" t="s">
        <v>63</v>
      </c>
      <c r="E182" s="22">
        <v>-6</v>
      </c>
      <c r="F182" s="28">
        <v>-1</v>
      </c>
      <c r="G182" s="22" t="s">
        <v>489</v>
      </c>
      <c r="H182" s="22" t="s">
        <v>483</v>
      </c>
      <c r="I182" s="22"/>
    </row>
    <row r="183" spans="1:9" x14ac:dyDescent="0.25">
      <c r="A183" s="22" t="b">
        <v>0</v>
      </c>
      <c r="B183" s="22" t="s">
        <v>737</v>
      </c>
      <c r="C183" s="34">
        <v>45845</v>
      </c>
      <c r="D183" s="22" t="s">
        <v>63</v>
      </c>
      <c r="E183" s="22">
        <v>-6</v>
      </c>
      <c r="F183" s="28">
        <v>-1</v>
      </c>
      <c r="G183" s="22" t="s">
        <v>489</v>
      </c>
      <c r="H183" s="22" t="s">
        <v>483</v>
      </c>
      <c r="I183" s="22"/>
    </row>
    <row r="184" spans="1:9" x14ac:dyDescent="0.25">
      <c r="A184" s="22" t="b">
        <v>0</v>
      </c>
      <c r="B184" s="22" t="s">
        <v>738</v>
      </c>
      <c r="C184" s="34">
        <v>45845</v>
      </c>
      <c r="D184" s="22" t="s">
        <v>63</v>
      </c>
      <c r="E184" s="22">
        <v>-6</v>
      </c>
      <c r="F184" s="28">
        <v>-1</v>
      </c>
      <c r="G184" s="22" t="s">
        <v>489</v>
      </c>
      <c r="H184" s="22" t="s">
        <v>483</v>
      </c>
      <c r="I184" s="22"/>
    </row>
    <row r="185" spans="1:9" x14ac:dyDescent="0.25">
      <c r="A185" s="22" t="b">
        <v>0</v>
      </c>
      <c r="B185" s="22" t="s">
        <v>739</v>
      </c>
      <c r="C185" s="34">
        <v>45845</v>
      </c>
      <c r="D185" s="22" t="s">
        <v>63</v>
      </c>
      <c r="E185" s="22">
        <v>-6</v>
      </c>
      <c r="F185" s="28">
        <v>-1</v>
      </c>
      <c r="G185" s="22" t="s">
        <v>489</v>
      </c>
      <c r="H185" s="22" t="s">
        <v>483</v>
      </c>
      <c r="I185" s="22"/>
    </row>
    <row r="186" spans="1:9" x14ac:dyDescent="0.25">
      <c r="A186" s="22" t="b">
        <v>0</v>
      </c>
      <c r="B186" s="22" t="s">
        <v>740</v>
      </c>
      <c r="C186" s="34">
        <v>45845</v>
      </c>
      <c r="D186" s="22" t="s">
        <v>63</v>
      </c>
      <c r="E186" s="22">
        <v>-6</v>
      </c>
      <c r="F186" s="28">
        <v>-1</v>
      </c>
      <c r="G186" s="22" t="s">
        <v>489</v>
      </c>
      <c r="H186" s="22" t="s">
        <v>483</v>
      </c>
      <c r="I186" s="22"/>
    </row>
    <row r="187" spans="1:9" x14ac:dyDescent="0.25">
      <c r="A187" s="22" t="b">
        <v>0</v>
      </c>
      <c r="B187" s="22" t="s">
        <v>741</v>
      </c>
      <c r="C187" s="34">
        <v>45845</v>
      </c>
      <c r="D187" s="22" t="s">
        <v>3832</v>
      </c>
      <c r="E187" s="22">
        <v>-4</v>
      </c>
      <c r="F187" s="28">
        <v>-0.67</v>
      </c>
      <c r="G187" s="22" t="s">
        <v>489</v>
      </c>
      <c r="H187" s="22" t="s">
        <v>483</v>
      </c>
      <c r="I187" s="22"/>
    </row>
    <row r="188" spans="1:9" x14ac:dyDescent="0.25">
      <c r="A188" s="22" t="b">
        <v>0</v>
      </c>
      <c r="B188" s="22" t="s">
        <v>742</v>
      </c>
      <c r="C188" s="34">
        <v>45845</v>
      </c>
      <c r="D188" s="22" t="s">
        <v>3832</v>
      </c>
      <c r="E188" s="22">
        <v>-7.5</v>
      </c>
      <c r="F188" s="28">
        <v>-1.25</v>
      </c>
      <c r="G188" s="22" t="s">
        <v>489</v>
      </c>
      <c r="H188" s="22" t="s">
        <v>483</v>
      </c>
      <c r="I188" s="22"/>
    </row>
    <row r="189" spans="1:9" x14ac:dyDescent="0.25">
      <c r="A189" s="22" t="b">
        <v>0</v>
      </c>
      <c r="B189" s="22" t="s">
        <v>743</v>
      </c>
      <c r="C189" s="34">
        <v>45845</v>
      </c>
      <c r="D189" s="22" t="s">
        <v>3832</v>
      </c>
      <c r="E189" s="22">
        <v>-18.5</v>
      </c>
      <c r="F189" s="28">
        <v>-3.08</v>
      </c>
      <c r="G189" s="22" t="s">
        <v>489</v>
      </c>
      <c r="H189" s="22" t="s">
        <v>483</v>
      </c>
      <c r="I189" s="22"/>
    </row>
    <row r="190" spans="1:9" x14ac:dyDescent="0.25">
      <c r="A190" s="22" t="b">
        <v>0</v>
      </c>
      <c r="B190" s="22" t="s">
        <v>726</v>
      </c>
      <c r="C190" s="34">
        <v>45846</v>
      </c>
      <c r="D190" s="22" t="s">
        <v>120</v>
      </c>
      <c r="E190" s="22">
        <v>-0.55000000000000004</v>
      </c>
      <c r="F190" s="28">
        <v>-0.09</v>
      </c>
      <c r="G190" s="22" t="s">
        <v>489</v>
      </c>
      <c r="H190" s="22" t="s">
        <v>483</v>
      </c>
      <c r="I190" s="22"/>
    </row>
    <row r="191" spans="1:9" x14ac:dyDescent="0.25">
      <c r="A191" s="22" t="b">
        <v>0</v>
      </c>
      <c r="B191" s="22" t="s">
        <v>727</v>
      </c>
      <c r="C191" s="34">
        <v>45846</v>
      </c>
      <c r="D191" s="22" t="s">
        <v>120</v>
      </c>
      <c r="E191" s="22">
        <v>-0.59</v>
      </c>
      <c r="F191" s="28">
        <v>-0.1</v>
      </c>
      <c r="G191" s="22" t="s">
        <v>489</v>
      </c>
      <c r="H191" s="22" t="s">
        <v>483</v>
      </c>
      <c r="I191" s="22"/>
    </row>
    <row r="192" spans="1:9" x14ac:dyDescent="0.25">
      <c r="A192" s="22" t="b">
        <v>0</v>
      </c>
      <c r="B192" s="22" t="s">
        <v>729</v>
      </c>
      <c r="C192" s="34">
        <v>45846</v>
      </c>
      <c r="D192" s="22" t="s">
        <v>3838</v>
      </c>
      <c r="E192" s="22">
        <v>-18.5</v>
      </c>
      <c r="F192" s="28">
        <v>-3.08</v>
      </c>
      <c r="G192" s="22" t="s">
        <v>489</v>
      </c>
      <c r="H192" s="22" t="s">
        <v>483</v>
      </c>
      <c r="I192" s="22"/>
    </row>
    <row r="193" spans="1:9" x14ac:dyDescent="0.25">
      <c r="A193" s="22" t="b">
        <v>0</v>
      </c>
      <c r="B193" s="22" t="s">
        <v>730</v>
      </c>
      <c r="C193" s="34">
        <v>45846</v>
      </c>
      <c r="D193" s="22" t="s">
        <v>63</v>
      </c>
      <c r="E193" s="22">
        <v>-6</v>
      </c>
      <c r="F193" s="28">
        <v>-1</v>
      </c>
      <c r="G193" s="22" t="s">
        <v>489</v>
      </c>
      <c r="H193" s="22" t="s">
        <v>483</v>
      </c>
      <c r="I193" s="22"/>
    </row>
    <row r="194" spans="1:9" x14ac:dyDescent="0.25">
      <c r="A194" s="22" t="b">
        <v>0</v>
      </c>
      <c r="B194" s="22" t="s">
        <v>731</v>
      </c>
      <c r="C194" s="34">
        <v>45846</v>
      </c>
      <c r="D194" s="22" t="s">
        <v>63</v>
      </c>
      <c r="E194" s="22">
        <v>-6</v>
      </c>
      <c r="F194" s="28">
        <v>-1</v>
      </c>
      <c r="G194" s="22" t="s">
        <v>489</v>
      </c>
      <c r="H194" s="22" t="s">
        <v>483</v>
      </c>
      <c r="I194" s="22"/>
    </row>
    <row r="195" spans="1:9" x14ac:dyDescent="0.25">
      <c r="A195" s="22" t="b">
        <v>0</v>
      </c>
      <c r="B195" s="22" t="s">
        <v>717</v>
      </c>
      <c r="C195" s="34">
        <v>45848</v>
      </c>
      <c r="D195" s="22" t="s">
        <v>206</v>
      </c>
      <c r="E195" s="22">
        <v>-7.5</v>
      </c>
      <c r="F195" s="28">
        <v>-1.25</v>
      </c>
      <c r="G195" s="22" t="s">
        <v>489</v>
      </c>
      <c r="H195" s="22" t="s">
        <v>483</v>
      </c>
      <c r="I195" s="22"/>
    </row>
    <row r="196" spans="1:9" x14ac:dyDescent="0.25">
      <c r="A196" s="22" t="b">
        <v>0</v>
      </c>
      <c r="B196" s="22" t="s">
        <v>719</v>
      </c>
      <c r="C196" s="34">
        <v>45848</v>
      </c>
      <c r="D196" s="22" t="s">
        <v>3843</v>
      </c>
      <c r="E196" s="22">
        <v>-41.71</v>
      </c>
      <c r="F196" s="28">
        <v>-6.95</v>
      </c>
      <c r="G196" s="22" t="s">
        <v>489</v>
      </c>
      <c r="H196" s="22" t="s">
        <v>483</v>
      </c>
      <c r="I196" s="22"/>
    </row>
    <row r="197" spans="1:9" x14ac:dyDescent="0.25">
      <c r="A197" s="22" t="b">
        <v>0</v>
      </c>
      <c r="B197" s="22" t="s">
        <v>701</v>
      </c>
      <c r="C197" s="34">
        <v>45850</v>
      </c>
      <c r="D197" s="22" t="s">
        <v>63</v>
      </c>
      <c r="E197" s="22">
        <v>-6</v>
      </c>
      <c r="F197" s="28">
        <v>-1</v>
      </c>
      <c r="G197" s="22" t="s">
        <v>489</v>
      </c>
      <c r="H197" s="22" t="s">
        <v>483</v>
      </c>
      <c r="I197" s="22"/>
    </row>
    <row r="198" spans="1:9" x14ac:dyDescent="0.25">
      <c r="A198" s="22" t="b">
        <v>0</v>
      </c>
      <c r="B198" s="22" t="s">
        <v>702</v>
      </c>
      <c r="C198" s="34">
        <v>45850</v>
      </c>
      <c r="D198" s="22" t="s">
        <v>3832</v>
      </c>
      <c r="E198" s="22">
        <v>-22</v>
      </c>
      <c r="F198" s="28">
        <v>-3.67</v>
      </c>
      <c r="G198" s="22" t="s">
        <v>489</v>
      </c>
      <c r="H198" s="22" t="s">
        <v>483</v>
      </c>
      <c r="I198" s="22"/>
    </row>
    <row r="199" spans="1:9" x14ac:dyDescent="0.25">
      <c r="A199" s="22" t="b">
        <v>0</v>
      </c>
      <c r="B199" s="22" t="s">
        <v>703</v>
      </c>
      <c r="C199" s="34">
        <v>45850</v>
      </c>
      <c r="D199" s="22" t="s">
        <v>3832</v>
      </c>
      <c r="E199" s="22">
        <v>-7.5</v>
      </c>
      <c r="F199" s="28">
        <v>-1.25</v>
      </c>
      <c r="G199" s="22" t="s">
        <v>489</v>
      </c>
      <c r="H199" s="22" t="s">
        <v>483</v>
      </c>
      <c r="I199" s="22"/>
    </row>
    <row r="200" spans="1:9" x14ac:dyDescent="0.25">
      <c r="A200" s="22" t="b">
        <v>0</v>
      </c>
      <c r="B200" s="22" t="s">
        <v>689</v>
      </c>
      <c r="C200" s="34">
        <v>45851</v>
      </c>
      <c r="D200" s="22" t="s">
        <v>120</v>
      </c>
      <c r="E200" s="22">
        <v>-0.61</v>
      </c>
      <c r="F200" s="28">
        <v>-0.1</v>
      </c>
      <c r="G200" s="22" t="s">
        <v>489</v>
      </c>
      <c r="H200" s="22" t="s">
        <v>483</v>
      </c>
      <c r="I200" s="22"/>
    </row>
    <row r="201" spans="1:9" x14ac:dyDescent="0.25">
      <c r="A201" s="22" t="b">
        <v>0</v>
      </c>
      <c r="B201" s="22" t="s">
        <v>691</v>
      </c>
      <c r="C201" s="34">
        <v>45851</v>
      </c>
      <c r="D201" s="22" t="s">
        <v>63</v>
      </c>
      <c r="E201" s="22">
        <v>-6</v>
      </c>
      <c r="F201" s="28">
        <v>-1</v>
      </c>
      <c r="G201" s="22" t="s">
        <v>489</v>
      </c>
      <c r="H201" s="22" t="s">
        <v>483</v>
      </c>
      <c r="I201" s="22"/>
    </row>
    <row r="202" spans="1:9" x14ac:dyDescent="0.25">
      <c r="A202" s="22" t="b">
        <v>0</v>
      </c>
      <c r="B202" s="22" t="s">
        <v>692</v>
      </c>
      <c r="C202" s="34">
        <v>45851</v>
      </c>
      <c r="D202" s="22" t="s">
        <v>63</v>
      </c>
      <c r="E202" s="22">
        <v>-6</v>
      </c>
      <c r="F202" s="28">
        <v>-1</v>
      </c>
      <c r="G202" s="22" t="s">
        <v>489</v>
      </c>
      <c r="H202" s="22" t="s">
        <v>483</v>
      </c>
      <c r="I202" s="22"/>
    </row>
    <row r="203" spans="1:9" x14ac:dyDescent="0.25">
      <c r="A203" s="22" t="b">
        <v>0</v>
      </c>
      <c r="B203" s="22" t="s">
        <v>693</v>
      </c>
      <c r="C203" s="34">
        <v>45851</v>
      </c>
      <c r="D203" s="22" t="s">
        <v>63</v>
      </c>
      <c r="E203" s="22">
        <v>-6</v>
      </c>
      <c r="F203" s="28">
        <v>-1</v>
      </c>
      <c r="G203" s="22" t="s">
        <v>489</v>
      </c>
      <c r="H203" s="22" t="s">
        <v>483</v>
      </c>
      <c r="I203" s="22"/>
    </row>
    <row r="204" spans="1:9" x14ac:dyDescent="0.25">
      <c r="A204" s="22" t="b">
        <v>0</v>
      </c>
      <c r="B204" s="22" t="s">
        <v>694</v>
      </c>
      <c r="C204" s="34">
        <v>45851</v>
      </c>
      <c r="D204" s="22" t="s">
        <v>3834</v>
      </c>
      <c r="E204" s="22">
        <v>-15.5</v>
      </c>
      <c r="F204" s="28">
        <v>-2.58</v>
      </c>
      <c r="G204" s="22" t="s">
        <v>489</v>
      </c>
      <c r="H204" s="22" t="s">
        <v>483</v>
      </c>
      <c r="I204" s="22"/>
    </row>
    <row r="205" spans="1:9" x14ac:dyDescent="0.25">
      <c r="A205" s="22" t="b">
        <v>0</v>
      </c>
      <c r="B205" s="22" t="s">
        <v>682</v>
      </c>
      <c r="C205" s="34">
        <v>45852</v>
      </c>
      <c r="D205" s="22" t="s">
        <v>63</v>
      </c>
      <c r="E205" s="22">
        <v>-6</v>
      </c>
      <c r="F205" s="28">
        <v>-1</v>
      </c>
      <c r="G205" s="22" t="s">
        <v>489</v>
      </c>
      <c r="H205" s="22" t="s">
        <v>483</v>
      </c>
      <c r="I205" s="22"/>
    </row>
    <row r="206" spans="1:9" x14ac:dyDescent="0.25">
      <c r="A206" s="22" t="b">
        <v>0</v>
      </c>
      <c r="B206" s="22" t="s">
        <v>677</v>
      </c>
      <c r="C206" s="34">
        <v>45853</v>
      </c>
      <c r="D206" s="22" t="s">
        <v>3844</v>
      </c>
      <c r="E206" s="22">
        <v>-60</v>
      </c>
      <c r="F206" s="28">
        <v>-10</v>
      </c>
      <c r="G206" s="22" t="s">
        <v>489</v>
      </c>
      <c r="H206" s="22" t="s">
        <v>483</v>
      </c>
      <c r="I206" s="22"/>
    </row>
    <row r="207" spans="1:9" x14ac:dyDescent="0.25">
      <c r="A207" s="22" t="b">
        <v>0</v>
      </c>
      <c r="B207" s="22" t="s">
        <v>678</v>
      </c>
      <c r="C207" s="34">
        <v>45853</v>
      </c>
      <c r="D207" s="22" t="s">
        <v>63</v>
      </c>
      <c r="E207" s="22">
        <v>-6</v>
      </c>
      <c r="F207" s="28">
        <v>-1</v>
      </c>
      <c r="G207" s="22" t="s">
        <v>489</v>
      </c>
      <c r="H207" s="22" t="s">
        <v>483</v>
      </c>
      <c r="I207" s="22"/>
    </row>
    <row r="208" spans="1:9" x14ac:dyDescent="0.25">
      <c r="A208" s="22" t="b">
        <v>0</v>
      </c>
      <c r="B208" s="22" t="s">
        <v>664</v>
      </c>
      <c r="C208" s="34">
        <v>45854</v>
      </c>
      <c r="D208" s="22" t="s">
        <v>206</v>
      </c>
      <c r="E208" s="22">
        <v>-7.5</v>
      </c>
      <c r="F208" s="28">
        <v>-1.25</v>
      </c>
      <c r="G208" s="22" t="s">
        <v>489</v>
      </c>
      <c r="H208" s="22" t="s">
        <v>483</v>
      </c>
      <c r="I208" s="22"/>
    </row>
    <row r="209" spans="1:9" x14ac:dyDescent="0.25">
      <c r="A209" s="22" t="b">
        <v>0</v>
      </c>
      <c r="B209" s="22" t="s">
        <v>665</v>
      </c>
      <c r="C209" s="34">
        <v>45854</v>
      </c>
      <c r="D209" s="22" t="s">
        <v>63</v>
      </c>
      <c r="E209" s="22">
        <v>-6</v>
      </c>
      <c r="F209" s="28">
        <v>-1</v>
      </c>
      <c r="G209" s="22" t="s">
        <v>489</v>
      </c>
      <c r="H209" s="22" t="s">
        <v>483</v>
      </c>
      <c r="I209" s="22"/>
    </row>
    <row r="210" spans="1:9" x14ac:dyDescent="0.25">
      <c r="A210" s="22" t="b">
        <v>0</v>
      </c>
      <c r="B210" s="22" t="s">
        <v>666</v>
      </c>
      <c r="C210" s="34">
        <v>45854</v>
      </c>
      <c r="D210" s="22" t="s">
        <v>63</v>
      </c>
      <c r="E210" s="22">
        <v>-6</v>
      </c>
      <c r="F210" s="28">
        <v>-1</v>
      </c>
      <c r="G210" s="22" t="s">
        <v>489</v>
      </c>
      <c r="H210" s="22" t="s">
        <v>483</v>
      </c>
      <c r="I210" s="22"/>
    </row>
    <row r="211" spans="1:9" x14ac:dyDescent="0.25">
      <c r="A211" s="22" t="b">
        <v>0</v>
      </c>
      <c r="B211" s="22" t="s">
        <v>667</v>
      </c>
      <c r="C211" s="34">
        <v>45854</v>
      </c>
      <c r="D211" s="22" t="s">
        <v>63</v>
      </c>
      <c r="E211" s="22">
        <v>-6</v>
      </c>
      <c r="F211" s="28">
        <v>-1</v>
      </c>
      <c r="G211" s="22" t="s">
        <v>489</v>
      </c>
      <c r="H211" s="22" t="s">
        <v>483</v>
      </c>
      <c r="I211" s="22"/>
    </row>
    <row r="212" spans="1:9" x14ac:dyDescent="0.25">
      <c r="A212" s="22" t="b">
        <v>0</v>
      </c>
      <c r="B212" s="22" t="s">
        <v>670</v>
      </c>
      <c r="C212" s="34">
        <v>45854</v>
      </c>
      <c r="D212" s="22" t="s">
        <v>3845</v>
      </c>
      <c r="E212" s="22">
        <v>-42.22</v>
      </c>
      <c r="F212" s="28">
        <v>-7.04</v>
      </c>
      <c r="G212" s="22" t="s">
        <v>489</v>
      </c>
      <c r="H212" s="22" t="s">
        <v>483</v>
      </c>
      <c r="I212" s="22"/>
    </row>
    <row r="213" spans="1:9" x14ac:dyDescent="0.25">
      <c r="A213" s="22" t="b">
        <v>0</v>
      </c>
      <c r="B213" s="22" t="s">
        <v>655</v>
      </c>
      <c r="C213" s="34">
        <v>45855</v>
      </c>
      <c r="D213" s="22" t="s">
        <v>63</v>
      </c>
      <c r="E213" s="22">
        <v>-6</v>
      </c>
      <c r="F213" s="28">
        <v>-1</v>
      </c>
      <c r="G213" s="22" t="s">
        <v>489</v>
      </c>
      <c r="H213" s="22" t="s">
        <v>483</v>
      </c>
      <c r="I213" s="22"/>
    </row>
    <row r="214" spans="1:9" x14ac:dyDescent="0.25">
      <c r="A214" s="22" t="b">
        <v>0</v>
      </c>
      <c r="B214" s="22" t="s">
        <v>656</v>
      </c>
      <c r="C214" s="34">
        <v>45855</v>
      </c>
      <c r="D214" s="22" t="s">
        <v>63</v>
      </c>
      <c r="E214" s="22">
        <v>-6</v>
      </c>
      <c r="F214" s="28">
        <v>-1</v>
      </c>
      <c r="G214" s="22" t="s">
        <v>489</v>
      </c>
      <c r="H214" s="22" t="s">
        <v>483</v>
      </c>
      <c r="I214" s="22"/>
    </row>
    <row r="215" spans="1:9" x14ac:dyDescent="0.25">
      <c r="A215" s="22" t="b">
        <v>0</v>
      </c>
      <c r="B215" s="22" t="s">
        <v>637</v>
      </c>
      <c r="C215" s="34">
        <v>45856</v>
      </c>
      <c r="D215" s="22" t="s">
        <v>3838</v>
      </c>
      <c r="E215" s="22">
        <v>-18.5</v>
      </c>
      <c r="F215" s="28">
        <v>-3.08</v>
      </c>
      <c r="G215" s="22" t="s">
        <v>489</v>
      </c>
      <c r="H215" s="22" t="s">
        <v>483</v>
      </c>
      <c r="I215" s="22"/>
    </row>
    <row r="216" spans="1:9" x14ac:dyDescent="0.25">
      <c r="A216" s="22" t="b">
        <v>0</v>
      </c>
      <c r="B216" s="22" t="s">
        <v>638</v>
      </c>
      <c r="C216" s="34">
        <v>45856</v>
      </c>
      <c r="D216" s="22" t="s">
        <v>63</v>
      </c>
      <c r="E216" s="22">
        <v>-6</v>
      </c>
      <c r="F216" s="28">
        <v>-1</v>
      </c>
      <c r="G216" s="22" t="s">
        <v>489</v>
      </c>
      <c r="H216" s="22" t="s">
        <v>483</v>
      </c>
      <c r="I216" s="22"/>
    </row>
    <row r="217" spans="1:9" x14ac:dyDescent="0.25">
      <c r="A217" s="22" t="b">
        <v>0</v>
      </c>
      <c r="B217" s="22" t="s">
        <v>639</v>
      </c>
      <c r="C217" s="34">
        <v>45856</v>
      </c>
      <c r="D217" s="22" t="s">
        <v>63</v>
      </c>
      <c r="E217" s="22">
        <v>-6</v>
      </c>
      <c r="F217" s="28">
        <v>-1</v>
      </c>
      <c r="G217" s="22" t="s">
        <v>489</v>
      </c>
      <c r="H217" s="22" t="s">
        <v>483</v>
      </c>
      <c r="I217" s="22"/>
    </row>
    <row r="218" spans="1:9" x14ac:dyDescent="0.25">
      <c r="A218" s="22" t="b">
        <v>0</v>
      </c>
      <c r="B218" s="22" t="s">
        <v>640</v>
      </c>
      <c r="C218" s="34">
        <v>45856</v>
      </c>
      <c r="D218" s="22" t="s">
        <v>63</v>
      </c>
      <c r="E218" s="22">
        <v>-6</v>
      </c>
      <c r="F218" s="28">
        <v>-1</v>
      </c>
      <c r="G218" s="22" t="s">
        <v>489</v>
      </c>
      <c r="H218" s="22" t="s">
        <v>483</v>
      </c>
      <c r="I218" s="22"/>
    </row>
    <row r="219" spans="1:9" x14ac:dyDescent="0.25">
      <c r="A219" s="22" t="b">
        <v>0</v>
      </c>
      <c r="B219" s="22" t="s">
        <v>641</v>
      </c>
      <c r="C219" s="34">
        <v>45856</v>
      </c>
      <c r="D219" s="22" t="s">
        <v>63</v>
      </c>
      <c r="E219" s="22">
        <v>-6</v>
      </c>
      <c r="F219" s="28">
        <v>-1</v>
      </c>
      <c r="G219" s="22" t="s">
        <v>489</v>
      </c>
      <c r="H219" s="22" t="s">
        <v>483</v>
      </c>
      <c r="I219" s="22"/>
    </row>
    <row r="220" spans="1:9" x14ac:dyDescent="0.25">
      <c r="A220" s="22" t="b">
        <v>0</v>
      </c>
      <c r="B220" s="22" t="s">
        <v>642</v>
      </c>
      <c r="C220" s="34">
        <v>45856</v>
      </c>
      <c r="D220" s="22" t="s">
        <v>63</v>
      </c>
      <c r="E220" s="22">
        <v>-6</v>
      </c>
      <c r="F220" s="28">
        <v>-1</v>
      </c>
      <c r="G220" s="22" t="s">
        <v>489</v>
      </c>
      <c r="H220" s="22" t="s">
        <v>483</v>
      </c>
      <c r="I220" s="22"/>
    </row>
    <row r="221" spans="1:9" x14ac:dyDescent="0.25">
      <c r="A221" s="22" t="b">
        <v>0</v>
      </c>
      <c r="B221" s="22" t="s">
        <v>643</v>
      </c>
      <c r="C221" s="34">
        <v>45856</v>
      </c>
      <c r="D221" s="22" t="s">
        <v>3832</v>
      </c>
      <c r="E221" s="22">
        <v>-11</v>
      </c>
      <c r="F221" s="28">
        <v>-1.83</v>
      </c>
      <c r="G221" s="22" t="s">
        <v>489</v>
      </c>
      <c r="H221" s="22" t="s">
        <v>483</v>
      </c>
      <c r="I221" s="22"/>
    </row>
    <row r="222" spans="1:9" x14ac:dyDescent="0.25">
      <c r="A222" s="22" t="b">
        <v>0</v>
      </c>
      <c r="B222" s="22" t="s">
        <v>644</v>
      </c>
      <c r="C222" s="34">
        <v>45856</v>
      </c>
      <c r="D222" s="22" t="s">
        <v>3832</v>
      </c>
      <c r="E222" s="22">
        <v>-7.5</v>
      </c>
      <c r="F222" s="28">
        <v>-1.25</v>
      </c>
      <c r="G222" s="22" t="s">
        <v>489</v>
      </c>
      <c r="H222" s="22" t="s">
        <v>483</v>
      </c>
      <c r="I222" s="22"/>
    </row>
    <row r="223" spans="1:9" x14ac:dyDescent="0.25">
      <c r="A223" s="22" t="b">
        <v>0</v>
      </c>
      <c r="B223" s="22" t="s">
        <v>645</v>
      </c>
      <c r="C223" s="34">
        <v>45856</v>
      </c>
      <c r="D223" s="22" t="s">
        <v>3832</v>
      </c>
      <c r="E223" s="22">
        <v>-7.5</v>
      </c>
      <c r="F223" s="28">
        <v>-1.25</v>
      </c>
      <c r="G223" s="22" t="s">
        <v>489</v>
      </c>
      <c r="H223" s="22" t="s">
        <v>483</v>
      </c>
      <c r="I223" s="22"/>
    </row>
    <row r="224" spans="1:9" x14ac:dyDescent="0.25">
      <c r="A224" s="22" t="b">
        <v>0</v>
      </c>
      <c r="B224" s="22" t="s">
        <v>628</v>
      </c>
      <c r="C224" s="34">
        <v>45857</v>
      </c>
      <c r="D224" s="22" t="s">
        <v>120</v>
      </c>
      <c r="E224" s="22">
        <v>-0.88</v>
      </c>
      <c r="F224" s="28">
        <v>-0.15</v>
      </c>
      <c r="G224" s="22" t="s">
        <v>489</v>
      </c>
      <c r="H224" s="22" t="s">
        <v>483</v>
      </c>
      <c r="I224" s="22"/>
    </row>
    <row r="225" spans="1:9" x14ac:dyDescent="0.25">
      <c r="A225" s="22" t="b">
        <v>0</v>
      </c>
      <c r="B225" s="22" t="s">
        <v>631</v>
      </c>
      <c r="C225" s="34">
        <v>45857</v>
      </c>
      <c r="D225" s="22" t="s">
        <v>63</v>
      </c>
      <c r="E225" s="22">
        <v>-6</v>
      </c>
      <c r="F225" s="28">
        <v>-1</v>
      </c>
      <c r="G225" s="22" t="s">
        <v>489</v>
      </c>
      <c r="H225" s="22" t="s">
        <v>483</v>
      </c>
      <c r="I225" s="22"/>
    </row>
    <row r="226" spans="1:9" x14ac:dyDescent="0.25">
      <c r="A226" s="22" t="b">
        <v>0</v>
      </c>
      <c r="B226" s="22" t="s">
        <v>632</v>
      </c>
      <c r="C226" s="34">
        <v>45857</v>
      </c>
      <c r="D226" s="22" t="s">
        <v>3832</v>
      </c>
      <c r="E226" s="22">
        <v>-7.5</v>
      </c>
      <c r="F226" s="28">
        <v>-1.25</v>
      </c>
      <c r="G226" s="22" t="s">
        <v>489</v>
      </c>
      <c r="H226" s="22" t="s">
        <v>483</v>
      </c>
      <c r="I226" s="22"/>
    </row>
    <row r="227" spans="1:9" x14ac:dyDescent="0.25">
      <c r="A227" s="22" t="b">
        <v>0</v>
      </c>
      <c r="B227" s="22" t="s">
        <v>633</v>
      </c>
      <c r="C227" s="34">
        <v>45857</v>
      </c>
      <c r="D227" s="22" t="s">
        <v>3832</v>
      </c>
      <c r="E227" s="22">
        <v>-7</v>
      </c>
      <c r="F227" s="28">
        <v>-1.17</v>
      </c>
      <c r="G227" s="22" t="s">
        <v>489</v>
      </c>
      <c r="H227" s="22" t="s">
        <v>483</v>
      </c>
      <c r="I227" s="22"/>
    </row>
    <row r="228" spans="1:9" x14ac:dyDescent="0.25">
      <c r="A228" s="22" t="b">
        <v>0</v>
      </c>
      <c r="B228" s="22" t="s">
        <v>622</v>
      </c>
      <c r="C228" s="34">
        <v>45858</v>
      </c>
      <c r="D228" s="22" t="s">
        <v>3846</v>
      </c>
      <c r="E228" s="22">
        <v>-87.78</v>
      </c>
      <c r="F228" s="28">
        <v>-14.63</v>
      </c>
      <c r="G228" s="22" t="s">
        <v>489</v>
      </c>
      <c r="H228" s="22" t="s">
        <v>483</v>
      </c>
      <c r="I228" s="22"/>
    </row>
    <row r="229" spans="1:9" x14ac:dyDescent="0.25">
      <c r="A229" s="22" t="b">
        <v>0</v>
      </c>
      <c r="B229" s="22" t="s">
        <v>611</v>
      </c>
      <c r="C229" s="34">
        <v>45859</v>
      </c>
      <c r="D229" s="22" t="s">
        <v>3838</v>
      </c>
      <c r="E229" s="22">
        <v>-18.5</v>
      </c>
      <c r="F229" s="28">
        <v>-3.08</v>
      </c>
      <c r="G229" s="22" t="s">
        <v>489</v>
      </c>
      <c r="H229" s="22" t="s">
        <v>483</v>
      </c>
      <c r="I229" s="22"/>
    </row>
    <row r="230" spans="1:9" x14ac:dyDescent="0.25">
      <c r="A230" s="22" t="b">
        <v>0</v>
      </c>
      <c r="B230" s="22" t="s">
        <v>613</v>
      </c>
      <c r="C230" s="34">
        <v>45859</v>
      </c>
      <c r="D230" s="22" t="s">
        <v>206</v>
      </c>
      <c r="E230" s="22">
        <v>-7.5</v>
      </c>
      <c r="F230" s="28">
        <v>-1.25</v>
      </c>
      <c r="G230" s="22" t="s">
        <v>489</v>
      </c>
      <c r="H230" s="22" t="s">
        <v>483</v>
      </c>
      <c r="I230" s="22"/>
    </row>
    <row r="231" spans="1:9" x14ac:dyDescent="0.25">
      <c r="A231" s="22" t="b">
        <v>0</v>
      </c>
      <c r="B231" s="22" t="s">
        <v>615</v>
      </c>
      <c r="C231" s="34">
        <v>45859</v>
      </c>
      <c r="D231" s="22" t="s">
        <v>3836</v>
      </c>
      <c r="E231" s="22">
        <v>-7</v>
      </c>
      <c r="F231" s="28">
        <v>-1.17</v>
      </c>
      <c r="G231" s="22" t="s">
        <v>489</v>
      </c>
      <c r="H231" s="22" t="s">
        <v>483</v>
      </c>
      <c r="I231" s="22"/>
    </row>
    <row r="232" spans="1:9" x14ac:dyDescent="0.25">
      <c r="A232" s="22" t="b">
        <v>0</v>
      </c>
      <c r="B232" s="22" t="s">
        <v>607</v>
      </c>
      <c r="C232" s="34">
        <v>45860</v>
      </c>
      <c r="D232" s="22" t="s">
        <v>204</v>
      </c>
      <c r="E232" s="22">
        <v>-7</v>
      </c>
      <c r="F232" s="28">
        <v>-1.17</v>
      </c>
      <c r="G232" s="22" t="s">
        <v>489</v>
      </c>
      <c r="H232" s="22" t="s">
        <v>483</v>
      </c>
      <c r="I232" s="22"/>
    </row>
    <row r="233" spans="1:9" x14ac:dyDescent="0.25">
      <c r="A233" s="22" t="b">
        <v>0</v>
      </c>
      <c r="B233" s="22" t="s">
        <v>592</v>
      </c>
      <c r="C233" s="34">
        <v>45862</v>
      </c>
      <c r="D233" s="22" t="s">
        <v>120</v>
      </c>
      <c r="E233" s="22">
        <v>-0.84</v>
      </c>
      <c r="F233" s="28">
        <v>-0.14000000000000001</v>
      </c>
      <c r="G233" s="22" t="s">
        <v>489</v>
      </c>
      <c r="H233" s="22" t="s">
        <v>483</v>
      </c>
      <c r="I233" s="22"/>
    </row>
    <row r="234" spans="1:9" x14ac:dyDescent="0.25">
      <c r="A234" s="22" t="b">
        <v>0</v>
      </c>
      <c r="B234" s="22" t="s">
        <v>578</v>
      </c>
      <c r="C234" s="34">
        <v>45866</v>
      </c>
      <c r="D234" s="22" t="s">
        <v>204</v>
      </c>
      <c r="E234" s="22">
        <v>-7</v>
      </c>
      <c r="F234" s="28">
        <v>-1.17</v>
      </c>
      <c r="G234" s="22" t="s">
        <v>489</v>
      </c>
      <c r="H234" s="22" t="s">
        <v>483</v>
      </c>
      <c r="I234" s="22"/>
    </row>
    <row r="235" spans="1:9" x14ac:dyDescent="0.25">
      <c r="A235" s="22" t="b">
        <v>0</v>
      </c>
      <c r="B235" s="22" t="s">
        <v>557</v>
      </c>
      <c r="C235" s="34">
        <v>45867</v>
      </c>
      <c r="D235" s="22" t="s">
        <v>204</v>
      </c>
      <c r="E235" s="22">
        <v>-100</v>
      </c>
      <c r="F235" s="28">
        <v>-16.670000000000002</v>
      </c>
      <c r="G235" s="22" t="s">
        <v>489</v>
      </c>
      <c r="H235" s="22" t="s">
        <v>483</v>
      </c>
      <c r="I235" s="22"/>
    </row>
    <row r="236" spans="1:9" x14ac:dyDescent="0.25">
      <c r="A236" s="22" t="b">
        <v>0</v>
      </c>
      <c r="B236" s="22" t="s">
        <v>564</v>
      </c>
      <c r="C236" s="34">
        <v>45867</v>
      </c>
      <c r="D236" s="22" t="s">
        <v>3832</v>
      </c>
      <c r="E236" s="22">
        <v>-7.5</v>
      </c>
      <c r="F236" s="28">
        <v>-1.25</v>
      </c>
      <c r="G236" s="22" t="s">
        <v>489</v>
      </c>
      <c r="H236" s="22" t="s">
        <v>483</v>
      </c>
      <c r="I236" s="22"/>
    </row>
    <row r="237" spans="1:9" x14ac:dyDescent="0.25">
      <c r="A237" s="22" t="b">
        <v>0</v>
      </c>
      <c r="B237" s="22" t="s">
        <v>553</v>
      </c>
      <c r="C237" s="34">
        <v>45868</v>
      </c>
      <c r="D237" s="22" t="s">
        <v>3832</v>
      </c>
      <c r="E237" s="22">
        <v>-7</v>
      </c>
      <c r="F237" s="28">
        <v>-1.17</v>
      </c>
      <c r="G237" s="22" t="s">
        <v>489</v>
      </c>
      <c r="H237" s="22" t="s">
        <v>483</v>
      </c>
      <c r="I237" s="22"/>
    </row>
    <row r="238" spans="1:9" x14ac:dyDescent="0.25">
      <c r="A238" s="22" t="b">
        <v>0</v>
      </c>
      <c r="B238" s="22" t="s">
        <v>537</v>
      </c>
      <c r="C238" s="34">
        <v>45870</v>
      </c>
      <c r="D238" s="22" t="s">
        <v>120</v>
      </c>
      <c r="E238" s="22">
        <v>-1.25</v>
      </c>
      <c r="F238" s="28">
        <v>-0.21</v>
      </c>
      <c r="G238" s="22" t="s">
        <v>489</v>
      </c>
      <c r="H238" s="22" t="s">
        <v>483</v>
      </c>
      <c r="I238" s="22"/>
    </row>
    <row r="239" spans="1:9" x14ac:dyDescent="0.25">
      <c r="A239" s="22" t="b">
        <v>0</v>
      </c>
      <c r="B239" s="22" t="s">
        <v>538</v>
      </c>
      <c r="C239" s="34">
        <v>45870</v>
      </c>
      <c r="D239" s="22" t="s">
        <v>120</v>
      </c>
      <c r="E239" s="22">
        <v>-0.84</v>
      </c>
      <c r="F239" s="28">
        <v>-0.14000000000000001</v>
      </c>
      <c r="G239" s="22" t="s">
        <v>489</v>
      </c>
      <c r="H239" s="22" t="s">
        <v>483</v>
      </c>
      <c r="I239" s="22"/>
    </row>
    <row r="240" spans="1:9" x14ac:dyDescent="0.25">
      <c r="A240" s="22" t="b">
        <v>0</v>
      </c>
      <c r="B240" s="22" t="s">
        <v>539</v>
      </c>
      <c r="C240" s="34">
        <v>45870</v>
      </c>
      <c r="D240" s="22" t="s">
        <v>120</v>
      </c>
      <c r="E240" s="22">
        <v>-0.84</v>
      </c>
      <c r="F240" s="28">
        <v>-0.14000000000000001</v>
      </c>
      <c r="G240" s="22" t="s">
        <v>489</v>
      </c>
      <c r="H240" s="22" t="s">
        <v>483</v>
      </c>
      <c r="I240" s="22"/>
    </row>
    <row r="241" spans="1:9" x14ac:dyDescent="0.25">
      <c r="A241" s="22" t="b">
        <v>0</v>
      </c>
      <c r="B241" s="22" t="s">
        <v>540</v>
      </c>
      <c r="C241" s="34">
        <v>45870</v>
      </c>
      <c r="D241" s="22" t="s">
        <v>120</v>
      </c>
      <c r="E241" s="22">
        <v>-1.68</v>
      </c>
      <c r="F241" s="28">
        <v>-0.28000000000000003</v>
      </c>
      <c r="G241" s="22" t="s">
        <v>489</v>
      </c>
      <c r="H241" s="22" t="s">
        <v>483</v>
      </c>
      <c r="I241" s="22"/>
    </row>
    <row r="242" spans="1:9" x14ac:dyDescent="0.25">
      <c r="A242" s="22" t="b">
        <v>0</v>
      </c>
      <c r="B242" s="22" t="s">
        <v>541</v>
      </c>
      <c r="C242" s="34">
        <v>45870</v>
      </c>
      <c r="D242" s="22" t="s">
        <v>120</v>
      </c>
      <c r="E242" s="22">
        <v>-1.25</v>
      </c>
      <c r="F242" s="28">
        <v>-0.21</v>
      </c>
      <c r="G242" s="22" t="s">
        <v>489</v>
      </c>
      <c r="H242" s="22" t="s">
        <v>483</v>
      </c>
      <c r="I242" s="22"/>
    </row>
    <row r="243" spans="1:9" x14ac:dyDescent="0.25">
      <c r="A243" s="22" t="b">
        <v>0</v>
      </c>
      <c r="B243" s="22" t="s">
        <v>545</v>
      </c>
      <c r="C243" s="34">
        <v>45870</v>
      </c>
      <c r="D243" s="22" t="s">
        <v>3836</v>
      </c>
      <c r="E243" s="22">
        <v>-10</v>
      </c>
      <c r="F243" s="28">
        <v>-1.67</v>
      </c>
      <c r="G243" s="22" t="s">
        <v>489</v>
      </c>
      <c r="H243" s="22" t="s">
        <v>483</v>
      </c>
      <c r="I243" s="22"/>
    </row>
    <row r="244" spans="1:9" x14ac:dyDescent="0.25">
      <c r="A244" s="22" t="b">
        <v>0</v>
      </c>
      <c r="B244" s="22" t="s">
        <v>531</v>
      </c>
      <c r="C244" s="34">
        <v>45872</v>
      </c>
      <c r="D244" s="22" t="s">
        <v>204</v>
      </c>
      <c r="E244" s="22">
        <v>-7</v>
      </c>
      <c r="F244" s="28">
        <v>-1.17</v>
      </c>
      <c r="G244" s="22" t="s">
        <v>489</v>
      </c>
      <c r="H244" s="22" t="s">
        <v>483</v>
      </c>
      <c r="I244" s="22"/>
    </row>
    <row r="245" spans="1:9" x14ac:dyDescent="0.25">
      <c r="A245" s="22" t="b">
        <v>0</v>
      </c>
      <c r="B245" s="22" t="s">
        <v>508</v>
      </c>
      <c r="C245" s="34">
        <v>45879</v>
      </c>
      <c r="D245" s="22" t="s">
        <v>347</v>
      </c>
      <c r="E245" s="22">
        <v>-7.5</v>
      </c>
      <c r="F245" s="28">
        <v>-1.25</v>
      </c>
      <c r="G245" s="22" t="s">
        <v>489</v>
      </c>
      <c r="H245" s="22" t="s">
        <v>483</v>
      </c>
      <c r="I245" s="22"/>
    </row>
    <row r="246" spans="1:9" x14ac:dyDescent="0.25">
      <c r="A246" s="22" t="b">
        <v>0</v>
      </c>
      <c r="B246" s="22" t="s">
        <v>499</v>
      </c>
      <c r="C246" s="34">
        <v>45882</v>
      </c>
      <c r="D246" s="22" t="s">
        <v>170</v>
      </c>
      <c r="E246" s="22">
        <v>-7</v>
      </c>
      <c r="F246" s="28">
        <v>-1.17</v>
      </c>
      <c r="G246" s="22" t="s">
        <v>489</v>
      </c>
      <c r="H246" s="22" t="s">
        <v>483</v>
      </c>
      <c r="I246" s="22"/>
    </row>
    <row r="247" spans="1:9" x14ac:dyDescent="0.25">
      <c r="A247" s="22" t="b">
        <v>0</v>
      </c>
      <c r="B247" s="22" t="s">
        <v>1891</v>
      </c>
      <c r="C247" s="34">
        <v>45885</v>
      </c>
      <c r="D247" s="22" t="s">
        <v>206</v>
      </c>
      <c r="E247" s="22">
        <v>-7.5</v>
      </c>
      <c r="F247" s="28">
        <v>-1.25</v>
      </c>
      <c r="G247" s="22" t="s">
        <v>489</v>
      </c>
      <c r="H247" s="22" t="s">
        <v>483</v>
      </c>
      <c r="I247" s="22"/>
    </row>
    <row r="248" spans="1:9" x14ac:dyDescent="0.25">
      <c r="A248" s="22" t="b">
        <v>0</v>
      </c>
      <c r="B248" s="22" t="s">
        <v>1892</v>
      </c>
      <c r="C248" s="34">
        <v>45885</v>
      </c>
      <c r="D248" s="22" t="s">
        <v>206</v>
      </c>
      <c r="E248" s="22">
        <v>-7.5</v>
      </c>
      <c r="F248" s="28">
        <v>-1.25</v>
      </c>
      <c r="G248" s="22" t="s">
        <v>489</v>
      </c>
      <c r="H248" s="22" t="s">
        <v>483</v>
      </c>
      <c r="I248" s="22"/>
    </row>
    <row r="249" spans="1:9" x14ac:dyDescent="0.25">
      <c r="A249" s="22" t="b">
        <v>0</v>
      </c>
      <c r="B249" s="22" t="s">
        <v>1883</v>
      </c>
      <c r="C249" s="34">
        <v>45887</v>
      </c>
      <c r="D249" s="22" t="s">
        <v>63</v>
      </c>
      <c r="E249" s="22">
        <v>-6</v>
      </c>
      <c r="F249" s="28">
        <v>-1</v>
      </c>
      <c r="G249" s="22" t="s">
        <v>489</v>
      </c>
      <c r="H249" s="22" t="s">
        <v>483</v>
      </c>
      <c r="I249" s="22"/>
    </row>
    <row r="250" spans="1:9" x14ac:dyDescent="0.25">
      <c r="A250" s="22" t="b">
        <v>0</v>
      </c>
      <c r="B250" s="22" t="s">
        <v>1872</v>
      </c>
      <c r="C250" s="34">
        <v>45888</v>
      </c>
      <c r="D250" s="22" t="s">
        <v>204</v>
      </c>
      <c r="E250" s="22">
        <v>-7</v>
      </c>
      <c r="F250" s="28">
        <v>-1.17</v>
      </c>
      <c r="G250" s="22" t="s">
        <v>489</v>
      </c>
      <c r="H250" s="22" t="s">
        <v>483</v>
      </c>
      <c r="I250" s="22"/>
    </row>
    <row r="251" spans="1:9" x14ac:dyDescent="0.25">
      <c r="A251" s="22" t="b">
        <v>0</v>
      </c>
      <c r="B251" s="22" t="s">
        <v>1859</v>
      </c>
      <c r="C251" s="34">
        <v>45890</v>
      </c>
      <c r="D251" s="22" t="s">
        <v>63</v>
      </c>
      <c r="E251" s="22">
        <v>-6</v>
      </c>
      <c r="F251" s="28">
        <v>-1</v>
      </c>
      <c r="G251" s="22" t="s">
        <v>489</v>
      </c>
      <c r="H251" s="22" t="s">
        <v>483</v>
      </c>
      <c r="I251" s="22"/>
    </row>
    <row r="252" spans="1:9" x14ac:dyDescent="0.25">
      <c r="A252" s="22" t="b">
        <v>0</v>
      </c>
      <c r="B252" s="22" t="s">
        <v>1836</v>
      </c>
      <c r="C252" s="34">
        <v>45895</v>
      </c>
      <c r="D252" s="22" t="s">
        <v>63</v>
      </c>
      <c r="E252" s="22">
        <v>-6</v>
      </c>
      <c r="F252" s="28">
        <v>-1</v>
      </c>
      <c r="G252" s="22" t="s">
        <v>489</v>
      </c>
      <c r="H252" s="22" t="s">
        <v>483</v>
      </c>
      <c r="I252" s="22"/>
    </row>
    <row r="253" spans="1:9" x14ac:dyDescent="0.25">
      <c r="A253" s="22" t="b">
        <v>0</v>
      </c>
      <c r="B253" s="22" t="s">
        <v>1837</v>
      </c>
      <c r="C253" s="34">
        <v>45895</v>
      </c>
      <c r="D253" s="22" t="s">
        <v>63</v>
      </c>
      <c r="E253" s="22">
        <v>-6</v>
      </c>
      <c r="F253" s="28">
        <v>-1</v>
      </c>
      <c r="G253" s="22" t="s">
        <v>489</v>
      </c>
      <c r="H253" s="22" t="s">
        <v>483</v>
      </c>
      <c r="I253" s="22"/>
    </row>
    <row r="254" spans="1:9" x14ac:dyDescent="0.25">
      <c r="A254" s="22" t="b">
        <v>0</v>
      </c>
      <c r="B254" s="22" t="s">
        <v>1838</v>
      </c>
      <c r="C254" s="34">
        <v>45895</v>
      </c>
      <c r="D254" s="22" t="s">
        <v>3832</v>
      </c>
      <c r="E254" s="22">
        <v>-7.5</v>
      </c>
      <c r="F254" s="28">
        <v>-1.25</v>
      </c>
      <c r="G254" s="22" t="s">
        <v>489</v>
      </c>
      <c r="H254" s="22" t="s">
        <v>483</v>
      </c>
      <c r="I254" s="22"/>
    </row>
    <row r="255" spans="1:9" x14ac:dyDescent="0.25">
      <c r="A255" s="22" t="b">
        <v>0</v>
      </c>
      <c r="B255" s="22" t="s">
        <v>1831</v>
      </c>
      <c r="C255" s="34">
        <v>45896</v>
      </c>
      <c r="D255" s="22" t="s">
        <v>63</v>
      </c>
      <c r="E255" s="22">
        <v>-6</v>
      </c>
      <c r="F255" s="28">
        <v>-1</v>
      </c>
      <c r="G255" s="22" t="s">
        <v>489</v>
      </c>
      <c r="H255" s="22" t="s">
        <v>483</v>
      </c>
      <c r="I255" s="22"/>
    </row>
    <row r="256" spans="1:9" x14ac:dyDescent="0.25">
      <c r="A256" s="22" t="b">
        <v>0</v>
      </c>
      <c r="B256" s="22" t="s">
        <v>1832</v>
      </c>
      <c r="C256" s="34">
        <v>45896</v>
      </c>
      <c r="D256" s="22" t="s">
        <v>63</v>
      </c>
      <c r="E256" s="22">
        <v>-6</v>
      </c>
      <c r="F256" s="28">
        <v>-1</v>
      </c>
      <c r="G256" s="22" t="s">
        <v>489</v>
      </c>
      <c r="H256" s="22" t="s">
        <v>483</v>
      </c>
      <c r="I256" s="22"/>
    </row>
    <row r="257" spans="1:9" x14ac:dyDescent="0.25">
      <c r="A257" s="22" t="b">
        <v>0</v>
      </c>
      <c r="B257" s="22" t="s">
        <v>1824</v>
      </c>
      <c r="C257" s="34">
        <v>45897</v>
      </c>
      <c r="D257" s="22" t="s">
        <v>63</v>
      </c>
      <c r="E257" s="22">
        <v>-6</v>
      </c>
      <c r="F257" s="28">
        <v>-1</v>
      </c>
      <c r="G257" s="22" t="s">
        <v>489</v>
      </c>
      <c r="H257" s="22" t="s">
        <v>483</v>
      </c>
      <c r="I257" s="22"/>
    </row>
    <row r="258" spans="1:9" x14ac:dyDescent="0.25">
      <c r="A258" s="22" t="b">
        <v>0</v>
      </c>
      <c r="B258" s="22" t="s">
        <v>1825</v>
      </c>
      <c r="C258" s="34">
        <v>45897</v>
      </c>
      <c r="D258" s="22" t="s">
        <v>63</v>
      </c>
      <c r="E258" s="22">
        <v>-6</v>
      </c>
      <c r="F258" s="28">
        <v>-1</v>
      </c>
      <c r="G258" s="22" t="s">
        <v>489</v>
      </c>
      <c r="H258" s="22" t="s">
        <v>483</v>
      </c>
      <c r="I258" s="22"/>
    </row>
    <row r="259" spans="1:9" x14ac:dyDescent="0.25">
      <c r="A259" s="22" t="b">
        <v>0</v>
      </c>
      <c r="B259" s="22" t="s">
        <v>1826</v>
      </c>
      <c r="C259" s="34">
        <v>45897</v>
      </c>
      <c r="D259" s="22" t="s">
        <v>63</v>
      </c>
      <c r="E259" s="22">
        <v>-6</v>
      </c>
      <c r="F259" s="28">
        <v>-1</v>
      </c>
      <c r="G259" s="22" t="s">
        <v>489</v>
      </c>
      <c r="H259" s="22" t="s">
        <v>483</v>
      </c>
      <c r="I259" s="22"/>
    </row>
    <row r="260" spans="1:9" x14ac:dyDescent="0.25">
      <c r="A260" s="22" t="b">
        <v>0</v>
      </c>
      <c r="B260" s="22" t="s">
        <v>1818</v>
      </c>
      <c r="C260" s="34">
        <v>45898</v>
      </c>
      <c r="D260" s="22" t="s">
        <v>3832</v>
      </c>
      <c r="E260" s="22">
        <v>-7</v>
      </c>
      <c r="F260" s="28">
        <v>-1.17</v>
      </c>
      <c r="G260" s="22" t="s">
        <v>489</v>
      </c>
      <c r="H260" s="22" t="s">
        <v>483</v>
      </c>
      <c r="I260" s="22"/>
    </row>
    <row r="261" spans="1:9" x14ac:dyDescent="0.25">
      <c r="A261" s="22" t="b">
        <v>0</v>
      </c>
      <c r="B261" s="22" t="s">
        <v>1819</v>
      </c>
      <c r="C261" s="34">
        <v>45898</v>
      </c>
      <c r="D261" s="22" t="s">
        <v>3832</v>
      </c>
      <c r="E261" s="22">
        <v>-7.5</v>
      </c>
      <c r="F261" s="28">
        <v>-1.25</v>
      </c>
      <c r="G261" s="22" t="s">
        <v>489</v>
      </c>
      <c r="H261" s="22" t="s">
        <v>483</v>
      </c>
      <c r="I261" s="22"/>
    </row>
    <row r="262" spans="1:9" x14ac:dyDescent="0.25">
      <c r="A262" s="22" t="b">
        <v>0</v>
      </c>
      <c r="B262" s="22" t="s">
        <v>1813</v>
      </c>
      <c r="C262" s="34">
        <v>45899</v>
      </c>
      <c r="D262" s="22" t="s">
        <v>63</v>
      </c>
      <c r="E262" s="22">
        <v>-6</v>
      </c>
      <c r="F262" s="28">
        <v>-1</v>
      </c>
      <c r="G262" s="22" t="s">
        <v>489</v>
      </c>
      <c r="H262" s="22" t="s">
        <v>483</v>
      </c>
      <c r="I262" s="22"/>
    </row>
    <row r="263" spans="1:9" x14ac:dyDescent="0.25">
      <c r="A263" s="22" t="b">
        <v>0</v>
      </c>
      <c r="B263" s="22" t="s">
        <v>1814</v>
      </c>
      <c r="C263" s="34">
        <v>45899</v>
      </c>
      <c r="D263" s="22" t="s">
        <v>63</v>
      </c>
      <c r="E263" s="22">
        <v>-6</v>
      </c>
      <c r="F263" s="28">
        <v>-1</v>
      </c>
      <c r="G263" s="22" t="s">
        <v>489</v>
      </c>
      <c r="H263" s="22" t="s">
        <v>483</v>
      </c>
      <c r="I263" s="22"/>
    </row>
    <row r="264" spans="1:9" x14ac:dyDescent="0.25">
      <c r="A264" s="22" t="b">
        <v>0</v>
      </c>
      <c r="B264" s="22" t="s">
        <v>1805</v>
      </c>
      <c r="C264" s="34">
        <v>45900</v>
      </c>
      <c r="D264" s="22" t="s">
        <v>206</v>
      </c>
      <c r="E264" s="22">
        <v>-18.5</v>
      </c>
      <c r="F264" s="28">
        <v>-3.08</v>
      </c>
      <c r="G264" s="22" t="s">
        <v>489</v>
      </c>
      <c r="H264" s="22" t="s">
        <v>483</v>
      </c>
      <c r="I264" s="22"/>
    </row>
    <row r="265" spans="1:9" x14ac:dyDescent="0.25">
      <c r="A265" s="22" t="b">
        <v>0</v>
      </c>
      <c r="B265" s="22" t="s">
        <v>1801</v>
      </c>
      <c r="C265" s="34">
        <v>45901</v>
      </c>
      <c r="D265" s="22" t="s">
        <v>63</v>
      </c>
      <c r="E265" s="22">
        <v>-6</v>
      </c>
      <c r="F265" s="28">
        <v>-1</v>
      </c>
      <c r="G265" s="22" t="s">
        <v>489</v>
      </c>
      <c r="H265" s="22" t="s">
        <v>483</v>
      </c>
      <c r="I265" s="22"/>
    </row>
    <row r="266" spans="1:9" x14ac:dyDescent="0.25">
      <c r="A266" s="22" t="b">
        <v>0</v>
      </c>
      <c r="B266" s="22" t="s">
        <v>1802</v>
      </c>
      <c r="C266" s="34">
        <v>45901</v>
      </c>
      <c r="D266" s="22" t="s">
        <v>63</v>
      </c>
      <c r="E266" s="22">
        <v>-6</v>
      </c>
      <c r="F266" s="28">
        <v>-1</v>
      </c>
      <c r="G266" s="22" t="s">
        <v>489</v>
      </c>
      <c r="H266" s="22" t="s">
        <v>483</v>
      </c>
      <c r="I266" s="22"/>
    </row>
    <row r="267" spans="1:9" x14ac:dyDescent="0.25">
      <c r="A267" s="22" t="b">
        <v>0</v>
      </c>
      <c r="B267" s="22" t="s">
        <v>1779</v>
      </c>
      <c r="C267" s="34">
        <v>45905</v>
      </c>
      <c r="D267" s="22" t="s">
        <v>3847</v>
      </c>
      <c r="E267" s="22">
        <v>-40</v>
      </c>
      <c r="F267" s="28">
        <v>-6.67</v>
      </c>
      <c r="G267" s="22" t="s">
        <v>489</v>
      </c>
      <c r="H267" s="22" t="s">
        <v>483</v>
      </c>
      <c r="I267" s="22"/>
    </row>
    <row r="268" spans="1:9" x14ac:dyDescent="0.25">
      <c r="A268" s="22" t="b">
        <v>0</v>
      </c>
      <c r="B268" s="22" t="s">
        <v>1770</v>
      </c>
      <c r="C268" s="34">
        <v>45906</v>
      </c>
      <c r="D268" s="22" t="s">
        <v>120</v>
      </c>
      <c r="E268" s="22">
        <v>-0.88</v>
      </c>
      <c r="F268" s="28">
        <v>-0.15</v>
      </c>
      <c r="G268" s="22" t="s">
        <v>489</v>
      </c>
      <c r="H268" s="22" t="s">
        <v>483</v>
      </c>
      <c r="I268" s="22"/>
    </row>
    <row r="269" spans="1:9" x14ac:dyDescent="0.25">
      <c r="A269" s="22" t="b">
        <v>0</v>
      </c>
      <c r="B269" s="22" t="s">
        <v>1771</v>
      </c>
      <c r="C269" s="34">
        <v>45906</v>
      </c>
      <c r="D269" s="22" t="s">
        <v>120</v>
      </c>
      <c r="E269" s="22">
        <v>-0.84</v>
      </c>
      <c r="F269" s="28">
        <v>-0.14000000000000001</v>
      </c>
      <c r="G269" s="22" t="s">
        <v>489</v>
      </c>
      <c r="H269" s="22" t="s">
        <v>483</v>
      </c>
      <c r="I269" s="22"/>
    </row>
    <row r="270" spans="1:9" x14ac:dyDescent="0.25">
      <c r="A270" s="22" t="b">
        <v>0</v>
      </c>
      <c r="B270" s="22" t="s">
        <v>1772</v>
      </c>
      <c r="C270" s="34">
        <v>45906</v>
      </c>
      <c r="D270" s="22" t="s">
        <v>120</v>
      </c>
      <c r="E270" s="22">
        <v>-1.25</v>
      </c>
      <c r="F270" s="28">
        <v>-0.21</v>
      </c>
      <c r="G270" s="22" t="s">
        <v>489</v>
      </c>
      <c r="H270" s="22" t="s">
        <v>483</v>
      </c>
      <c r="I270" s="22"/>
    </row>
    <row r="271" spans="1:9" x14ac:dyDescent="0.25">
      <c r="A271" s="22" t="b">
        <v>0</v>
      </c>
      <c r="B271" s="22" t="s">
        <v>1773</v>
      </c>
      <c r="C271" s="34">
        <v>45906</v>
      </c>
      <c r="D271" s="22" t="s">
        <v>120</v>
      </c>
      <c r="E271" s="22">
        <v>-0.84</v>
      </c>
      <c r="F271" s="28">
        <v>-0.14000000000000001</v>
      </c>
      <c r="G271" s="22" t="s">
        <v>489</v>
      </c>
      <c r="H271" s="22" t="s">
        <v>483</v>
      </c>
      <c r="I271" s="22"/>
    </row>
    <row r="272" spans="1:9" x14ac:dyDescent="0.25">
      <c r="A272" s="22" t="b">
        <v>0</v>
      </c>
      <c r="B272" s="22" t="s">
        <v>1774</v>
      </c>
      <c r="C272" s="34">
        <v>45906</v>
      </c>
      <c r="D272" s="22" t="s">
        <v>120</v>
      </c>
      <c r="E272" s="22">
        <v>-0.84</v>
      </c>
      <c r="F272" s="28">
        <v>-0.14000000000000001</v>
      </c>
      <c r="G272" s="22" t="s">
        <v>489</v>
      </c>
      <c r="H272" s="22" t="s">
        <v>483</v>
      </c>
      <c r="I272" s="22"/>
    </row>
    <row r="273" spans="1:9" x14ac:dyDescent="0.25">
      <c r="A273" s="22" t="b">
        <v>0</v>
      </c>
      <c r="B273" s="22" t="s">
        <v>1765</v>
      </c>
      <c r="C273" s="34">
        <v>45908</v>
      </c>
      <c r="D273" s="22" t="s">
        <v>63</v>
      </c>
      <c r="E273" s="22">
        <v>-6</v>
      </c>
      <c r="F273" s="28">
        <v>-1</v>
      </c>
      <c r="G273" s="22" t="s">
        <v>489</v>
      </c>
      <c r="H273" s="22" t="s">
        <v>483</v>
      </c>
      <c r="I273" s="22"/>
    </row>
    <row r="274" spans="1:9" x14ac:dyDescent="0.25">
      <c r="A274" s="22" t="b">
        <v>0</v>
      </c>
      <c r="B274" s="22" t="s">
        <v>1759</v>
      </c>
      <c r="C274" s="34">
        <v>45909</v>
      </c>
      <c r="D274" s="22" t="s">
        <v>63</v>
      </c>
      <c r="E274" s="22">
        <v>-18</v>
      </c>
      <c r="F274" s="28">
        <v>-3</v>
      </c>
      <c r="G274" s="22" t="s">
        <v>489</v>
      </c>
      <c r="H274" s="22" t="s">
        <v>483</v>
      </c>
      <c r="I274" s="22"/>
    </row>
    <row r="275" spans="1:9" x14ac:dyDescent="0.25">
      <c r="A275" s="22" t="b">
        <v>0</v>
      </c>
      <c r="B275" s="22" t="s">
        <v>1760</v>
      </c>
      <c r="C275" s="34">
        <v>45909</v>
      </c>
      <c r="D275" s="22" t="s">
        <v>63</v>
      </c>
      <c r="E275" s="22">
        <v>-6</v>
      </c>
      <c r="F275" s="28">
        <v>-1</v>
      </c>
      <c r="G275" s="22" t="s">
        <v>489</v>
      </c>
      <c r="H275" s="22" t="s">
        <v>483</v>
      </c>
      <c r="I275" s="22"/>
    </row>
    <row r="276" spans="1:9" x14ac:dyDescent="0.25">
      <c r="A276" s="22" t="b">
        <v>0</v>
      </c>
      <c r="B276" s="22" t="s">
        <v>1747</v>
      </c>
      <c r="C276" s="34">
        <v>45911</v>
      </c>
      <c r="D276" s="22" t="s">
        <v>120</v>
      </c>
      <c r="E276" s="22">
        <v>-1.42</v>
      </c>
      <c r="F276" s="28">
        <v>-0.24</v>
      </c>
      <c r="G276" s="22" t="s">
        <v>489</v>
      </c>
      <c r="H276" s="22" t="s">
        <v>483</v>
      </c>
      <c r="I276" s="22"/>
    </row>
    <row r="277" spans="1:9" x14ac:dyDescent="0.25">
      <c r="A277" s="22" t="b">
        <v>0</v>
      </c>
      <c r="B277" s="22" t="s">
        <v>1748</v>
      </c>
      <c r="C277" s="34">
        <v>45911</v>
      </c>
      <c r="D277" s="22" t="s">
        <v>63</v>
      </c>
      <c r="E277" s="22">
        <v>-6</v>
      </c>
      <c r="F277" s="28">
        <v>-1</v>
      </c>
      <c r="G277" s="22" t="s">
        <v>489</v>
      </c>
      <c r="H277" s="22" t="s">
        <v>483</v>
      </c>
      <c r="I277" s="22"/>
    </row>
    <row r="278" spans="1:9" x14ac:dyDescent="0.25">
      <c r="A278" s="22" t="b">
        <v>0</v>
      </c>
      <c r="B278" s="22" t="s">
        <v>1739</v>
      </c>
      <c r="C278" s="34">
        <v>45912</v>
      </c>
      <c r="D278" s="22" t="s">
        <v>63</v>
      </c>
      <c r="E278" s="22">
        <v>-6</v>
      </c>
      <c r="F278" s="28">
        <v>-1</v>
      </c>
      <c r="G278" s="22" t="s">
        <v>489</v>
      </c>
      <c r="H278" s="22" t="s">
        <v>483</v>
      </c>
      <c r="I278" s="22"/>
    </row>
    <row r="279" spans="1:9" x14ac:dyDescent="0.25">
      <c r="A279" s="22" t="b">
        <v>0</v>
      </c>
      <c r="B279" s="22" t="s">
        <v>1740</v>
      </c>
      <c r="C279" s="34">
        <v>45912</v>
      </c>
      <c r="D279" s="22" t="s">
        <v>63</v>
      </c>
      <c r="E279" s="22">
        <v>-6</v>
      </c>
      <c r="F279" s="28">
        <v>-1</v>
      </c>
      <c r="G279" s="22" t="s">
        <v>489</v>
      </c>
      <c r="H279" s="22" t="s">
        <v>483</v>
      </c>
      <c r="I279" s="22"/>
    </row>
    <row r="280" spans="1:9" x14ac:dyDescent="0.25">
      <c r="A280" s="22" t="b">
        <v>0</v>
      </c>
      <c r="B280" s="22" t="s">
        <v>1736</v>
      </c>
      <c r="C280" s="34">
        <v>45913</v>
      </c>
      <c r="D280" s="22" t="s">
        <v>31</v>
      </c>
      <c r="E280" s="22">
        <v>-6.9</v>
      </c>
      <c r="F280" s="28">
        <v>-1.1499999999999999</v>
      </c>
      <c r="G280" s="22" t="s">
        <v>489</v>
      </c>
      <c r="H280" s="22" t="s">
        <v>483</v>
      </c>
      <c r="I280" s="22"/>
    </row>
    <row r="281" spans="1:9" x14ac:dyDescent="0.25">
      <c r="A281" s="22" t="b">
        <v>0</v>
      </c>
      <c r="B281" s="22" t="s">
        <v>1724</v>
      </c>
      <c r="C281" s="34">
        <v>45914</v>
      </c>
      <c r="D281" s="22" t="s">
        <v>120</v>
      </c>
      <c r="E281" s="22">
        <v>-0.84</v>
      </c>
      <c r="F281" s="28">
        <v>-0.14000000000000001</v>
      </c>
      <c r="G281" s="22" t="s">
        <v>489</v>
      </c>
      <c r="H281" s="22" t="s">
        <v>483</v>
      </c>
      <c r="I281" s="22"/>
    </row>
    <row r="282" spans="1:9" x14ac:dyDescent="0.25">
      <c r="A282" s="22" t="b">
        <v>0</v>
      </c>
      <c r="B282" s="22" t="s">
        <v>1725</v>
      </c>
      <c r="C282" s="34">
        <v>45914</v>
      </c>
      <c r="D282" s="22" t="s">
        <v>170</v>
      </c>
      <c r="E282" s="22">
        <v>-7</v>
      </c>
      <c r="F282" s="28">
        <v>-1.17</v>
      </c>
      <c r="G282" s="22" t="s">
        <v>489</v>
      </c>
      <c r="H282" s="22" t="s">
        <v>483</v>
      </c>
      <c r="I282" s="22"/>
    </row>
    <row r="283" spans="1:9" x14ac:dyDescent="0.25">
      <c r="A283" s="22" t="b">
        <v>0</v>
      </c>
      <c r="B283" s="22" t="s">
        <v>1726</v>
      </c>
      <c r="C283" s="34">
        <v>45914</v>
      </c>
      <c r="D283" s="22" t="s">
        <v>63</v>
      </c>
      <c r="E283" s="22">
        <v>-6</v>
      </c>
      <c r="F283" s="28">
        <v>-1</v>
      </c>
      <c r="G283" s="22" t="s">
        <v>489</v>
      </c>
      <c r="H283" s="22" t="s">
        <v>483</v>
      </c>
      <c r="I283" s="22"/>
    </row>
    <row r="284" spans="1:9" x14ac:dyDescent="0.25">
      <c r="A284" s="22" t="b">
        <v>0</v>
      </c>
      <c r="B284" s="22" t="s">
        <v>1711</v>
      </c>
      <c r="C284" s="34">
        <v>45915</v>
      </c>
      <c r="D284" s="22" t="s">
        <v>3838</v>
      </c>
      <c r="E284" s="22">
        <v>-7.5</v>
      </c>
      <c r="F284" s="28">
        <v>-1.25</v>
      </c>
      <c r="G284" s="22" t="s">
        <v>489</v>
      </c>
      <c r="H284" s="22" t="s">
        <v>483</v>
      </c>
      <c r="I284" s="22"/>
    </row>
    <row r="285" spans="1:9" x14ac:dyDescent="0.25">
      <c r="A285" s="22" t="b">
        <v>0</v>
      </c>
      <c r="B285" s="22" t="s">
        <v>1713</v>
      </c>
      <c r="C285" s="34">
        <v>45915</v>
      </c>
      <c r="D285" s="22" t="s">
        <v>63</v>
      </c>
      <c r="E285" s="22">
        <v>-6</v>
      </c>
      <c r="F285" s="28">
        <v>-1</v>
      </c>
      <c r="G285" s="22" t="s">
        <v>489</v>
      </c>
      <c r="H285" s="22" t="s">
        <v>483</v>
      </c>
      <c r="I285" s="22"/>
    </row>
    <row r="286" spans="1:9" x14ac:dyDescent="0.25">
      <c r="A286" s="22" t="b">
        <v>0</v>
      </c>
      <c r="B286" s="22" t="s">
        <v>1714</v>
      </c>
      <c r="C286" s="34">
        <v>45915</v>
      </c>
      <c r="D286" s="22" t="s">
        <v>63</v>
      </c>
      <c r="E286" s="22">
        <v>-6</v>
      </c>
      <c r="F286" s="28">
        <v>-1</v>
      </c>
      <c r="G286" s="22" t="s">
        <v>489</v>
      </c>
      <c r="H286" s="22" t="s">
        <v>483</v>
      </c>
      <c r="I286" s="22"/>
    </row>
    <row r="287" spans="1:9" x14ac:dyDescent="0.25">
      <c r="A287" s="22" t="b">
        <v>0</v>
      </c>
      <c r="B287" s="22" t="s">
        <v>1715</v>
      </c>
      <c r="C287" s="34">
        <v>45915</v>
      </c>
      <c r="D287" s="22" t="s">
        <v>63</v>
      </c>
      <c r="E287" s="22">
        <v>-6</v>
      </c>
      <c r="F287" s="28">
        <v>-1</v>
      </c>
      <c r="G287" s="22" t="s">
        <v>489</v>
      </c>
      <c r="H287" s="22" t="s">
        <v>483</v>
      </c>
      <c r="I287" s="22"/>
    </row>
    <row r="288" spans="1:9" x14ac:dyDescent="0.25">
      <c r="A288" s="22" t="b">
        <v>0</v>
      </c>
      <c r="B288" s="22" t="s">
        <v>1704</v>
      </c>
      <c r="C288" s="34">
        <v>45916</v>
      </c>
      <c r="D288" s="22" t="s">
        <v>63</v>
      </c>
      <c r="E288" s="22">
        <v>-6</v>
      </c>
      <c r="F288" s="28">
        <v>-1</v>
      </c>
      <c r="G288" s="22" t="s">
        <v>489</v>
      </c>
      <c r="H288" s="22" t="s">
        <v>483</v>
      </c>
      <c r="I288" s="22"/>
    </row>
    <row r="289" spans="1:9" x14ac:dyDescent="0.25">
      <c r="A289" s="22" t="b">
        <v>0</v>
      </c>
      <c r="B289" s="22" t="s">
        <v>1705</v>
      </c>
      <c r="C289" s="34">
        <v>45916</v>
      </c>
      <c r="D289" s="22" t="s">
        <v>63</v>
      </c>
      <c r="E289" s="22">
        <v>-6</v>
      </c>
      <c r="F289" s="28">
        <v>-1</v>
      </c>
      <c r="G289" s="22" t="s">
        <v>489</v>
      </c>
      <c r="H289" s="22" t="s">
        <v>483</v>
      </c>
      <c r="I289" s="22"/>
    </row>
    <row r="290" spans="1:9" x14ac:dyDescent="0.25">
      <c r="A290" s="22" t="b">
        <v>0</v>
      </c>
      <c r="B290" s="22" t="s">
        <v>1699</v>
      </c>
      <c r="C290" s="34">
        <v>45917</v>
      </c>
      <c r="D290" s="22" t="s">
        <v>63</v>
      </c>
      <c r="E290" s="22">
        <v>-6</v>
      </c>
      <c r="F290" s="28">
        <v>-1</v>
      </c>
      <c r="G290" s="22" t="s">
        <v>489</v>
      </c>
      <c r="H290" s="22" t="s">
        <v>483</v>
      </c>
      <c r="I290" s="22"/>
    </row>
    <row r="291" spans="1:9" x14ac:dyDescent="0.25">
      <c r="A291" s="22" t="b">
        <v>0</v>
      </c>
      <c r="B291" s="22" t="s">
        <v>1691</v>
      </c>
      <c r="C291" s="34">
        <v>45918</v>
      </c>
      <c r="D291" s="22" t="s">
        <v>63</v>
      </c>
      <c r="E291" s="22">
        <v>-6</v>
      </c>
      <c r="F291" s="28">
        <v>-1</v>
      </c>
      <c r="G291" s="22" t="s">
        <v>489</v>
      </c>
      <c r="H291" s="22" t="s">
        <v>483</v>
      </c>
      <c r="I291" s="22"/>
    </row>
    <row r="292" spans="1:9" x14ac:dyDescent="0.25">
      <c r="A292" s="22" t="b">
        <v>0</v>
      </c>
      <c r="B292" s="22" t="s">
        <v>1692</v>
      </c>
      <c r="C292" s="34">
        <v>45918</v>
      </c>
      <c r="D292" s="22" t="s">
        <v>120</v>
      </c>
      <c r="E292" s="22">
        <v>-0.59</v>
      </c>
      <c r="F292" s="28">
        <v>-0.1</v>
      </c>
      <c r="G292" s="22" t="s">
        <v>489</v>
      </c>
      <c r="H292" s="22" t="s">
        <v>483</v>
      </c>
      <c r="I292" s="22"/>
    </row>
    <row r="293" spans="1:9" x14ac:dyDescent="0.25">
      <c r="A293" s="22" t="b">
        <v>0</v>
      </c>
      <c r="B293" s="22" t="s">
        <v>1683</v>
      </c>
      <c r="C293" s="34">
        <v>45920</v>
      </c>
      <c r="D293" s="22" t="s">
        <v>63</v>
      </c>
      <c r="E293" s="22">
        <v>-6</v>
      </c>
      <c r="F293" s="28">
        <v>-1</v>
      </c>
      <c r="G293" s="22" t="s">
        <v>489</v>
      </c>
      <c r="H293" s="22" t="s">
        <v>483</v>
      </c>
      <c r="I293" s="22"/>
    </row>
    <row r="294" spans="1:9" x14ac:dyDescent="0.25">
      <c r="A294" s="22" t="b">
        <v>0</v>
      </c>
      <c r="B294" s="22" t="s">
        <v>1679</v>
      </c>
      <c r="C294" s="34">
        <v>45921</v>
      </c>
      <c r="D294" s="22" t="s">
        <v>63</v>
      </c>
      <c r="E294" s="22">
        <v>-6</v>
      </c>
      <c r="F294" s="28">
        <v>-1</v>
      </c>
      <c r="G294" s="22" t="s">
        <v>489</v>
      </c>
      <c r="H294" s="22" t="s">
        <v>483</v>
      </c>
      <c r="I294" s="22"/>
    </row>
    <row r="295" spans="1:9" x14ac:dyDescent="0.25">
      <c r="A295" s="22" t="b">
        <v>0</v>
      </c>
      <c r="B295" s="22" t="s">
        <v>1673</v>
      </c>
      <c r="C295" s="34">
        <v>45923</v>
      </c>
      <c r="D295" s="22" t="s">
        <v>120</v>
      </c>
      <c r="E295" s="22">
        <v>-0.88</v>
      </c>
      <c r="F295" s="28">
        <v>-0.15</v>
      </c>
      <c r="G295" s="22" t="s">
        <v>489</v>
      </c>
      <c r="H295" s="22" t="s">
        <v>483</v>
      </c>
      <c r="I295" s="22"/>
    </row>
    <row r="296" spans="1:9" x14ac:dyDescent="0.25">
      <c r="A296" s="22" t="b">
        <v>0</v>
      </c>
      <c r="B296" s="22" t="s">
        <v>1669</v>
      </c>
      <c r="C296" s="34">
        <v>45924</v>
      </c>
      <c r="D296" s="22" t="s">
        <v>63</v>
      </c>
      <c r="E296" s="22">
        <v>-6</v>
      </c>
      <c r="F296" s="28">
        <v>-1</v>
      </c>
      <c r="G296" s="22" t="s">
        <v>489</v>
      </c>
      <c r="H296" s="22" t="s">
        <v>483</v>
      </c>
      <c r="I296" s="22"/>
    </row>
    <row r="297" spans="1:9" x14ac:dyDescent="0.25">
      <c r="A297" s="22" t="b">
        <v>0</v>
      </c>
      <c r="B297" s="22" t="s">
        <v>1670</v>
      </c>
      <c r="C297" s="34">
        <v>45924</v>
      </c>
      <c r="D297" s="22" t="s">
        <v>63</v>
      </c>
      <c r="E297" s="22">
        <v>-6</v>
      </c>
      <c r="F297" s="28">
        <v>-1</v>
      </c>
      <c r="G297" s="22" t="s">
        <v>489</v>
      </c>
      <c r="H297" s="22" t="s">
        <v>483</v>
      </c>
      <c r="I297" s="22"/>
    </row>
    <row r="298" spans="1:9" x14ac:dyDescent="0.25">
      <c r="A298" s="22" t="b">
        <v>0</v>
      </c>
      <c r="B298" s="22" t="s">
        <v>1646</v>
      </c>
      <c r="C298" s="34">
        <v>45926</v>
      </c>
      <c r="D298" s="22" t="s">
        <v>63</v>
      </c>
      <c r="E298" s="22">
        <v>-6</v>
      </c>
      <c r="F298" s="28">
        <v>-1</v>
      </c>
      <c r="G298" s="22" t="s">
        <v>489</v>
      </c>
      <c r="H298" s="22" t="s">
        <v>483</v>
      </c>
      <c r="I298" s="22"/>
    </row>
    <row r="299" spans="1:9" x14ac:dyDescent="0.25">
      <c r="A299" s="22" t="b">
        <v>0</v>
      </c>
      <c r="B299" s="22" t="s">
        <v>1647</v>
      </c>
      <c r="C299" s="34">
        <v>45926</v>
      </c>
      <c r="D299" s="22" t="s">
        <v>3848</v>
      </c>
      <c r="E299" s="22">
        <v>-3.6</v>
      </c>
      <c r="F299" s="28">
        <v>-0.6</v>
      </c>
      <c r="G299" s="22" t="s">
        <v>489</v>
      </c>
      <c r="H299" s="22" t="s">
        <v>483</v>
      </c>
      <c r="I299" s="22"/>
    </row>
    <row r="300" spans="1:9" x14ac:dyDescent="0.25">
      <c r="A300" s="22" t="b">
        <v>0</v>
      </c>
      <c r="B300" s="22" t="s">
        <v>1642</v>
      </c>
      <c r="C300" s="34">
        <v>45927</v>
      </c>
      <c r="D300" s="22" t="s">
        <v>3835</v>
      </c>
      <c r="E300" s="22">
        <v>-10</v>
      </c>
      <c r="F300" s="28">
        <v>-1.67</v>
      </c>
      <c r="G300" s="22" t="s">
        <v>489</v>
      </c>
      <c r="H300" s="22" t="s">
        <v>483</v>
      </c>
      <c r="I300" s="22"/>
    </row>
    <row r="301" spans="1:9" x14ac:dyDescent="0.25">
      <c r="A301" s="22" t="b">
        <v>0</v>
      </c>
      <c r="B301" s="22" t="s">
        <v>1633</v>
      </c>
      <c r="C301" s="34">
        <v>45928</v>
      </c>
      <c r="D301" s="22" t="s">
        <v>3838</v>
      </c>
      <c r="E301" s="22">
        <v>-11.5</v>
      </c>
      <c r="F301" s="28">
        <v>-1.92</v>
      </c>
      <c r="G301" s="22" t="s">
        <v>489</v>
      </c>
      <c r="H301" s="22" t="s">
        <v>483</v>
      </c>
      <c r="I301" s="22"/>
    </row>
    <row r="302" spans="1:9" x14ac:dyDescent="0.25">
      <c r="A302" s="22" t="b">
        <v>0</v>
      </c>
      <c r="B302" s="22" t="s">
        <v>1636</v>
      </c>
      <c r="C302" s="34">
        <v>45928</v>
      </c>
      <c r="D302" s="22" t="s">
        <v>63</v>
      </c>
      <c r="E302" s="22">
        <v>-6</v>
      </c>
      <c r="F302" s="28">
        <v>-1</v>
      </c>
      <c r="G302" s="22" t="s">
        <v>489</v>
      </c>
      <c r="H302" s="22" t="s">
        <v>483</v>
      </c>
      <c r="I302" s="22"/>
    </row>
    <row r="303" spans="1:9" x14ac:dyDescent="0.25">
      <c r="A303" s="22" t="b">
        <v>0</v>
      </c>
      <c r="B303" s="22" t="s">
        <v>1637</v>
      </c>
      <c r="C303" s="34">
        <v>45928</v>
      </c>
      <c r="D303" s="22" t="s">
        <v>3832</v>
      </c>
      <c r="E303" s="22">
        <v>-11</v>
      </c>
      <c r="F303" s="28">
        <v>-1.83</v>
      </c>
      <c r="G303" s="22" t="s">
        <v>489</v>
      </c>
      <c r="H303" s="22" t="s">
        <v>483</v>
      </c>
      <c r="I303" s="22"/>
    </row>
    <row r="304" spans="1:9" x14ac:dyDescent="0.25">
      <c r="A304" s="22" t="b">
        <v>0</v>
      </c>
      <c r="B304" s="22" t="s">
        <v>1638</v>
      </c>
      <c r="C304" s="34">
        <v>45928</v>
      </c>
      <c r="D304" s="22" t="s">
        <v>3832</v>
      </c>
      <c r="E304" s="22">
        <v>-7.5</v>
      </c>
      <c r="F304" s="28">
        <v>-1.25</v>
      </c>
      <c r="G304" s="22" t="s">
        <v>489</v>
      </c>
      <c r="H304" s="22" t="s">
        <v>483</v>
      </c>
      <c r="I304" s="22"/>
    </row>
    <row r="305" spans="1:9" x14ac:dyDescent="0.25">
      <c r="A305" s="22" t="b">
        <v>0</v>
      </c>
      <c r="B305" s="22" t="s">
        <v>1628</v>
      </c>
      <c r="C305" s="34">
        <v>45929</v>
      </c>
      <c r="D305" s="22" t="s">
        <v>3838</v>
      </c>
      <c r="E305" s="22">
        <v>-7.5</v>
      </c>
      <c r="F305" s="28">
        <v>-1.25</v>
      </c>
      <c r="G305" s="22" t="s">
        <v>489</v>
      </c>
      <c r="H305" s="22" t="s">
        <v>483</v>
      </c>
      <c r="I305" s="22"/>
    </row>
    <row r="306" spans="1:9" x14ac:dyDescent="0.25">
      <c r="A306" s="22" t="b">
        <v>0</v>
      </c>
      <c r="B306" s="22" t="s">
        <v>1629</v>
      </c>
      <c r="C306" s="34">
        <v>45929</v>
      </c>
      <c r="D306" s="22" t="s">
        <v>3838</v>
      </c>
      <c r="E306" s="22">
        <v>-7</v>
      </c>
      <c r="F306" s="28">
        <v>-1.17</v>
      </c>
      <c r="G306" s="22" t="s">
        <v>489</v>
      </c>
      <c r="H306" s="22" t="s">
        <v>483</v>
      </c>
      <c r="I306" s="22"/>
    </row>
    <row r="307" spans="1:9" x14ac:dyDescent="0.25">
      <c r="A307" s="22" t="b">
        <v>0</v>
      </c>
      <c r="B307" s="22" t="s">
        <v>1624</v>
      </c>
      <c r="C307" s="34">
        <v>45930</v>
      </c>
      <c r="D307" s="22" t="s">
        <v>63</v>
      </c>
      <c r="E307" s="22">
        <v>-6</v>
      </c>
      <c r="F307" s="28">
        <v>-1</v>
      </c>
      <c r="G307" s="22" t="s">
        <v>489</v>
      </c>
      <c r="H307" s="22" t="s">
        <v>483</v>
      </c>
      <c r="I307" s="22"/>
    </row>
    <row r="308" spans="1:9" x14ac:dyDescent="0.25">
      <c r="A308" s="22" t="b">
        <v>0</v>
      </c>
      <c r="B308" s="22" t="s">
        <v>1610</v>
      </c>
      <c r="C308" s="34">
        <v>45932</v>
      </c>
      <c r="D308" s="22" t="s">
        <v>63</v>
      </c>
      <c r="E308" s="22">
        <v>-6</v>
      </c>
      <c r="F308" s="28">
        <v>-1</v>
      </c>
      <c r="G308" s="22" t="s">
        <v>489</v>
      </c>
      <c r="H308" s="22" t="s">
        <v>483</v>
      </c>
      <c r="I308" s="22"/>
    </row>
    <row r="309" spans="1:9" x14ac:dyDescent="0.25">
      <c r="A309" s="22" t="b">
        <v>0</v>
      </c>
      <c r="B309" s="22" t="s">
        <v>1611</v>
      </c>
      <c r="C309" s="34">
        <v>45932</v>
      </c>
      <c r="D309" s="22" t="s">
        <v>3832</v>
      </c>
      <c r="E309" s="22">
        <v>-7.5</v>
      </c>
      <c r="F309" s="28">
        <v>-1.25</v>
      </c>
      <c r="G309" s="22" t="s">
        <v>489</v>
      </c>
      <c r="H309" s="22" t="s">
        <v>483</v>
      </c>
      <c r="I309" s="22"/>
    </row>
    <row r="310" spans="1:9" x14ac:dyDescent="0.25">
      <c r="A310" s="22" t="b">
        <v>0</v>
      </c>
      <c r="B310" s="22" t="s">
        <v>1603</v>
      </c>
      <c r="C310" s="34">
        <v>45934</v>
      </c>
      <c r="D310" s="22" t="s">
        <v>347</v>
      </c>
      <c r="E310" s="22">
        <v>-18.5</v>
      </c>
      <c r="F310" s="28">
        <v>-3.08</v>
      </c>
      <c r="G310" s="22" t="s">
        <v>489</v>
      </c>
      <c r="H310" s="22" t="s">
        <v>483</v>
      </c>
      <c r="I310" s="22"/>
    </row>
    <row r="311" spans="1:9" x14ac:dyDescent="0.25">
      <c r="A311" s="22" t="b">
        <v>0</v>
      </c>
      <c r="B311" s="22" t="s">
        <v>1604</v>
      </c>
      <c r="C311" s="34">
        <v>45934</v>
      </c>
      <c r="D311" s="22" t="s">
        <v>206</v>
      </c>
      <c r="E311" s="22">
        <v>-7.5</v>
      </c>
      <c r="F311" s="28">
        <v>-1.25</v>
      </c>
      <c r="G311" s="22" t="s">
        <v>489</v>
      </c>
      <c r="H311" s="22" t="s">
        <v>483</v>
      </c>
      <c r="I311" s="22"/>
    </row>
    <row r="312" spans="1:9" x14ac:dyDescent="0.25">
      <c r="A312" s="22" t="b">
        <v>0</v>
      </c>
      <c r="B312" s="22" t="s">
        <v>1589</v>
      </c>
      <c r="C312" s="34">
        <v>45935</v>
      </c>
      <c r="D312" s="22" t="s">
        <v>120</v>
      </c>
      <c r="E312" s="22">
        <v>-2.14</v>
      </c>
      <c r="F312" s="28">
        <v>-0.36</v>
      </c>
      <c r="G312" s="22" t="s">
        <v>489</v>
      </c>
      <c r="H312" s="22" t="s">
        <v>483</v>
      </c>
      <c r="I312" s="22"/>
    </row>
    <row r="313" spans="1:9" x14ac:dyDescent="0.25">
      <c r="A313" s="22" t="b">
        <v>0</v>
      </c>
      <c r="B313" s="22" t="s">
        <v>1590</v>
      </c>
      <c r="C313" s="34">
        <v>45935</v>
      </c>
      <c r="D313" s="22" t="s">
        <v>120</v>
      </c>
      <c r="E313" s="22">
        <v>-1.55</v>
      </c>
      <c r="F313" s="28">
        <v>-0.26</v>
      </c>
      <c r="G313" s="22" t="s">
        <v>489</v>
      </c>
      <c r="H313" s="22" t="s">
        <v>483</v>
      </c>
      <c r="I313" s="22"/>
    </row>
    <row r="314" spans="1:9" x14ac:dyDescent="0.25">
      <c r="A314" s="22" t="b">
        <v>0</v>
      </c>
      <c r="B314" s="22" t="s">
        <v>1591</v>
      </c>
      <c r="C314" s="34">
        <v>45935</v>
      </c>
      <c r="D314" s="22" t="s">
        <v>120</v>
      </c>
      <c r="E314" s="22">
        <v>-1.55</v>
      </c>
      <c r="F314" s="28">
        <v>-0.26</v>
      </c>
      <c r="G314" s="22" t="s">
        <v>489</v>
      </c>
      <c r="H314" s="22" t="s">
        <v>483</v>
      </c>
      <c r="I314" s="22"/>
    </row>
    <row r="315" spans="1:9" x14ac:dyDescent="0.25">
      <c r="A315" s="22" t="b">
        <v>0</v>
      </c>
      <c r="B315" s="22" t="s">
        <v>1592</v>
      </c>
      <c r="C315" s="34">
        <v>45935</v>
      </c>
      <c r="D315" s="22" t="s">
        <v>120</v>
      </c>
      <c r="E315" s="22">
        <v>-1.47</v>
      </c>
      <c r="F315" s="28">
        <v>-0.24</v>
      </c>
      <c r="G315" s="22" t="s">
        <v>489</v>
      </c>
      <c r="H315" s="22" t="s">
        <v>483</v>
      </c>
      <c r="I315" s="22"/>
    </row>
    <row r="316" spans="1:9" x14ac:dyDescent="0.25">
      <c r="A316" s="22" t="b">
        <v>0</v>
      </c>
      <c r="B316" s="22" t="s">
        <v>1593</v>
      </c>
      <c r="C316" s="34">
        <v>45935</v>
      </c>
      <c r="D316" s="22" t="s">
        <v>120</v>
      </c>
      <c r="E316" s="22">
        <v>-0.89</v>
      </c>
      <c r="F316" s="28">
        <v>-0.15</v>
      </c>
      <c r="G316" s="22" t="s">
        <v>489</v>
      </c>
      <c r="H316" s="22" t="s">
        <v>483</v>
      </c>
      <c r="I316" s="22"/>
    </row>
    <row r="317" spans="1:9" x14ac:dyDescent="0.25">
      <c r="A317" s="22" t="b">
        <v>0</v>
      </c>
      <c r="B317" s="22" t="s">
        <v>1594</v>
      </c>
      <c r="C317" s="34">
        <v>45935</v>
      </c>
      <c r="D317" s="22" t="s">
        <v>120</v>
      </c>
      <c r="E317" s="22">
        <v>-0.89</v>
      </c>
      <c r="F317" s="28">
        <v>-0.15</v>
      </c>
      <c r="G317" s="22" t="s">
        <v>489</v>
      </c>
      <c r="H317" s="22" t="s">
        <v>483</v>
      </c>
      <c r="I317" s="22"/>
    </row>
    <row r="318" spans="1:9" x14ac:dyDescent="0.25">
      <c r="A318" s="22" t="b">
        <v>0</v>
      </c>
      <c r="B318" s="22" t="s">
        <v>1576</v>
      </c>
      <c r="C318" s="34">
        <v>45941</v>
      </c>
      <c r="D318" s="22" t="s">
        <v>63</v>
      </c>
      <c r="E318" s="22">
        <v>-6</v>
      </c>
      <c r="F318" s="28">
        <v>-1</v>
      </c>
      <c r="G318" s="22" t="s">
        <v>489</v>
      </c>
      <c r="H318" s="22" t="s">
        <v>483</v>
      </c>
      <c r="I318" s="22"/>
    </row>
    <row r="319" spans="1:9" x14ac:dyDescent="0.25">
      <c r="A319" s="22" t="b">
        <v>0</v>
      </c>
      <c r="B319" s="22" t="s">
        <v>1577</v>
      </c>
      <c r="C319" s="34">
        <v>45941</v>
      </c>
      <c r="D319" s="22" t="s">
        <v>3832</v>
      </c>
      <c r="E319" s="22">
        <v>-11.5</v>
      </c>
      <c r="F319" s="28">
        <v>-1.92</v>
      </c>
      <c r="G319" s="22" t="s">
        <v>489</v>
      </c>
      <c r="H319" s="22" t="s">
        <v>483</v>
      </c>
      <c r="I319" s="22"/>
    </row>
    <row r="320" spans="1:9" x14ac:dyDescent="0.25">
      <c r="A320" s="22" t="b">
        <v>0</v>
      </c>
      <c r="B320" s="22" t="s">
        <v>1575</v>
      </c>
      <c r="C320" s="34">
        <v>45942</v>
      </c>
      <c r="D320" s="22" t="s">
        <v>63</v>
      </c>
      <c r="E320" s="22">
        <v>-6</v>
      </c>
      <c r="F320" s="28">
        <v>-1</v>
      </c>
      <c r="G320" s="22" t="s">
        <v>489</v>
      </c>
      <c r="H320" s="22" t="s">
        <v>483</v>
      </c>
      <c r="I320" s="22"/>
    </row>
    <row r="321" spans="1:9" x14ac:dyDescent="0.25">
      <c r="A321" s="22" t="b">
        <v>0</v>
      </c>
      <c r="B321" s="22" t="s">
        <v>1568</v>
      </c>
      <c r="C321" s="34">
        <v>45946</v>
      </c>
      <c r="D321" s="22" t="s">
        <v>63</v>
      </c>
      <c r="E321" s="22">
        <v>-6</v>
      </c>
      <c r="F321" s="28">
        <v>-1</v>
      </c>
      <c r="G321" s="22" t="s">
        <v>489</v>
      </c>
      <c r="H321" s="22" t="s">
        <v>483</v>
      </c>
      <c r="I321" s="22"/>
    </row>
    <row r="322" spans="1:9" x14ac:dyDescent="0.25">
      <c r="A322" s="22" t="b">
        <v>0</v>
      </c>
      <c r="B322" s="22" t="s">
        <v>1566</v>
      </c>
      <c r="C322" s="34">
        <v>45947</v>
      </c>
      <c r="D322" s="22" t="s">
        <v>63</v>
      </c>
      <c r="E322" s="22">
        <v>-6</v>
      </c>
      <c r="F322" s="28">
        <v>-1</v>
      </c>
      <c r="G322" s="22" t="s">
        <v>489</v>
      </c>
      <c r="H322" s="22" t="s">
        <v>483</v>
      </c>
      <c r="I322" s="22"/>
    </row>
    <row r="323" spans="1:9" x14ac:dyDescent="0.25">
      <c r="A323" s="22" t="b">
        <v>0</v>
      </c>
      <c r="B323" s="22" t="s">
        <v>1560</v>
      </c>
      <c r="C323" s="34">
        <v>45948</v>
      </c>
      <c r="D323" s="22" t="s">
        <v>63</v>
      </c>
      <c r="E323" s="22">
        <v>-6</v>
      </c>
      <c r="F323" s="28">
        <v>-1</v>
      </c>
      <c r="G323" s="22" t="s">
        <v>489</v>
      </c>
      <c r="H323" s="22" t="s">
        <v>483</v>
      </c>
      <c r="I323" s="22"/>
    </row>
    <row r="324" spans="1:9" x14ac:dyDescent="0.25">
      <c r="A324" s="22" t="b">
        <v>0</v>
      </c>
      <c r="B324" s="22" t="s">
        <v>1561</v>
      </c>
      <c r="C324" s="34">
        <v>45948</v>
      </c>
      <c r="D324" s="22" t="s">
        <v>3832</v>
      </c>
      <c r="E324" s="22">
        <v>-7.5</v>
      </c>
      <c r="F324" s="28">
        <v>-1.25</v>
      </c>
      <c r="G324" s="22" t="s">
        <v>489</v>
      </c>
      <c r="H324" s="22" t="s">
        <v>483</v>
      </c>
      <c r="I324" s="22"/>
    </row>
    <row r="325" spans="1:9" x14ac:dyDescent="0.25">
      <c r="A325" s="22" t="b">
        <v>0</v>
      </c>
      <c r="B325" s="22" t="s">
        <v>1562</v>
      </c>
      <c r="C325" s="34">
        <v>45948</v>
      </c>
      <c r="D325" s="22" t="s">
        <v>3832</v>
      </c>
      <c r="E325" s="22">
        <v>-7</v>
      </c>
      <c r="F325" s="28">
        <v>-1.17</v>
      </c>
      <c r="G325" s="22" t="s">
        <v>489</v>
      </c>
      <c r="H325" s="22" t="s">
        <v>483</v>
      </c>
      <c r="I325" s="22"/>
    </row>
    <row r="326" spans="1:9" x14ac:dyDescent="0.25">
      <c r="A326" s="22" t="b">
        <v>0</v>
      </c>
      <c r="B326" s="22" t="s">
        <v>1548</v>
      </c>
      <c r="C326" s="34">
        <v>45954</v>
      </c>
      <c r="D326" s="22" t="s">
        <v>63</v>
      </c>
      <c r="E326" s="22">
        <v>-6</v>
      </c>
      <c r="F326" s="28">
        <v>-1</v>
      </c>
      <c r="G326" s="22" t="s">
        <v>489</v>
      </c>
      <c r="H326" s="22" t="s">
        <v>483</v>
      </c>
      <c r="I326" s="22"/>
    </row>
    <row r="327" spans="1:9" x14ac:dyDescent="0.25">
      <c r="A327" s="22" t="b">
        <v>0</v>
      </c>
      <c r="B327" s="22" t="s">
        <v>1549</v>
      </c>
      <c r="C327" s="34">
        <v>45954</v>
      </c>
      <c r="D327" s="22" t="s">
        <v>63</v>
      </c>
      <c r="E327" s="22">
        <v>-6</v>
      </c>
      <c r="F327" s="28">
        <v>-1</v>
      </c>
      <c r="G327" s="22" t="s">
        <v>489</v>
      </c>
      <c r="H327" s="22" t="s">
        <v>483</v>
      </c>
      <c r="I327" s="22"/>
    </row>
    <row r="328" spans="1:9" x14ac:dyDescent="0.25">
      <c r="A328" s="22" t="b">
        <v>0</v>
      </c>
      <c r="B328" s="22" t="s">
        <v>1550</v>
      </c>
      <c r="C328" s="34">
        <v>45954</v>
      </c>
      <c r="D328" s="22" t="s">
        <v>63</v>
      </c>
      <c r="E328" s="22">
        <v>-6</v>
      </c>
      <c r="F328" s="28">
        <v>-1</v>
      </c>
      <c r="G328" s="22" t="s">
        <v>489</v>
      </c>
      <c r="H328" s="22" t="s">
        <v>483</v>
      </c>
      <c r="I328" s="22"/>
    </row>
    <row r="329" spans="1:9" x14ac:dyDescent="0.25">
      <c r="A329" s="22" t="b">
        <v>0</v>
      </c>
      <c r="B329" s="22" t="s">
        <v>1542</v>
      </c>
      <c r="C329" s="34">
        <v>45956</v>
      </c>
      <c r="D329" s="22" t="s">
        <v>63</v>
      </c>
      <c r="E329" s="22">
        <v>-6</v>
      </c>
      <c r="F329" s="28">
        <v>-1</v>
      </c>
      <c r="G329" s="22" t="s">
        <v>489</v>
      </c>
      <c r="H329" s="22" t="s">
        <v>483</v>
      </c>
      <c r="I329" s="22"/>
    </row>
    <row r="330" spans="1:9" x14ac:dyDescent="0.25">
      <c r="A330" s="22" t="b">
        <v>0</v>
      </c>
      <c r="B330" s="22" t="s">
        <v>1543</v>
      </c>
      <c r="C330" s="34">
        <v>45956</v>
      </c>
      <c r="D330" s="22" t="s">
        <v>63</v>
      </c>
      <c r="E330" s="22">
        <v>-6</v>
      </c>
      <c r="F330" s="28">
        <v>-1</v>
      </c>
      <c r="G330" s="22" t="s">
        <v>489</v>
      </c>
      <c r="H330" s="22" t="s">
        <v>483</v>
      </c>
      <c r="I330" s="22"/>
    </row>
    <row r="331" spans="1:9" x14ac:dyDescent="0.25">
      <c r="A331" s="22" t="b">
        <v>0</v>
      </c>
      <c r="B331" s="22" t="s">
        <v>1537</v>
      </c>
      <c r="C331" s="34">
        <v>45958</v>
      </c>
      <c r="D331" s="22" t="s">
        <v>63</v>
      </c>
      <c r="E331" s="22">
        <v>-6</v>
      </c>
      <c r="F331" s="28">
        <v>-1</v>
      </c>
      <c r="G331" s="22" t="s">
        <v>489</v>
      </c>
      <c r="H331" s="22" t="s">
        <v>483</v>
      </c>
      <c r="I331" s="22"/>
    </row>
    <row r="332" spans="1:9" x14ac:dyDescent="0.25">
      <c r="A332" s="22" t="b">
        <v>0</v>
      </c>
      <c r="B332" s="22" t="s">
        <v>1538</v>
      </c>
      <c r="C332" s="34">
        <v>45958</v>
      </c>
      <c r="D332" s="22" t="s">
        <v>3834</v>
      </c>
      <c r="E332" s="22">
        <v>-7</v>
      </c>
      <c r="F332" s="28">
        <v>-1.17</v>
      </c>
      <c r="G332" s="22" t="s">
        <v>489</v>
      </c>
      <c r="H332" s="22" t="s">
        <v>483</v>
      </c>
      <c r="I332" s="22"/>
    </row>
    <row r="333" spans="1:9" x14ac:dyDescent="0.25">
      <c r="A333" s="22" t="b">
        <v>0</v>
      </c>
      <c r="B333" s="22" t="s">
        <v>1526</v>
      </c>
      <c r="C333" s="34">
        <v>45962</v>
      </c>
      <c r="D333" s="22" t="s">
        <v>63</v>
      </c>
      <c r="E333" s="22">
        <v>-6</v>
      </c>
      <c r="F333" s="28">
        <v>-1</v>
      </c>
      <c r="G333" s="22" t="s">
        <v>489</v>
      </c>
      <c r="H333" s="22" t="s">
        <v>483</v>
      </c>
      <c r="I333" s="22"/>
    </row>
    <row r="334" spans="1:9" x14ac:dyDescent="0.25">
      <c r="A334" s="22" t="b">
        <v>0</v>
      </c>
      <c r="B334" s="22" t="s">
        <v>1527</v>
      </c>
      <c r="C334" s="34">
        <v>45962</v>
      </c>
      <c r="D334" s="22" t="s">
        <v>63</v>
      </c>
      <c r="E334" s="22">
        <v>-6</v>
      </c>
      <c r="F334" s="28">
        <v>-1</v>
      </c>
      <c r="G334" s="22" t="s">
        <v>489</v>
      </c>
      <c r="H334" s="22" t="s">
        <v>483</v>
      </c>
      <c r="I334" s="22"/>
    </row>
    <row r="335" spans="1:9" x14ac:dyDescent="0.25">
      <c r="A335" s="22" t="b">
        <v>0</v>
      </c>
      <c r="B335" s="22" t="s">
        <v>1521</v>
      </c>
      <c r="C335" s="34">
        <v>45963</v>
      </c>
      <c r="D335" s="22" t="s">
        <v>170</v>
      </c>
      <c r="E335" s="22">
        <v>-7</v>
      </c>
      <c r="F335" s="28">
        <v>-1.17</v>
      </c>
      <c r="G335" s="22" t="s">
        <v>489</v>
      </c>
      <c r="H335" s="22" t="s">
        <v>483</v>
      </c>
      <c r="I335" s="22"/>
    </row>
    <row r="336" spans="1:9" x14ac:dyDescent="0.25">
      <c r="A336" s="22" t="b">
        <v>0</v>
      </c>
      <c r="B336" s="22" t="s">
        <v>1522</v>
      </c>
      <c r="C336" s="34">
        <v>45963</v>
      </c>
      <c r="D336" s="22" t="s">
        <v>63</v>
      </c>
      <c r="E336" s="22">
        <v>-6</v>
      </c>
      <c r="F336" s="28">
        <v>-1</v>
      </c>
      <c r="G336" s="22" t="s">
        <v>489</v>
      </c>
      <c r="H336" s="22" t="s">
        <v>483</v>
      </c>
      <c r="I336" s="22"/>
    </row>
    <row r="337" spans="1:9" x14ac:dyDescent="0.25">
      <c r="A337" s="22" t="b">
        <v>0</v>
      </c>
      <c r="B337" s="22" t="s">
        <v>1516</v>
      </c>
      <c r="C337" s="34">
        <v>45964</v>
      </c>
      <c r="D337" s="22" t="s">
        <v>63</v>
      </c>
      <c r="E337" s="22">
        <v>-6</v>
      </c>
      <c r="F337" s="28">
        <v>-1</v>
      </c>
      <c r="G337" s="22" t="s">
        <v>489</v>
      </c>
      <c r="H337" s="22" t="s">
        <v>483</v>
      </c>
      <c r="I337" s="22"/>
    </row>
    <row r="338" spans="1:9" x14ac:dyDescent="0.25">
      <c r="A338" s="22" t="b">
        <v>0</v>
      </c>
      <c r="B338" s="22" t="s">
        <v>1517</v>
      </c>
      <c r="C338" s="34">
        <v>45964</v>
      </c>
      <c r="D338" s="22" t="s">
        <v>3832</v>
      </c>
      <c r="E338" s="22">
        <v>-7.5</v>
      </c>
      <c r="F338" s="28">
        <v>-1.25</v>
      </c>
      <c r="G338" s="22" t="s">
        <v>489</v>
      </c>
      <c r="H338" s="22" t="s">
        <v>483</v>
      </c>
      <c r="I338" s="22"/>
    </row>
    <row r="339" spans="1:9" x14ac:dyDescent="0.25">
      <c r="A339" s="22" t="b">
        <v>0</v>
      </c>
      <c r="B339" s="22" t="s">
        <v>1508</v>
      </c>
      <c r="C339" s="34">
        <v>45967</v>
      </c>
      <c r="D339" s="22" t="s">
        <v>63</v>
      </c>
      <c r="E339" s="22">
        <v>-6</v>
      </c>
      <c r="F339" s="28">
        <v>-1</v>
      </c>
      <c r="G339" s="22" t="s">
        <v>489</v>
      </c>
      <c r="H339" s="22" t="s">
        <v>483</v>
      </c>
      <c r="I339" s="22"/>
    </row>
    <row r="340" spans="1:9" x14ac:dyDescent="0.25">
      <c r="A340" s="22" t="b">
        <v>0</v>
      </c>
      <c r="B340" s="22" t="s">
        <v>1502</v>
      </c>
      <c r="C340" s="34">
        <v>45968</v>
      </c>
      <c r="D340" s="22" t="s">
        <v>63</v>
      </c>
      <c r="E340" s="22">
        <v>-6</v>
      </c>
      <c r="F340" s="28">
        <v>-1</v>
      </c>
      <c r="G340" s="22" t="s">
        <v>489</v>
      </c>
      <c r="H340" s="22" t="s">
        <v>483</v>
      </c>
      <c r="I340" s="22"/>
    </row>
    <row r="341" spans="1:9" x14ac:dyDescent="0.25">
      <c r="A341" s="22" t="b">
        <v>0</v>
      </c>
      <c r="B341" s="22" t="s">
        <v>1504</v>
      </c>
      <c r="C341" s="34">
        <v>45968</v>
      </c>
      <c r="D341" s="22" t="s">
        <v>120</v>
      </c>
      <c r="E341" s="22">
        <v>-3.26</v>
      </c>
      <c r="F341" s="28">
        <v>-0.54</v>
      </c>
      <c r="G341" s="22" t="s">
        <v>489</v>
      </c>
      <c r="H341" s="22" t="s">
        <v>483</v>
      </c>
      <c r="I341" s="22"/>
    </row>
    <row r="342" spans="1:9" x14ac:dyDescent="0.25">
      <c r="A342" s="22" t="b">
        <v>0</v>
      </c>
      <c r="B342" s="22" t="s">
        <v>1497</v>
      </c>
      <c r="C342" s="34">
        <v>45969</v>
      </c>
      <c r="D342" s="22" t="s">
        <v>63</v>
      </c>
      <c r="E342" s="22">
        <v>-6</v>
      </c>
      <c r="F342" s="28">
        <v>-1</v>
      </c>
      <c r="G342" s="22" t="s">
        <v>489</v>
      </c>
      <c r="H342" s="22" t="s">
        <v>483</v>
      </c>
      <c r="I342" s="22"/>
    </row>
    <row r="343" spans="1:9" x14ac:dyDescent="0.25">
      <c r="A343" s="22" t="b">
        <v>0</v>
      </c>
      <c r="B343" s="22" t="s">
        <v>1498</v>
      </c>
      <c r="C343" s="34">
        <v>45969</v>
      </c>
      <c r="D343" s="22" t="s">
        <v>63</v>
      </c>
      <c r="E343" s="22">
        <v>-6</v>
      </c>
      <c r="F343" s="28">
        <v>-1</v>
      </c>
      <c r="G343" s="22" t="s">
        <v>489</v>
      </c>
      <c r="H343" s="22" t="s">
        <v>483</v>
      </c>
      <c r="I343" s="22"/>
    </row>
    <row r="344" spans="1:9" x14ac:dyDescent="0.25">
      <c r="A344" s="22" t="b">
        <v>0</v>
      </c>
      <c r="B344" s="22" t="s">
        <v>1499</v>
      </c>
      <c r="C344" s="34">
        <v>45969</v>
      </c>
      <c r="D344" s="22" t="s">
        <v>63</v>
      </c>
      <c r="E344" s="22">
        <v>-6</v>
      </c>
      <c r="F344" s="28">
        <v>-1</v>
      </c>
      <c r="G344" s="22" t="s">
        <v>489</v>
      </c>
      <c r="H344" s="22" t="s">
        <v>483</v>
      </c>
      <c r="I344" s="22"/>
    </row>
    <row r="345" spans="1:9" x14ac:dyDescent="0.25">
      <c r="A345" s="22" t="b">
        <v>0</v>
      </c>
      <c r="B345" s="22" t="s">
        <v>1494</v>
      </c>
      <c r="C345" s="34">
        <v>45970</v>
      </c>
      <c r="D345" s="22" t="s">
        <v>63</v>
      </c>
      <c r="E345" s="22">
        <v>-6</v>
      </c>
      <c r="F345" s="28">
        <v>-1</v>
      </c>
      <c r="G345" s="22" t="s">
        <v>489</v>
      </c>
      <c r="H345" s="22" t="s">
        <v>483</v>
      </c>
      <c r="I345" s="22"/>
    </row>
    <row r="346" spans="1:9" x14ac:dyDescent="0.25">
      <c r="A346" s="22" t="b">
        <v>0</v>
      </c>
      <c r="B346" s="22" t="s">
        <v>1487</v>
      </c>
      <c r="C346" s="34">
        <v>45972</v>
      </c>
      <c r="D346" s="22" t="s">
        <v>63</v>
      </c>
      <c r="E346" s="22">
        <v>-6</v>
      </c>
      <c r="F346" s="28">
        <v>-1</v>
      </c>
      <c r="G346" s="22" t="s">
        <v>489</v>
      </c>
      <c r="H346" s="22" t="s">
        <v>483</v>
      </c>
      <c r="I346" s="22"/>
    </row>
    <row r="347" spans="1:9" x14ac:dyDescent="0.25">
      <c r="A347" s="22" t="b">
        <v>0</v>
      </c>
      <c r="B347" s="22" t="s">
        <v>1482</v>
      </c>
      <c r="C347" s="34">
        <v>45974</v>
      </c>
      <c r="D347" s="22" t="s">
        <v>63</v>
      </c>
      <c r="E347" s="22">
        <v>-6</v>
      </c>
      <c r="F347" s="28">
        <v>-1</v>
      </c>
      <c r="G347" s="22" t="s">
        <v>489</v>
      </c>
      <c r="H347" s="22" t="s">
        <v>483</v>
      </c>
      <c r="I347" s="22"/>
    </row>
    <row r="348" spans="1:9" x14ac:dyDescent="0.25">
      <c r="A348" s="22" t="b">
        <v>0</v>
      </c>
      <c r="B348" s="22" t="s">
        <v>1483</v>
      </c>
      <c r="C348" s="34">
        <v>45974</v>
      </c>
      <c r="D348" s="22" t="s">
        <v>63</v>
      </c>
      <c r="E348" s="22">
        <v>-6</v>
      </c>
      <c r="F348" s="28">
        <v>-1</v>
      </c>
      <c r="G348" s="22" t="s">
        <v>489</v>
      </c>
      <c r="H348" s="22" t="s">
        <v>483</v>
      </c>
      <c r="I348" s="22"/>
    </row>
    <row r="349" spans="1:9" x14ac:dyDescent="0.25">
      <c r="A349" s="22" t="b">
        <v>0</v>
      </c>
      <c r="B349" s="22" t="s">
        <v>1477</v>
      </c>
      <c r="C349" s="34">
        <v>45975</v>
      </c>
      <c r="D349" s="22" t="s">
        <v>63</v>
      </c>
      <c r="E349" s="22">
        <v>-6</v>
      </c>
      <c r="F349" s="28">
        <v>-1</v>
      </c>
      <c r="G349" s="22" t="s">
        <v>489</v>
      </c>
      <c r="H349" s="22" t="s">
        <v>483</v>
      </c>
      <c r="I349" s="22"/>
    </row>
    <row r="350" spans="1:9" x14ac:dyDescent="0.25">
      <c r="A350" s="22" t="b">
        <v>0</v>
      </c>
      <c r="B350" s="22" t="s">
        <v>1470</v>
      </c>
      <c r="C350" s="34">
        <v>45978</v>
      </c>
      <c r="D350" s="22" t="s">
        <v>204</v>
      </c>
      <c r="E350" s="22">
        <v>-2</v>
      </c>
      <c r="F350" s="28">
        <v>-0.33</v>
      </c>
      <c r="G350" s="22" t="s">
        <v>489</v>
      </c>
      <c r="H350" s="22" t="s">
        <v>483</v>
      </c>
      <c r="I350" s="22"/>
    </row>
    <row r="351" spans="1:9" x14ac:dyDescent="0.25">
      <c r="A351" s="22" t="b">
        <v>0</v>
      </c>
      <c r="B351" s="22" t="s">
        <v>1468</v>
      </c>
      <c r="C351" s="34">
        <v>45979</v>
      </c>
      <c r="D351" s="22" t="s">
        <v>63</v>
      </c>
      <c r="E351" s="22">
        <v>-6</v>
      </c>
      <c r="F351" s="28">
        <v>-1</v>
      </c>
      <c r="G351" s="22" t="s">
        <v>489</v>
      </c>
      <c r="H351" s="22" t="s">
        <v>483</v>
      </c>
      <c r="I351" s="22"/>
    </row>
    <row r="352" spans="1:9" x14ac:dyDescent="0.25">
      <c r="A352" s="22" t="b">
        <v>0</v>
      </c>
      <c r="B352" s="22" t="s">
        <v>1457</v>
      </c>
      <c r="C352" s="34">
        <v>45981</v>
      </c>
      <c r="D352" s="22" t="s">
        <v>3849</v>
      </c>
      <c r="E352" s="22">
        <v>-8.3000000000000007</v>
      </c>
      <c r="F352" s="28">
        <v>-1.38</v>
      </c>
      <c r="G352" s="22" t="s">
        <v>489</v>
      </c>
      <c r="H352" s="22" t="s">
        <v>483</v>
      </c>
      <c r="I352" s="22"/>
    </row>
    <row r="353" spans="1:9" x14ac:dyDescent="0.25">
      <c r="A353" s="22" t="b">
        <v>0</v>
      </c>
      <c r="B353" s="22" t="s">
        <v>1459</v>
      </c>
      <c r="C353" s="34">
        <v>45981</v>
      </c>
      <c r="D353" s="22" t="s">
        <v>3838</v>
      </c>
      <c r="E353" s="22">
        <v>-7.5</v>
      </c>
      <c r="F353" s="28">
        <v>-1.25</v>
      </c>
      <c r="G353" s="22" t="s">
        <v>489</v>
      </c>
      <c r="H353" s="22" t="s">
        <v>483</v>
      </c>
      <c r="I353" s="22"/>
    </row>
    <row r="354" spans="1:9" x14ac:dyDescent="0.25">
      <c r="A354" s="22" t="b">
        <v>0</v>
      </c>
      <c r="B354" s="22" t="s">
        <v>1451</v>
      </c>
      <c r="C354" s="34">
        <v>45983</v>
      </c>
      <c r="D354" s="22" t="s">
        <v>63</v>
      </c>
      <c r="E354" s="22">
        <v>-6</v>
      </c>
      <c r="F354" s="28">
        <v>-1</v>
      </c>
      <c r="G354" s="22" t="s">
        <v>489</v>
      </c>
      <c r="H354" s="22" t="s">
        <v>483</v>
      </c>
      <c r="I354" s="22"/>
    </row>
    <row r="355" spans="1:9" x14ac:dyDescent="0.25">
      <c r="A355" s="22" t="b">
        <v>0</v>
      </c>
      <c r="B355" s="22" t="s">
        <v>1452</v>
      </c>
      <c r="C355" s="34">
        <v>45983</v>
      </c>
      <c r="D355" s="22" t="s">
        <v>3843</v>
      </c>
      <c r="E355" s="22">
        <v>-8.43</v>
      </c>
      <c r="F355" s="28">
        <v>-1.4</v>
      </c>
      <c r="G355" s="22" t="s">
        <v>489</v>
      </c>
      <c r="H355" s="22" t="s">
        <v>483</v>
      </c>
      <c r="I355" s="22"/>
    </row>
    <row r="356" spans="1:9" x14ac:dyDescent="0.25">
      <c r="A356" s="22" t="b">
        <v>0</v>
      </c>
      <c r="B356" s="22" t="s">
        <v>1447</v>
      </c>
      <c r="C356" s="34">
        <v>45984</v>
      </c>
      <c r="D356" s="22" t="s">
        <v>3832</v>
      </c>
      <c r="E356" s="22">
        <v>-7.5</v>
      </c>
      <c r="F356" s="28">
        <v>-1.25</v>
      </c>
      <c r="G356" s="22" t="s">
        <v>489</v>
      </c>
      <c r="H356" s="22" t="s">
        <v>483</v>
      </c>
      <c r="I356" s="22"/>
    </row>
    <row r="357" spans="1:9" x14ac:dyDescent="0.25">
      <c r="A357" s="22" t="b">
        <v>0</v>
      </c>
      <c r="B357" s="22" t="s">
        <v>1443</v>
      </c>
      <c r="C357" s="34">
        <v>45985</v>
      </c>
      <c r="D357" s="22" t="s">
        <v>170</v>
      </c>
      <c r="E357" s="22">
        <v>-7</v>
      </c>
      <c r="F357" s="28">
        <v>-1.17</v>
      </c>
      <c r="G357" s="22" t="s">
        <v>489</v>
      </c>
      <c r="H357" s="22" t="s">
        <v>483</v>
      </c>
      <c r="I357" s="22"/>
    </row>
    <row r="358" spans="1:9" x14ac:dyDescent="0.25">
      <c r="A358" s="22" t="b">
        <v>0</v>
      </c>
      <c r="B358" s="22" t="s">
        <v>1444</v>
      </c>
      <c r="C358" s="34">
        <v>45985</v>
      </c>
      <c r="D358" s="22" t="s">
        <v>63</v>
      </c>
      <c r="E358" s="22">
        <v>-6</v>
      </c>
      <c r="F358" s="28">
        <v>-1</v>
      </c>
      <c r="G358" s="22" t="s">
        <v>489</v>
      </c>
      <c r="H358" s="22" t="s">
        <v>483</v>
      </c>
      <c r="I358" s="22"/>
    </row>
    <row r="359" spans="1:9" x14ac:dyDescent="0.25">
      <c r="A359" s="22" t="b">
        <v>0</v>
      </c>
      <c r="B359" s="22" t="s">
        <v>1436</v>
      </c>
      <c r="C359" s="34">
        <v>45986</v>
      </c>
      <c r="D359" s="22" t="s">
        <v>63</v>
      </c>
      <c r="E359" s="22">
        <v>-6</v>
      </c>
      <c r="F359" s="28">
        <v>-1</v>
      </c>
      <c r="G359" s="22" t="s">
        <v>489</v>
      </c>
      <c r="H359" s="22" t="s">
        <v>483</v>
      </c>
      <c r="I359" s="22"/>
    </row>
    <row r="360" spans="1:9" x14ac:dyDescent="0.25">
      <c r="A360" s="22" t="b">
        <v>0</v>
      </c>
      <c r="B360" s="22" t="s">
        <v>1421</v>
      </c>
      <c r="C360" s="34">
        <v>45989</v>
      </c>
      <c r="D360" s="22" t="s">
        <v>206</v>
      </c>
      <c r="E360" s="22">
        <v>-18.5</v>
      </c>
      <c r="F360" s="28">
        <v>-3.08</v>
      </c>
      <c r="G360" s="22" t="s">
        <v>489</v>
      </c>
      <c r="H360" s="22" t="s">
        <v>483</v>
      </c>
      <c r="I360" s="22"/>
    </row>
    <row r="361" spans="1:9" x14ac:dyDescent="0.25">
      <c r="A361" s="22" t="b">
        <v>0</v>
      </c>
      <c r="B361" s="22" t="s">
        <v>1422</v>
      </c>
      <c r="C361" s="34">
        <v>45989</v>
      </c>
      <c r="D361" s="22" t="s">
        <v>206</v>
      </c>
      <c r="E361" s="22">
        <v>-7.5</v>
      </c>
      <c r="F361" s="28">
        <v>-1.25</v>
      </c>
      <c r="G361" s="22" t="s">
        <v>489</v>
      </c>
      <c r="H361" s="22" t="s">
        <v>483</v>
      </c>
      <c r="I361" s="22"/>
    </row>
    <row r="362" spans="1:9" x14ac:dyDescent="0.25">
      <c r="A362" s="22" t="b">
        <v>0</v>
      </c>
      <c r="B362" s="22" t="s">
        <v>1414</v>
      </c>
      <c r="C362" s="34">
        <v>45990</v>
      </c>
      <c r="D362" s="22" t="s">
        <v>120</v>
      </c>
      <c r="E362" s="22">
        <v>-3.26</v>
      </c>
      <c r="F362" s="28">
        <v>-0.54</v>
      </c>
      <c r="G362" s="22" t="s">
        <v>489</v>
      </c>
      <c r="H362" s="22" t="s">
        <v>483</v>
      </c>
      <c r="I362" s="22"/>
    </row>
    <row r="363" spans="1:9" x14ac:dyDescent="0.25">
      <c r="A363" s="22" t="b">
        <v>0</v>
      </c>
      <c r="B363" s="22" t="s">
        <v>1415</v>
      </c>
      <c r="C363" s="34">
        <v>45990</v>
      </c>
      <c r="D363" s="22" t="s">
        <v>120</v>
      </c>
      <c r="E363" s="22">
        <v>-0.89</v>
      </c>
      <c r="F363" s="28">
        <v>-0.15</v>
      </c>
      <c r="G363" s="22" t="s">
        <v>489</v>
      </c>
      <c r="H363" s="22" t="s">
        <v>483</v>
      </c>
      <c r="I363" s="22"/>
    </row>
    <row r="364" spans="1:9" x14ac:dyDescent="0.25">
      <c r="A364" s="22" t="b">
        <v>0</v>
      </c>
      <c r="B364" s="22" t="s">
        <v>1411</v>
      </c>
      <c r="C364" s="34">
        <v>45991</v>
      </c>
      <c r="D364" s="22" t="s">
        <v>3833</v>
      </c>
      <c r="E364" s="22">
        <v>-7.5</v>
      </c>
      <c r="F364" s="28">
        <v>-1.25</v>
      </c>
      <c r="G364" s="22" t="s">
        <v>489</v>
      </c>
      <c r="H364" s="22" t="s">
        <v>483</v>
      </c>
      <c r="I364" s="22"/>
    </row>
    <row r="365" spans="1:9" x14ac:dyDescent="0.25">
      <c r="A365" s="22" t="b">
        <v>0</v>
      </c>
      <c r="B365" s="22" t="s">
        <v>1412</v>
      </c>
      <c r="C365" s="34">
        <v>45991</v>
      </c>
      <c r="D365" s="22" t="s">
        <v>63</v>
      </c>
      <c r="E365" s="22">
        <v>-6</v>
      </c>
      <c r="F365" s="28">
        <v>-1</v>
      </c>
      <c r="G365" s="22" t="s">
        <v>489</v>
      </c>
      <c r="H365" s="22" t="s">
        <v>483</v>
      </c>
      <c r="I365" s="22"/>
    </row>
    <row r="366" spans="1:9" x14ac:dyDescent="0.25">
      <c r="A366" s="22" t="b">
        <v>0</v>
      </c>
      <c r="B366" s="22" t="s">
        <v>1413</v>
      </c>
      <c r="C366" s="34">
        <v>45991</v>
      </c>
      <c r="D366" s="22" t="s">
        <v>63</v>
      </c>
      <c r="E366" s="22">
        <v>-6</v>
      </c>
      <c r="F366" s="28">
        <v>-1</v>
      </c>
      <c r="G366" s="22" t="s">
        <v>489</v>
      </c>
      <c r="H366" s="22" t="s">
        <v>483</v>
      </c>
      <c r="I366" s="22"/>
    </row>
    <row r="367" spans="1:9" x14ac:dyDescent="0.25">
      <c r="A367" s="22" t="b">
        <v>0</v>
      </c>
      <c r="B367" s="22" t="s">
        <v>1410</v>
      </c>
      <c r="C367" s="34">
        <v>45992</v>
      </c>
      <c r="D367" s="22" t="s">
        <v>63</v>
      </c>
      <c r="E367" s="22">
        <v>-6</v>
      </c>
      <c r="F367" s="28">
        <v>-1</v>
      </c>
      <c r="G367" s="22" t="s">
        <v>489</v>
      </c>
      <c r="H367" s="22" t="s">
        <v>483</v>
      </c>
      <c r="I367" s="22"/>
    </row>
    <row r="368" spans="1:9" x14ac:dyDescent="0.25">
      <c r="A368" s="22" t="b">
        <v>0</v>
      </c>
      <c r="B368" s="22" t="s">
        <v>1403</v>
      </c>
      <c r="C368" s="34">
        <v>45993</v>
      </c>
      <c r="D368" s="22" t="s">
        <v>63</v>
      </c>
      <c r="E368" s="22">
        <v>-6</v>
      </c>
      <c r="F368" s="28">
        <v>-1</v>
      </c>
      <c r="G368" s="22" t="s">
        <v>489</v>
      </c>
      <c r="H368" s="22" t="s">
        <v>483</v>
      </c>
      <c r="I368" s="22"/>
    </row>
    <row r="369" spans="1:9" x14ac:dyDescent="0.25">
      <c r="A369" s="22" t="b">
        <v>0</v>
      </c>
      <c r="B369" s="22" t="s">
        <v>1404</v>
      </c>
      <c r="C369" s="34">
        <v>45993</v>
      </c>
      <c r="D369" s="22" t="s">
        <v>3832</v>
      </c>
      <c r="E369" s="22">
        <v>-7.5</v>
      </c>
      <c r="F369" s="28">
        <v>-1.25</v>
      </c>
      <c r="G369" s="22" t="s">
        <v>489</v>
      </c>
      <c r="H369" s="22" t="s">
        <v>483</v>
      </c>
      <c r="I369" s="22"/>
    </row>
    <row r="370" spans="1:9" x14ac:dyDescent="0.25">
      <c r="A370" s="22" t="b">
        <v>0</v>
      </c>
      <c r="B370" s="22" t="s">
        <v>1393</v>
      </c>
      <c r="C370" s="34">
        <v>45994</v>
      </c>
      <c r="D370" s="22" t="s">
        <v>63</v>
      </c>
      <c r="E370" s="22">
        <v>-6</v>
      </c>
      <c r="F370" s="28">
        <v>-1</v>
      </c>
      <c r="G370" s="22" t="s">
        <v>489</v>
      </c>
      <c r="H370" s="22" t="s">
        <v>483</v>
      </c>
      <c r="I370" s="22"/>
    </row>
    <row r="371" spans="1:9" x14ac:dyDescent="0.25">
      <c r="A371" s="22" t="b">
        <v>0</v>
      </c>
      <c r="B371" s="22" t="s">
        <v>1394</v>
      </c>
      <c r="C371" s="34">
        <v>45994</v>
      </c>
      <c r="D371" s="22" t="s">
        <v>63</v>
      </c>
      <c r="E371" s="22">
        <v>-6</v>
      </c>
      <c r="F371" s="28">
        <v>-1</v>
      </c>
      <c r="G371" s="22" t="s">
        <v>489</v>
      </c>
      <c r="H371" s="22" t="s">
        <v>483</v>
      </c>
      <c r="I371" s="22"/>
    </row>
    <row r="372" spans="1:9" x14ac:dyDescent="0.25">
      <c r="A372" s="22" t="b">
        <v>0</v>
      </c>
      <c r="B372" s="22" t="s">
        <v>1395</v>
      </c>
      <c r="C372" s="34">
        <v>45994</v>
      </c>
      <c r="D372" s="22" t="s">
        <v>63</v>
      </c>
      <c r="E372" s="22">
        <v>-6</v>
      </c>
      <c r="F372" s="28">
        <v>-1</v>
      </c>
      <c r="G372" s="22" t="s">
        <v>489</v>
      </c>
      <c r="H372" s="22" t="s">
        <v>483</v>
      </c>
      <c r="I372" s="22"/>
    </row>
    <row r="373" spans="1:9" x14ac:dyDescent="0.25">
      <c r="A373" s="22" t="b">
        <v>0</v>
      </c>
      <c r="B373" s="22" t="s">
        <v>1381</v>
      </c>
      <c r="C373" s="34">
        <v>45995</v>
      </c>
      <c r="D373" s="22" t="s">
        <v>63</v>
      </c>
      <c r="E373" s="22">
        <v>-6</v>
      </c>
      <c r="F373" s="28">
        <v>-1</v>
      </c>
      <c r="G373" s="22" t="s">
        <v>489</v>
      </c>
      <c r="H373" s="22" t="s">
        <v>483</v>
      </c>
      <c r="I373" s="22"/>
    </row>
    <row r="374" spans="1:9" x14ac:dyDescent="0.25">
      <c r="A374" s="22" t="b">
        <v>0</v>
      </c>
      <c r="B374" s="22" t="s">
        <v>1382</v>
      </c>
      <c r="C374" s="34">
        <v>45995</v>
      </c>
      <c r="D374" s="22" t="s">
        <v>120</v>
      </c>
      <c r="E374" s="22">
        <v>-1.98</v>
      </c>
      <c r="F374" s="28">
        <v>-0.33</v>
      </c>
      <c r="G374" s="22" t="s">
        <v>489</v>
      </c>
      <c r="H374" s="22" t="s">
        <v>483</v>
      </c>
      <c r="I374" s="22"/>
    </row>
    <row r="375" spans="1:9" x14ac:dyDescent="0.25">
      <c r="A375" s="22" t="b">
        <v>0</v>
      </c>
      <c r="B375" s="22" t="s">
        <v>1383</v>
      </c>
      <c r="C375" s="34">
        <v>45995</v>
      </c>
      <c r="D375" s="22" t="s">
        <v>120</v>
      </c>
      <c r="E375" s="22">
        <v>-1.55</v>
      </c>
      <c r="F375" s="28">
        <v>-0.26</v>
      </c>
      <c r="G375" s="22" t="s">
        <v>489</v>
      </c>
      <c r="H375" s="22" t="s">
        <v>483</v>
      </c>
      <c r="I375" s="22"/>
    </row>
    <row r="376" spans="1:9" x14ac:dyDescent="0.25">
      <c r="A376" s="22" t="b">
        <v>0</v>
      </c>
      <c r="B376" s="22" t="s">
        <v>1384</v>
      </c>
      <c r="C376" s="34">
        <v>45995</v>
      </c>
      <c r="D376" s="22" t="s">
        <v>3843</v>
      </c>
      <c r="E376" s="22">
        <v>-44.74</v>
      </c>
      <c r="F376" s="28">
        <v>-7.46</v>
      </c>
      <c r="G376" s="22" t="s">
        <v>489</v>
      </c>
      <c r="H376" s="22" t="s">
        <v>483</v>
      </c>
      <c r="I376" s="22"/>
    </row>
    <row r="377" spans="1:9" x14ac:dyDescent="0.25">
      <c r="A377" s="22" t="b">
        <v>0</v>
      </c>
      <c r="B377" s="22" t="s">
        <v>1371</v>
      </c>
      <c r="C377" s="34">
        <v>45996</v>
      </c>
      <c r="D377" s="22" t="s">
        <v>120</v>
      </c>
      <c r="E377" s="22">
        <v>-1.1399999999999999</v>
      </c>
      <c r="F377" s="28">
        <v>-0.19</v>
      </c>
      <c r="G377" s="22" t="s">
        <v>489</v>
      </c>
      <c r="H377" s="22" t="s">
        <v>483</v>
      </c>
      <c r="I377" s="22"/>
    </row>
    <row r="378" spans="1:9" x14ac:dyDescent="0.25">
      <c r="A378" s="22" t="b">
        <v>0</v>
      </c>
      <c r="B378" s="22" t="s">
        <v>1372</v>
      </c>
      <c r="C378" s="34">
        <v>45996</v>
      </c>
      <c r="D378" s="22" t="s">
        <v>120</v>
      </c>
      <c r="E378" s="22">
        <v>-1.98</v>
      </c>
      <c r="F378" s="28">
        <v>-0.33</v>
      </c>
      <c r="G378" s="22" t="s">
        <v>489</v>
      </c>
      <c r="H378" s="22" t="s">
        <v>483</v>
      </c>
      <c r="I378" s="22"/>
    </row>
    <row r="379" spans="1:9" x14ac:dyDescent="0.25">
      <c r="A379" s="22" t="b">
        <v>0</v>
      </c>
      <c r="B379" s="22" t="s">
        <v>1374</v>
      </c>
      <c r="C379" s="34">
        <v>45996</v>
      </c>
      <c r="D379" s="22" t="s">
        <v>63</v>
      </c>
      <c r="E379" s="22">
        <v>-6</v>
      </c>
      <c r="F379" s="28">
        <v>-1</v>
      </c>
      <c r="G379" s="22" t="s">
        <v>489</v>
      </c>
      <c r="H379" s="22" t="s">
        <v>483</v>
      </c>
      <c r="I379" s="22"/>
    </row>
    <row r="380" spans="1:9" x14ac:dyDescent="0.25">
      <c r="A380" s="22" t="b">
        <v>0</v>
      </c>
      <c r="B380" s="22" t="s">
        <v>1375</v>
      </c>
      <c r="C380" s="34">
        <v>45996</v>
      </c>
      <c r="D380" s="22" t="s">
        <v>63</v>
      </c>
      <c r="E380" s="22">
        <v>-6</v>
      </c>
      <c r="F380" s="28">
        <v>-1</v>
      </c>
      <c r="G380" s="22" t="s">
        <v>489</v>
      </c>
      <c r="H380" s="22" t="s">
        <v>483</v>
      </c>
      <c r="I380" s="22"/>
    </row>
    <row r="381" spans="1:9" x14ac:dyDescent="0.25">
      <c r="A381" s="22" t="b">
        <v>0</v>
      </c>
      <c r="B381" s="22" t="s">
        <v>1376</v>
      </c>
      <c r="C381" s="34">
        <v>45996</v>
      </c>
      <c r="D381" s="22" t="s">
        <v>3850</v>
      </c>
      <c r="E381" s="22">
        <v>-21.02</v>
      </c>
      <c r="F381" s="28">
        <v>-3.5</v>
      </c>
      <c r="G381" s="22" t="s">
        <v>489</v>
      </c>
      <c r="H381" s="22" t="s">
        <v>483</v>
      </c>
      <c r="I381" s="22"/>
    </row>
    <row r="382" spans="1:9" x14ac:dyDescent="0.25">
      <c r="A382" s="22" t="b">
        <v>0</v>
      </c>
      <c r="B382" s="22" t="s">
        <v>1364</v>
      </c>
      <c r="C382" s="34">
        <v>45998</v>
      </c>
      <c r="D382" s="22" t="s">
        <v>63</v>
      </c>
      <c r="E382" s="22">
        <v>-6</v>
      </c>
      <c r="F382" s="28">
        <v>-1</v>
      </c>
      <c r="G382" s="22" t="s">
        <v>489</v>
      </c>
      <c r="H382" s="22" t="s">
        <v>483</v>
      </c>
      <c r="I382" s="22"/>
    </row>
    <row r="383" spans="1:9" x14ac:dyDescent="0.25">
      <c r="A383" s="22" t="b">
        <v>0</v>
      </c>
      <c r="B383" s="22" t="s">
        <v>1358</v>
      </c>
      <c r="C383" s="34">
        <v>45999</v>
      </c>
      <c r="D383" s="22" t="s">
        <v>63</v>
      </c>
      <c r="E383" s="22">
        <v>-6</v>
      </c>
      <c r="F383" s="28">
        <v>-1</v>
      </c>
      <c r="G383" s="22" t="s">
        <v>489</v>
      </c>
      <c r="H383" s="22" t="s">
        <v>483</v>
      </c>
      <c r="I383" s="22"/>
    </row>
    <row r="384" spans="1:9" x14ac:dyDescent="0.25">
      <c r="A384" s="22" t="b">
        <v>0</v>
      </c>
      <c r="B384" s="22" t="s">
        <v>1356</v>
      </c>
      <c r="C384" s="34">
        <v>46000</v>
      </c>
      <c r="D384" s="22" t="s">
        <v>3850</v>
      </c>
      <c r="E384" s="22">
        <v>-35.549999999999997</v>
      </c>
      <c r="F384" s="28">
        <v>-5.92</v>
      </c>
      <c r="G384" s="22" t="s">
        <v>489</v>
      </c>
      <c r="H384" s="22" t="s">
        <v>483</v>
      </c>
      <c r="I384" s="22"/>
    </row>
    <row r="385" spans="1:10" x14ac:dyDescent="0.25">
      <c r="A385" s="22" t="b">
        <v>0</v>
      </c>
      <c r="B385" s="22" t="s">
        <v>1352</v>
      </c>
      <c r="C385" s="34">
        <v>46001</v>
      </c>
      <c r="D385" s="22" t="s">
        <v>120</v>
      </c>
      <c r="E385" s="22">
        <v>-2.39</v>
      </c>
      <c r="F385" s="28">
        <v>-0.4</v>
      </c>
      <c r="G385" s="22" t="s">
        <v>489</v>
      </c>
      <c r="H385" s="22" t="s">
        <v>483</v>
      </c>
      <c r="I385" s="22"/>
    </row>
    <row r="386" spans="1:10" x14ac:dyDescent="0.25">
      <c r="A386" s="22" t="b">
        <v>0</v>
      </c>
      <c r="B386" s="22" t="s">
        <v>1353</v>
      </c>
      <c r="C386" s="34">
        <v>46001</v>
      </c>
      <c r="D386" s="22" t="s">
        <v>63</v>
      </c>
      <c r="E386" s="22">
        <v>-6</v>
      </c>
      <c r="F386" s="28">
        <v>-1</v>
      </c>
      <c r="G386" s="22" t="s">
        <v>489</v>
      </c>
      <c r="H386" s="22" t="s">
        <v>483</v>
      </c>
      <c r="I386" s="22"/>
    </row>
    <row r="387" spans="1:10" x14ac:dyDescent="0.25">
      <c r="A387" s="22" t="b">
        <v>0</v>
      </c>
      <c r="B387" s="22" t="s">
        <v>1338</v>
      </c>
      <c r="C387" s="34">
        <v>46005</v>
      </c>
      <c r="D387" s="22" t="s">
        <v>120</v>
      </c>
      <c r="E387" s="22">
        <v>-2.64</v>
      </c>
      <c r="F387" s="28">
        <v>-0.44</v>
      </c>
      <c r="G387" s="22" t="s">
        <v>489</v>
      </c>
      <c r="H387" s="22" t="s">
        <v>483</v>
      </c>
      <c r="I387" s="22"/>
    </row>
    <row r="388" spans="1:10" x14ac:dyDescent="0.25">
      <c r="A388" s="22" t="b">
        <v>0</v>
      </c>
      <c r="B388" s="22" t="s">
        <v>1339</v>
      </c>
      <c r="C388" s="34">
        <v>46005</v>
      </c>
      <c r="D388" s="22" t="s">
        <v>63</v>
      </c>
      <c r="E388" s="22">
        <v>-6</v>
      </c>
      <c r="F388" s="28">
        <v>-1</v>
      </c>
      <c r="G388" s="22" t="s">
        <v>489</v>
      </c>
      <c r="H388" s="22" t="s">
        <v>483</v>
      </c>
      <c r="I388" s="22"/>
    </row>
    <row r="389" spans="1:10" x14ac:dyDescent="0.25">
      <c r="A389" s="22" t="b">
        <v>0</v>
      </c>
      <c r="B389" s="22" t="s">
        <v>1332</v>
      </c>
      <c r="C389" s="34">
        <v>46007</v>
      </c>
      <c r="D389" s="22" t="s">
        <v>3851</v>
      </c>
      <c r="E389" s="22">
        <v>-2</v>
      </c>
      <c r="F389" s="28">
        <v>-0.33</v>
      </c>
      <c r="G389" s="22" t="s">
        <v>489</v>
      </c>
      <c r="H389" s="22" t="s">
        <v>483</v>
      </c>
      <c r="I389" s="22"/>
    </row>
    <row r="390" spans="1:10" x14ac:dyDescent="0.25">
      <c r="A390" s="22" t="b">
        <v>0</v>
      </c>
      <c r="B390" s="22" t="s">
        <v>1327</v>
      </c>
      <c r="C390" s="34">
        <v>46008</v>
      </c>
      <c r="D390" s="22" t="s">
        <v>63</v>
      </c>
      <c r="E390" s="22">
        <v>-6</v>
      </c>
      <c r="F390" s="28">
        <v>-1</v>
      </c>
      <c r="G390" s="22" t="s">
        <v>489</v>
      </c>
      <c r="H390" s="22" t="s">
        <v>483</v>
      </c>
      <c r="I390" s="22"/>
    </row>
    <row r="391" spans="1:10" x14ac:dyDescent="0.25">
      <c r="A391" s="22" t="b">
        <v>0</v>
      </c>
      <c r="B391" s="22" t="s">
        <v>2462</v>
      </c>
      <c r="C391" s="34">
        <v>45747</v>
      </c>
      <c r="D391" s="22" t="s">
        <v>3833</v>
      </c>
      <c r="E391" s="22">
        <v>-7.5</v>
      </c>
      <c r="F391" s="28"/>
      <c r="G391" s="22" t="s">
        <v>489</v>
      </c>
      <c r="H391" s="22" t="s">
        <v>483</v>
      </c>
      <c r="I391" s="22"/>
      <c r="J391" s="22">
        <v>5</v>
      </c>
    </row>
    <row r="392" spans="1:10" x14ac:dyDescent="0.25">
      <c r="A392" s="22" t="b">
        <v>0</v>
      </c>
      <c r="B392" s="22" t="s">
        <v>2463</v>
      </c>
      <c r="C392" s="34">
        <v>45747</v>
      </c>
      <c r="D392" s="22" t="s">
        <v>206</v>
      </c>
      <c r="E392" s="22">
        <v>-7.5</v>
      </c>
      <c r="F392" s="28"/>
      <c r="G392" s="22" t="s">
        <v>489</v>
      </c>
      <c r="H392" s="22" t="s">
        <v>483</v>
      </c>
      <c r="I392" s="22"/>
      <c r="J392" s="22">
        <v>6</v>
      </c>
    </row>
    <row r="393" spans="1:10" x14ac:dyDescent="0.25">
      <c r="A393" s="22" t="b">
        <v>0</v>
      </c>
      <c r="B393" s="22" t="s">
        <v>2464</v>
      </c>
      <c r="C393" s="34">
        <v>45747</v>
      </c>
      <c r="D393" s="22" t="s">
        <v>63</v>
      </c>
      <c r="E393" s="22">
        <v>-6</v>
      </c>
      <c r="F393" s="28"/>
      <c r="G393" s="22" t="s">
        <v>489</v>
      </c>
      <c r="H393" s="22" t="s">
        <v>483</v>
      </c>
      <c r="I393" s="22"/>
      <c r="J393" s="22">
        <v>7</v>
      </c>
    </row>
    <row r="394" spans="1:10" x14ac:dyDescent="0.25">
      <c r="A394" s="22" t="b">
        <v>0</v>
      </c>
      <c r="B394" s="22" t="s">
        <v>2465</v>
      </c>
      <c r="C394" s="34">
        <v>45747</v>
      </c>
      <c r="D394" s="22" t="s">
        <v>63</v>
      </c>
      <c r="E394" s="22">
        <v>-6</v>
      </c>
      <c r="F394" s="28"/>
      <c r="G394" s="22" t="s">
        <v>489</v>
      </c>
      <c r="H394" s="22" t="s">
        <v>483</v>
      </c>
      <c r="I394" s="22"/>
      <c r="J394" s="22">
        <v>8</v>
      </c>
    </row>
    <row r="395" spans="1:10" x14ac:dyDescent="0.25">
      <c r="A395" s="22" t="b">
        <v>0</v>
      </c>
      <c r="B395" s="22" t="s">
        <v>2466</v>
      </c>
      <c r="C395" s="34">
        <v>45746</v>
      </c>
      <c r="D395" s="22" t="s">
        <v>63</v>
      </c>
      <c r="E395" s="22">
        <v>-6</v>
      </c>
      <c r="F395" s="28"/>
      <c r="G395" s="22" t="s">
        <v>489</v>
      </c>
      <c r="H395" s="22" t="s">
        <v>483</v>
      </c>
      <c r="I395" s="22"/>
      <c r="J395" s="22">
        <v>9</v>
      </c>
    </row>
    <row r="396" spans="1:10" x14ac:dyDescent="0.25">
      <c r="A396" s="22" t="b">
        <v>0</v>
      </c>
      <c r="B396" s="22" t="s">
        <v>2470</v>
      </c>
      <c r="C396" s="34">
        <v>45745</v>
      </c>
      <c r="D396" s="22" t="s">
        <v>206</v>
      </c>
      <c r="E396" s="22">
        <v>-7.5</v>
      </c>
      <c r="F396" s="28"/>
      <c r="G396" s="22" t="s">
        <v>489</v>
      </c>
      <c r="H396" s="22" t="s">
        <v>483</v>
      </c>
      <c r="I396" s="22"/>
      <c r="J396" s="22">
        <v>13</v>
      </c>
    </row>
    <row r="397" spans="1:10" x14ac:dyDescent="0.25">
      <c r="A397" s="22" t="b">
        <v>0</v>
      </c>
      <c r="B397" s="22" t="s">
        <v>2471</v>
      </c>
      <c r="C397" s="34">
        <v>45745</v>
      </c>
      <c r="D397" s="22" t="s">
        <v>206</v>
      </c>
      <c r="E397" s="22">
        <v>-7.5</v>
      </c>
      <c r="F397" s="28"/>
      <c r="G397" s="22" t="s">
        <v>489</v>
      </c>
      <c r="H397" s="22" t="s">
        <v>483</v>
      </c>
      <c r="I397" s="22"/>
      <c r="J397" s="22">
        <v>14</v>
      </c>
    </row>
    <row r="398" spans="1:10" x14ac:dyDescent="0.25">
      <c r="A398" s="22" t="b">
        <v>0</v>
      </c>
      <c r="B398" s="22" t="s">
        <v>2472</v>
      </c>
      <c r="C398" s="34">
        <v>45745</v>
      </c>
      <c r="D398" s="22" t="s">
        <v>63</v>
      </c>
      <c r="E398" s="22">
        <v>-6</v>
      </c>
      <c r="F398" s="28"/>
      <c r="G398" s="22" t="s">
        <v>489</v>
      </c>
      <c r="H398" s="22" t="s">
        <v>483</v>
      </c>
      <c r="I398" s="22"/>
      <c r="J398" s="22">
        <v>15</v>
      </c>
    </row>
    <row r="399" spans="1:10" x14ac:dyDescent="0.25">
      <c r="A399" s="22" t="b">
        <v>0</v>
      </c>
      <c r="B399" s="22" t="s">
        <v>2474</v>
      </c>
      <c r="C399" s="34">
        <v>45744</v>
      </c>
      <c r="D399" s="22" t="s">
        <v>206</v>
      </c>
      <c r="E399" s="22">
        <v>-7.5</v>
      </c>
      <c r="F399" s="28"/>
      <c r="G399" s="22" t="s">
        <v>489</v>
      </c>
      <c r="H399" s="22" t="s">
        <v>483</v>
      </c>
      <c r="I399" s="22"/>
      <c r="J399" s="22">
        <v>17</v>
      </c>
    </row>
    <row r="400" spans="1:10" x14ac:dyDescent="0.25">
      <c r="A400" s="22" t="b">
        <v>0</v>
      </c>
      <c r="B400" s="22" t="s">
        <v>2478</v>
      </c>
      <c r="C400" s="34">
        <v>45743</v>
      </c>
      <c r="D400" s="22" t="s">
        <v>3838</v>
      </c>
      <c r="E400" s="22">
        <v>-7.5</v>
      </c>
      <c r="F400" s="28"/>
      <c r="G400" s="22" t="s">
        <v>489</v>
      </c>
      <c r="H400" s="22" t="s">
        <v>483</v>
      </c>
      <c r="I400" s="22"/>
      <c r="J400" s="22">
        <v>23</v>
      </c>
    </row>
    <row r="401" spans="1:10" x14ac:dyDescent="0.25">
      <c r="A401" s="22" t="b">
        <v>0</v>
      </c>
      <c r="B401" s="22" t="s">
        <v>2482</v>
      </c>
      <c r="C401" s="34">
        <v>45742</v>
      </c>
      <c r="D401" s="22" t="s">
        <v>3832</v>
      </c>
      <c r="E401" s="22">
        <v>-7.5</v>
      </c>
      <c r="F401" s="28"/>
      <c r="G401" s="22" t="s">
        <v>489</v>
      </c>
      <c r="H401" s="22" t="s">
        <v>483</v>
      </c>
      <c r="I401" s="22"/>
      <c r="J401" s="22">
        <v>27</v>
      </c>
    </row>
    <row r="402" spans="1:10" x14ac:dyDescent="0.25">
      <c r="A402" s="22" t="b">
        <v>0</v>
      </c>
      <c r="B402" s="22" t="s">
        <v>2485</v>
      </c>
      <c r="C402" s="34">
        <v>45741</v>
      </c>
      <c r="D402" s="22" t="s">
        <v>63</v>
      </c>
      <c r="E402" s="22">
        <v>-6</v>
      </c>
      <c r="F402" s="28"/>
      <c r="G402" s="22" t="s">
        <v>489</v>
      </c>
      <c r="H402" s="22" t="s">
        <v>483</v>
      </c>
      <c r="I402" s="22"/>
      <c r="J402" s="22">
        <v>30</v>
      </c>
    </row>
    <row r="403" spans="1:10" x14ac:dyDescent="0.25">
      <c r="A403" s="22" t="b">
        <v>0</v>
      </c>
      <c r="B403" s="22" t="s">
        <v>2486</v>
      </c>
      <c r="C403" s="34">
        <v>45740</v>
      </c>
      <c r="D403" s="22" t="s">
        <v>3838</v>
      </c>
      <c r="E403" s="22">
        <v>-18.5</v>
      </c>
      <c r="F403" s="28"/>
      <c r="G403" s="22" t="s">
        <v>489</v>
      </c>
      <c r="H403" s="22" t="s">
        <v>483</v>
      </c>
      <c r="I403" s="22"/>
      <c r="J403" s="22">
        <v>32</v>
      </c>
    </row>
    <row r="404" spans="1:10" x14ac:dyDescent="0.25">
      <c r="A404" s="22" t="b">
        <v>0</v>
      </c>
      <c r="B404" s="22" t="s">
        <v>2487</v>
      </c>
      <c r="C404" s="34">
        <v>45740</v>
      </c>
      <c r="D404" s="22" t="s">
        <v>63</v>
      </c>
      <c r="E404" s="22">
        <v>-6</v>
      </c>
      <c r="F404" s="28"/>
      <c r="G404" s="22" t="s">
        <v>489</v>
      </c>
      <c r="H404" s="22" t="s">
        <v>483</v>
      </c>
      <c r="I404" s="22"/>
      <c r="J404" s="22">
        <v>33</v>
      </c>
    </row>
    <row r="405" spans="1:10" x14ac:dyDescent="0.25">
      <c r="A405" s="22" t="b">
        <v>0</v>
      </c>
      <c r="B405" s="22" t="s">
        <v>2488</v>
      </c>
      <c r="C405" s="34">
        <v>45740</v>
      </c>
      <c r="D405" s="22" t="s">
        <v>63</v>
      </c>
      <c r="E405" s="22">
        <v>-6</v>
      </c>
      <c r="F405" s="28"/>
      <c r="G405" s="22" t="s">
        <v>489</v>
      </c>
      <c r="H405" s="22" t="s">
        <v>483</v>
      </c>
      <c r="I405" s="22"/>
      <c r="J405" s="22">
        <v>34</v>
      </c>
    </row>
    <row r="406" spans="1:10" x14ac:dyDescent="0.25">
      <c r="A406" s="22" t="b">
        <v>0</v>
      </c>
      <c r="B406" s="22" t="s">
        <v>2490</v>
      </c>
      <c r="C406" s="34">
        <v>45739</v>
      </c>
      <c r="D406" s="22" t="s">
        <v>63</v>
      </c>
      <c r="E406" s="22">
        <v>-6</v>
      </c>
      <c r="F406" s="28"/>
      <c r="G406" s="22" t="s">
        <v>489</v>
      </c>
      <c r="H406" s="22" t="s">
        <v>483</v>
      </c>
      <c r="I406" s="22"/>
      <c r="J406" s="22">
        <v>38</v>
      </c>
    </row>
    <row r="407" spans="1:10" x14ac:dyDescent="0.25">
      <c r="A407" s="22" t="b">
        <v>0</v>
      </c>
      <c r="B407" s="22" t="s">
        <v>2491</v>
      </c>
      <c r="C407" s="34">
        <v>45739</v>
      </c>
      <c r="D407" s="22" t="s">
        <v>3832</v>
      </c>
      <c r="E407" s="22">
        <v>-7.5</v>
      </c>
      <c r="F407" s="28"/>
      <c r="G407" s="22" t="s">
        <v>489</v>
      </c>
      <c r="H407" s="22" t="s">
        <v>483</v>
      </c>
      <c r="I407" s="22"/>
      <c r="J407" s="22">
        <v>39</v>
      </c>
    </row>
    <row r="408" spans="1:10" x14ac:dyDescent="0.25">
      <c r="A408" s="22" t="b">
        <v>0</v>
      </c>
      <c r="B408" s="22" t="s">
        <v>2497</v>
      </c>
      <c r="C408" s="34">
        <v>45737</v>
      </c>
      <c r="D408" s="22" t="s">
        <v>3833</v>
      </c>
      <c r="E408" s="22">
        <v>-7.5</v>
      </c>
      <c r="F408" s="28"/>
      <c r="G408" s="22" t="s">
        <v>489</v>
      </c>
      <c r="H408" s="22" t="s">
        <v>483</v>
      </c>
      <c r="I408" s="22"/>
      <c r="J408" s="22">
        <v>48</v>
      </c>
    </row>
    <row r="409" spans="1:10" x14ac:dyDescent="0.25">
      <c r="A409" s="22" t="b">
        <v>0</v>
      </c>
      <c r="B409" s="22" t="s">
        <v>2498</v>
      </c>
      <c r="C409" s="34">
        <v>45737</v>
      </c>
      <c r="D409" s="22" t="s">
        <v>3832</v>
      </c>
      <c r="E409" s="22">
        <v>-7</v>
      </c>
      <c r="F409" s="28"/>
      <c r="G409" s="22" t="s">
        <v>489</v>
      </c>
      <c r="H409" s="22" t="s">
        <v>483</v>
      </c>
      <c r="I409" s="22"/>
      <c r="J409" s="22">
        <v>49</v>
      </c>
    </row>
    <row r="410" spans="1:10" x14ac:dyDescent="0.25">
      <c r="A410" s="22" t="b">
        <v>0</v>
      </c>
      <c r="B410" s="22" t="s">
        <v>2499</v>
      </c>
      <c r="C410" s="34">
        <v>45737</v>
      </c>
      <c r="D410" s="22" t="s">
        <v>3832</v>
      </c>
      <c r="E410" s="22">
        <v>-7.5</v>
      </c>
      <c r="F410" s="28"/>
      <c r="G410" s="22" t="s">
        <v>489</v>
      </c>
      <c r="H410" s="22" t="s">
        <v>483</v>
      </c>
      <c r="I410" s="22"/>
      <c r="J410" s="22">
        <v>50</v>
      </c>
    </row>
    <row r="411" spans="1:10" x14ac:dyDescent="0.25">
      <c r="A411" s="22" t="b">
        <v>0</v>
      </c>
      <c r="B411" s="22" t="s">
        <v>2505</v>
      </c>
      <c r="C411" s="34">
        <v>45736</v>
      </c>
      <c r="D411" s="22" t="s">
        <v>63</v>
      </c>
      <c r="E411" s="22">
        <v>-6</v>
      </c>
      <c r="F411" s="28"/>
      <c r="G411" s="22" t="s">
        <v>489</v>
      </c>
      <c r="H411" s="22" t="s">
        <v>483</v>
      </c>
      <c r="I411" s="22"/>
      <c r="J411" s="22">
        <v>61</v>
      </c>
    </row>
    <row r="412" spans="1:10" x14ac:dyDescent="0.25">
      <c r="A412" s="22" t="b">
        <v>0</v>
      </c>
      <c r="B412" s="22" t="s">
        <v>2506</v>
      </c>
      <c r="C412" s="34">
        <v>45736</v>
      </c>
      <c r="D412" s="22" t="s">
        <v>63</v>
      </c>
      <c r="E412" s="22">
        <v>-6</v>
      </c>
      <c r="F412" s="28"/>
      <c r="G412" s="22" t="s">
        <v>489</v>
      </c>
      <c r="H412" s="22" t="s">
        <v>483</v>
      </c>
      <c r="I412" s="22"/>
      <c r="J412" s="22">
        <v>62</v>
      </c>
    </row>
    <row r="413" spans="1:10" x14ac:dyDescent="0.25">
      <c r="A413" s="22" t="b">
        <v>0</v>
      </c>
      <c r="B413" s="22" t="s">
        <v>2507</v>
      </c>
      <c r="C413" s="34">
        <v>45736</v>
      </c>
      <c r="D413" s="22" t="s">
        <v>3832</v>
      </c>
      <c r="E413" s="22">
        <v>-7.5</v>
      </c>
      <c r="F413" s="28"/>
      <c r="G413" s="22" t="s">
        <v>489</v>
      </c>
      <c r="H413" s="22" t="s">
        <v>483</v>
      </c>
      <c r="I413" s="22"/>
      <c r="J413" s="22">
        <v>63</v>
      </c>
    </row>
    <row r="414" spans="1:10" x14ac:dyDescent="0.25">
      <c r="A414" s="22" t="b">
        <v>0</v>
      </c>
      <c r="B414" s="22" t="s">
        <v>2509</v>
      </c>
      <c r="C414" s="34">
        <v>45735</v>
      </c>
      <c r="D414" s="22" t="s">
        <v>63</v>
      </c>
      <c r="E414" s="22">
        <v>-6</v>
      </c>
      <c r="F414" s="28"/>
      <c r="G414" s="22" t="s">
        <v>489</v>
      </c>
      <c r="H414" s="22" t="s">
        <v>483</v>
      </c>
      <c r="I414" s="22"/>
      <c r="J414" s="22">
        <v>67</v>
      </c>
    </row>
    <row r="415" spans="1:10" x14ac:dyDescent="0.25">
      <c r="A415" s="22" t="b">
        <v>0</v>
      </c>
      <c r="B415" s="22" t="s">
        <v>2510</v>
      </c>
      <c r="C415" s="34">
        <v>45735</v>
      </c>
      <c r="D415" s="22" t="s">
        <v>63</v>
      </c>
      <c r="E415" s="22">
        <v>-6</v>
      </c>
      <c r="F415" s="28"/>
      <c r="G415" s="22" t="s">
        <v>489</v>
      </c>
      <c r="H415" s="22" t="s">
        <v>483</v>
      </c>
      <c r="I415" s="22"/>
      <c r="J415" s="22">
        <v>68</v>
      </c>
    </row>
    <row r="416" spans="1:10" x14ac:dyDescent="0.25">
      <c r="A416" s="22" t="b">
        <v>0</v>
      </c>
      <c r="B416" s="22" t="s">
        <v>2514</v>
      </c>
      <c r="C416" s="34">
        <v>45734</v>
      </c>
      <c r="D416" s="22" t="s">
        <v>63</v>
      </c>
      <c r="E416" s="22">
        <v>-6</v>
      </c>
      <c r="F416" s="28"/>
      <c r="G416" s="22" t="s">
        <v>489</v>
      </c>
      <c r="H416" s="22" t="s">
        <v>483</v>
      </c>
      <c r="I416" s="22"/>
      <c r="J416" s="22">
        <v>72</v>
      </c>
    </row>
    <row r="417" spans="1:10" x14ac:dyDescent="0.25">
      <c r="A417" s="22" t="b">
        <v>0</v>
      </c>
      <c r="B417" s="22" t="s">
        <v>2522</v>
      </c>
      <c r="C417" s="34">
        <v>45732</v>
      </c>
      <c r="D417" s="22" t="s">
        <v>3838</v>
      </c>
      <c r="E417" s="22">
        <v>-7.5</v>
      </c>
      <c r="F417" s="28"/>
      <c r="G417" s="22" t="s">
        <v>489</v>
      </c>
      <c r="H417" s="22" t="s">
        <v>483</v>
      </c>
      <c r="I417" s="22"/>
      <c r="J417" s="22">
        <v>83</v>
      </c>
    </row>
    <row r="418" spans="1:10" x14ac:dyDescent="0.25">
      <c r="A418" s="22" t="b">
        <v>0</v>
      </c>
      <c r="B418" s="22" t="s">
        <v>2523</v>
      </c>
      <c r="C418" s="34">
        <v>45732</v>
      </c>
      <c r="D418" s="22" t="s">
        <v>3838</v>
      </c>
      <c r="E418" s="22">
        <v>-7.5</v>
      </c>
      <c r="F418" s="28"/>
      <c r="G418" s="22" t="s">
        <v>489</v>
      </c>
      <c r="H418" s="22" t="s">
        <v>483</v>
      </c>
      <c r="I418" s="22"/>
      <c r="J418" s="22">
        <v>84</v>
      </c>
    </row>
    <row r="419" spans="1:10" x14ac:dyDescent="0.25">
      <c r="A419" s="22" t="b">
        <v>0</v>
      </c>
      <c r="B419" s="22" t="s">
        <v>2524</v>
      </c>
      <c r="C419" s="34">
        <v>45732</v>
      </c>
      <c r="D419" s="22" t="s">
        <v>3833</v>
      </c>
      <c r="E419" s="22">
        <v>-7.5</v>
      </c>
      <c r="F419" s="28"/>
      <c r="G419" s="22" t="s">
        <v>489</v>
      </c>
      <c r="H419" s="22" t="s">
        <v>483</v>
      </c>
      <c r="I419" s="22"/>
      <c r="J419" s="22">
        <v>85</v>
      </c>
    </row>
    <row r="420" spans="1:10" x14ac:dyDescent="0.25">
      <c r="A420" s="22" t="b">
        <v>0</v>
      </c>
      <c r="B420" s="22" t="s">
        <v>2525</v>
      </c>
      <c r="C420" s="34">
        <v>45732</v>
      </c>
      <c r="D420" s="22" t="s">
        <v>63</v>
      </c>
      <c r="E420" s="22">
        <v>-6</v>
      </c>
      <c r="F420" s="28"/>
      <c r="G420" s="22" t="s">
        <v>489</v>
      </c>
      <c r="H420" s="22" t="s">
        <v>483</v>
      </c>
      <c r="I420" s="22"/>
      <c r="J420" s="22">
        <v>86</v>
      </c>
    </row>
    <row r="421" spans="1:10" x14ac:dyDescent="0.25">
      <c r="A421" s="22" t="b">
        <v>0</v>
      </c>
      <c r="B421" s="22" t="s">
        <v>2526</v>
      </c>
      <c r="C421" s="34">
        <v>45732</v>
      </c>
      <c r="D421" s="22" t="s">
        <v>63</v>
      </c>
      <c r="E421" s="22">
        <v>-6</v>
      </c>
      <c r="F421" s="28"/>
      <c r="G421" s="22" t="s">
        <v>489</v>
      </c>
      <c r="H421" s="22" t="s">
        <v>483</v>
      </c>
      <c r="I421" s="22"/>
      <c r="J421" s="22">
        <v>87</v>
      </c>
    </row>
    <row r="422" spans="1:10" x14ac:dyDescent="0.25">
      <c r="A422" s="22" t="b">
        <v>0</v>
      </c>
      <c r="B422" s="22" t="s">
        <v>2527</v>
      </c>
      <c r="C422" s="34">
        <v>45732</v>
      </c>
      <c r="D422" s="22" t="s">
        <v>3832</v>
      </c>
      <c r="E422" s="22">
        <v>-7.5</v>
      </c>
      <c r="F422" s="28"/>
      <c r="G422" s="22" t="s">
        <v>489</v>
      </c>
      <c r="H422" s="22" t="s">
        <v>483</v>
      </c>
      <c r="I422" s="22"/>
      <c r="J422" s="22">
        <v>88</v>
      </c>
    </row>
    <row r="423" spans="1:10" x14ac:dyDescent="0.25">
      <c r="A423" s="22" t="b">
        <v>0</v>
      </c>
      <c r="B423" s="22" t="s">
        <v>2531</v>
      </c>
      <c r="C423" s="34">
        <v>45731</v>
      </c>
      <c r="D423" s="22" t="s">
        <v>63</v>
      </c>
      <c r="E423" s="22">
        <v>-6</v>
      </c>
      <c r="F423" s="28"/>
      <c r="G423" s="22" t="s">
        <v>489</v>
      </c>
      <c r="H423" s="22" t="s">
        <v>483</v>
      </c>
      <c r="I423" s="22"/>
      <c r="J423" s="22">
        <v>92</v>
      </c>
    </row>
    <row r="424" spans="1:10" x14ac:dyDescent="0.25">
      <c r="A424" s="22" t="b">
        <v>0</v>
      </c>
      <c r="B424" s="22" t="s">
        <v>2532</v>
      </c>
      <c r="C424" s="34">
        <v>45731</v>
      </c>
      <c r="D424" s="22" t="s">
        <v>63</v>
      </c>
      <c r="E424" s="22">
        <v>-6</v>
      </c>
      <c r="F424" s="28"/>
      <c r="G424" s="22" t="s">
        <v>489</v>
      </c>
      <c r="H424" s="22" t="s">
        <v>483</v>
      </c>
      <c r="I424" s="22"/>
      <c r="J424" s="22">
        <v>93</v>
      </c>
    </row>
    <row r="425" spans="1:10" x14ac:dyDescent="0.25">
      <c r="A425" s="22" t="b">
        <v>0</v>
      </c>
      <c r="B425" s="22" t="s">
        <v>2533</v>
      </c>
      <c r="C425" s="34">
        <v>45731</v>
      </c>
      <c r="D425" s="22" t="s">
        <v>63</v>
      </c>
      <c r="E425" s="22">
        <v>-6</v>
      </c>
      <c r="F425" s="28"/>
      <c r="G425" s="22" t="s">
        <v>489</v>
      </c>
      <c r="H425" s="22" t="s">
        <v>483</v>
      </c>
      <c r="I425" s="22"/>
      <c r="J425" s="22">
        <v>94</v>
      </c>
    </row>
    <row r="426" spans="1:10" x14ac:dyDescent="0.25">
      <c r="A426" s="22" t="b">
        <v>0</v>
      </c>
      <c r="B426" s="22" t="s">
        <v>2534</v>
      </c>
      <c r="C426" s="34">
        <v>45731</v>
      </c>
      <c r="D426" s="22" t="s">
        <v>63</v>
      </c>
      <c r="E426" s="22">
        <v>-6</v>
      </c>
      <c r="F426" s="28"/>
      <c r="G426" s="22" t="s">
        <v>489</v>
      </c>
      <c r="H426" s="22" t="s">
        <v>483</v>
      </c>
      <c r="I426" s="22"/>
      <c r="J426" s="22">
        <v>95</v>
      </c>
    </row>
    <row r="427" spans="1:10" x14ac:dyDescent="0.25">
      <c r="A427" s="22" t="b">
        <v>0</v>
      </c>
      <c r="B427" s="22" t="s">
        <v>2537</v>
      </c>
      <c r="C427" s="34">
        <v>45730</v>
      </c>
      <c r="D427" s="22" t="s">
        <v>63</v>
      </c>
      <c r="E427" s="22">
        <v>-6</v>
      </c>
      <c r="F427" s="28"/>
      <c r="G427" s="22" t="s">
        <v>489</v>
      </c>
      <c r="H427" s="22" t="s">
        <v>483</v>
      </c>
      <c r="I427" s="22"/>
      <c r="J427" s="22">
        <v>99</v>
      </c>
    </row>
    <row r="428" spans="1:10" x14ac:dyDescent="0.25">
      <c r="A428" s="22" t="b">
        <v>0</v>
      </c>
      <c r="B428" s="22" t="s">
        <v>2538</v>
      </c>
      <c r="C428" s="34">
        <v>45730</v>
      </c>
      <c r="D428" s="22" t="s">
        <v>63</v>
      </c>
      <c r="E428" s="22">
        <v>-6</v>
      </c>
      <c r="F428" s="28"/>
      <c r="G428" s="22" t="s">
        <v>489</v>
      </c>
      <c r="H428" s="22" t="s">
        <v>483</v>
      </c>
      <c r="I428" s="22"/>
      <c r="J428" s="22">
        <v>100</v>
      </c>
    </row>
    <row r="429" spans="1:10" x14ac:dyDescent="0.25">
      <c r="A429" s="22" t="b">
        <v>0</v>
      </c>
      <c r="B429" s="22" t="s">
        <v>2539</v>
      </c>
      <c r="C429" s="34">
        <v>45730</v>
      </c>
      <c r="D429" s="22" t="s">
        <v>3832</v>
      </c>
      <c r="E429" s="22">
        <v>-7.5</v>
      </c>
      <c r="F429" s="28"/>
      <c r="G429" s="22" t="s">
        <v>489</v>
      </c>
      <c r="H429" s="22" t="s">
        <v>483</v>
      </c>
      <c r="I429" s="22"/>
      <c r="J429" s="22">
        <v>101</v>
      </c>
    </row>
    <row r="430" spans="1:10" x14ac:dyDescent="0.25">
      <c r="A430" s="22" t="b">
        <v>0</v>
      </c>
      <c r="B430" s="22" t="s">
        <v>2540</v>
      </c>
      <c r="C430" s="34">
        <v>45730</v>
      </c>
      <c r="D430" s="22" t="s">
        <v>3832</v>
      </c>
      <c r="E430" s="22">
        <v>-7.5</v>
      </c>
      <c r="F430" s="28"/>
      <c r="G430" s="22" t="s">
        <v>489</v>
      </c>
      <c r="H430" s="22" t="s">
        <v>483</v>
      </c>
      <c r="I430" s="22"/>
      <c r="J430" s="22">
        <v>102</v>
      </c>
    </row>
    <row r="431" spans="1:10" x14ac:dyDescent="0.25">
      <c r="A431" s="22" t="b">
        <v>0</v>
      </c>
      <c r="B431" s="22" t="s">
        <v>2541</v>
      </c>
      <c r="C431" s="34">
        <v>45730</v>
      </c>
      <c r="D431" s="22" t="s">
        <v>3832</v>
      </c>
      <c r="E431" s="22">
        <v>-7</v>
      </c>
      <c r="F431" s="28"/>
      <c r="G431" s="22" t="s">
        <v>489</v>
      </c>
      <c r="H431" s="22" t="s">
        <v>483</v>
      </c>
      <c r="I431" s="22"/>
      <c r="J431" s="22">
        <v>103</v>
      </c>
    </row>
    <row r="432" spans="1:10" x14ac:dyDescent="0.25">
      <c r="A432" s="22" t="b">
        <v>0</v>
      </c>
      <c r="B432" s="22" t="s">
        <v>2543</v>
      </c>
      <c r="C432" s="34">
        <v>45729</v>
      </c>
      <c r="D432" s="22" t="s">
        <v>3832</v>
      </c>
      <c r="E432" s="22">
        <v>-7.5</v>
      </c>
      <c r="F432" s="28"/>
      <c r="G432" s="22" t="s">
        <v>489</v>
      </c>
      <c r="H432" s="22" t="s">
        <v>483</v>
      </c>
      <c r="I432" s="22"/>
      <c r="J432" s="22">
        <v>105</v>
      </c>
    </row>
    <row r="433" spans="1:10" x14ac:dyDescent="0.25">
      <c r="A433" s="22" t="b">
        <v>0</v>
      </c>
      <c r="B433" s="22" t="s">
        <v>2545</v>
      </c>
      <c r="C433" s="34">
        <v>45728</v>
      </c>
      <c r="D433" s="22" t="s">
        <v>3833</v>
      </c>
      <c r="E433" s="22">
        <v>-7.5</v>
      </c>
      <c r="F433" s="28"/>
      <c r="G433" s="22" t="s">
        <v>489</v>
      </c>
      <c r="H433" s="22" t="s">
        <v>483</v>
      </c>
      <c r="I433" s="22"/>
      <c r="J433" s="22">
        <v>107</v>
      </c>
    </row>
    <row r="434" spans="1:10" x14ac:dyDescent="0.25">
      <c r="A434" s="22" t="b">
        <v>0</v>
      </c>
      <c r="B434" s="22" t="s">
        <v>2546</v>
      </c>
      <c r="C434" s="34">
        <v>45728</v>
      </c>
      <c r="D434" s="22" t="s">
        <v>63</v>
      </c>
      <c r="E434" s="22">
        <v>-6</v>
      </c>
      <c r="F434" s="28"/>
      <c r="G434" s="22" t="s">
        <v>489</v>
      </c>
      <c r="H434" s="22" t="s">
        <v>483</v>
      </c>
      <c r="I434" s="22"/>
      <c r="J434" s="22">
        <v>108</v>
      </c>
    </row>
    <row r="435" spans="1:10" x14ac:dyDescent="0.25">
      <c r="A435" s="22" t="b">
        <v>0</v>
      </c>
      <c r="B435" s="22" t="s">
        <v>2547</v>
      </c>
      <c r="C435" s="34">
        <v>45728</v>
      </c>
      <c r="D435" s="22" t="s">
        <v>3832</v>
      </c>
      <c r="E435" s="22">
        <v>-7.5</v>
      </c>
      <c r="F435" s="28"/>
      <c r="G435" s="22" t="s">
        <v>489</v>
      </c>
      <c r="H435" s="22" t="s">
        <v>483</v>
      </c>
      <c r="I435" s="22"/>
      <c r="J435" s="22">
        <v>109</v>
      </c>
    </row>
    <row r="436" spans="1:10" x14ac:dyDescent="0.25">
      <c r="A436" s="22" t="b">
        <v>0</v>
      </c>
      <c r="B436" s="22" t="s">
        <v>2548</v>
      </c>
      <c r="C436" s="34">
        <v>45728</v>
      </c>
      <c r="D436" s="22" t="s">
        <v>3832</v>
      </c>
      <c r="E436" s="22">
        <v>-11</v>
      </c>
      <c r="F436" s="28"/>
      <c r="G436" s="22" t="s">
        <v>489</v>
      </c>
      <c r="H436" s="22" t="s">
        <v>483</v>
      </c>
      <c r="I436" s="22"/>
      <c r="J436" s="22">
        <v>110</v>
      </c>
    </row>
    <row r="437" spans="1:10" x14ac:dyDescent="0.25">
      <c r="A437" s="22" t="b">
        <v>0</v>
      </c>
      <c r="B437" s="22" t="s">
        <v>2554</v>
      </c>
      <c r="C437" s="34">
        <v>45726</v>
      </c>
      <c r="D437" s="22" t="s">
        <v>63</v>
      </c>
      <c r="E437" s="22">
        <v>-6</v>
      </c>
      <c r="F437" s="28"/>
      <c r="G437" s="22" t="s">
        <v>489</v>
      </c>
      <c r="H437" s="22" t="s">
        <v>483</v>
      </c>
      <c r="I437" s="22"/>
      <c r="J437" s="22">
        <v>121</v>
      </c>
    </row>
    <row r="438" spans="1:10" x14ac:dyDescent="0.25">
      <c r="A438" s="22" t="b">
        <v>0</v>
      </c>
      <c r="B438" s="22" t="s">
        <v>2557</v>
      </c>
      <c r="C438" s="34">
        <v>45725</v>
      </c>
      <c r="D438" s="22" t="s">
        <v>3838</v>
      </c>
      <c r="E438" s="22">
        <v>-4</v>
      </c>
      <c r="F438" s="28"/>
      <c r="G438" s="22" t="s">
        <v>489</v>
      </c>
      <c r="H438" s="22" t="s">
        <v>483</v>
      </c>
      <c r="I438" s="22"/>
      <c r="J438" s="22">
        <v>126</v>
      </c>
    </row>
    <row r="439" spans="1:10" x14ac:dyDescent="0.25">
      <c r="A439" s="22" t="b">
        <v>0</v>
      </c>
      <c r="B439" s="22" t="s">
        <v>2558</v>
      </c>
      <c r="C439" s="34">
        <v>45725</v>
      </c>
      <c r="D439" s="22" t="s">
        <v>3838</v>
      </c>
      <c r="E439" s="22">
        <v>-7.5</v>
      </c>
      <c r="F439" s="28"/>
      <c r="G439" s="22" t="s">
        <v>489</v>
      </c>
      <c r="H439" s="22" t="s">
        <v>483</v>
      </c>
      <c r="I439" s="22"/>
      <c r="J439" s="22">
        <v>127</v>
      </c>
    </row>
    <row r="440" spans="1:10" x14ac:dyDescent="0.25">
      <c r="A440" s="22" t="b">
        <v>0</v>
      </c>
      <c r="B440" s="22" t="s">
        <v>2559</v>
      </c>
      <c r="C440" s="34">
        <v>45725</v>
      </c>
      <c r="D440" s="22" t="s">
        <v>63</v>
      </c>
      <c r="E440" s="22">
        <v>-6</v>
      </c>
      <c r="F440" s="28"/>
      <c r="G440" s="22" t="s">
        <v>489</v>
      </c>
      <c r="H440" s="22" t="s">
        <v>483</v>
      </c>
      <c r="I440" s="22"/>
      <c r="J440" s="22">
        <v>128</v>
      </c>
    </row>
    <row r="441" spans="1:10" x14ac:dyDescent="0.25">
      <c r="A441" s="22" t="b">
        <v>0</v>
      </c>
      <c r="B441" s="22" t="s">
        <v>2560</v>
      </c>
      <c r="C441" s="34">
        <v>45725</v>
      </c>
      <c r="D441" s="22" t="s">
        <v>63</v>
      </c>
      <c r="E441" s="22">
        <v>-6</v>
      </c>
      <c r="F441" s="28"/>
      <c r="G441" s="22" t="s">
        <v>489</v>
      </c>
      <c r="H441" s="22" t="s">
        <v>483</v>
      </c>
      <c r="I441" s="22"/>
      <c r="J441" s="22">
        <v>129</v>
      </c>
    </row>
    <row r="442" spans="1:10" x14ac:dyDescent="0.25">
      <c r="A442" s="22" t="b">
        <v>0</v>
      </c>
      <c r="B442" s="22" t="s">
        <v>2562</v>
      </c>
      <c r="C442" s="34">
        <v>45724</v>
      </c>
      <c r="D442" s="22" t="s">
        <v>63</v>
      </c>
      <c r="E442" s="22">
        <v>-6</v>
      </c>
      <c r="F442" s="28"/>
      <c r="G442" s="22" t="s">
        <v>489</v>
      </c>
      <c r="H442" s="22" t="s">
        <v>483</v>
      </c>
      <c r="I442" s="22"/>
      <c r="J442" s="22">
        <v>133</v>
      </c>
    </row>
    <row r="443" spans="1:10" x14ac:dyDescent="0.25">
      <c r="A443" s="22" t="b">
        <v>0</v>
      </c>
      <c r="B443" s="22" t="s">
        <v>2564</v>
      </c>
      <c r="C443" s="34">
        <v>45723</v>
      </c>
      <c r="D443" s="22" t="s">
        <v>3833</v>
      </c>
      <c r="E443" s="22">
        <v>-7.5</v>
      </c>
      <c r="F443" s="28"/>
      <c r="G443" s="22" t="s">
        <v>489</v>
      </c>
      <c r="H443" s="22" t="s">
        <v>483</v>
      </c>
      <c r="I443" s="22"/>
      <c r="J443" s="22">
        <v>136</v>
      </c>
    </row>
    <row r="444" spans="1:10" x14ac:dyDescent="0.25">
      <c r="A444" s="22" t="b">
        <v>0</v>
      </c>
      <c r="B444" s="22" t="s">
        <v>2565</v>
      </c>
      <c r="C444" s="34">
        <v>45723</v>
      </c>
      <c r="D444" s="22" t="s">
        <v>63</v>
      </c>
      <c r="E444" s="22">
        <v>-6</v>
      </c>
      <c r="F444" s="28"/>
      <c r="G444" s="22" t="s">
        <v>489</v>
      </c>
      <c r="H444" s="22" t="s">
        <v>483</v>
      </c>
      <c r="I444" s="22"/>
      <c r="J444" s="22">
        <v>137</v>
      </c>
    </row>
    <row r="445" spans="1:10" x14ac:dyDescent="0.25">
      <c r="A445" s="22" t="b">
        <v>0</v>
      </c>
      <c r="B445" s="22" t="s">
        <v>2566</v>
      </c>
      <c r="C445" s="34">
        <v>45723</v>
      </c>
      <c r="D445" s="22" t="s">
        <v>3832</v>
      </c>
      <c r="E445" s="22">
        <v>-7.5</v>
      </c>
      <c r="F445" s="28"/>
      <c r="G445" s="22" t="s">
        <v>489</v>
      </c>
      <c r="H445" s="22" t="s">
        <v>483</v>
      </c>
      <c r="I445" s="22"/>
      <c r="J445" s="22">
        <v>138</v>
      </c>
    </row>
    <row r="446" spans="1:10" x14ac:dyDescent="0.25">
      <c r="A446" s="22" t="b">
        <v>0</v>
      </c>
      <c r="B446" s="22" t="s">
        <v>2567</v>
      </c>
      <c r="C446" s="34">
        <v>45723</v>
      </c>
      <c r="D446" s="22" t="s">
        <v>3832</v>
      </c>
      <c r="E446" s="22">
        <v>-7</v>
      </c>
      <c r="F446" s="28"/>
      <c r="G446" s="22" t="s">
        <v>489</v>
      </c>
      <c r="H446" s="22" t="s">
        <v>483</v>
      </c>
      <c r="I446" s="22"/>
      <c r="J446" s="22">
        <v>139</v>
      </c>
    </row>
    <row r="447" spans="1:10" x14ac:dyDescent="0.25">
      <c r="A447" s="22" t="b">
        <v>0</v>
      </c>
      <c r="B447" s="22" t="s">
        <v>2568</v>
      </c>
      <c r="C447" s="34">
        <v>45722</v>
      </c>
      <c r="D447" s="22" t="s">
        <v>63</v>
      </c>
      <c r="E447" s="22">
        <v>-6</v>
      </c>
      <c r="F447" s="28"/>
      <c r="G447" s="22" t="s">
        <v>489</v>
      </c>
      <c r="H447" s="22" t="s">
        <v>483</v>
      </c>
      <c r="I447" s="22"/>
      <c r="J447" s="22">
        <v>140</v>
      </c>
    </row>
    <row r="448" spans="1:10" x14ac:dyDescent="0.25">
      <c r="A448" s="22" t="b">
        <v>0</v>
      </c>
      <c r="B448" s="22" t="s">
        <v>2569</v>
      </c>
      <c r="C448" s="34">
        <v>45722</v>
      </c>
      <c r="D448" s="22" t="s">
        <v>63</v>
      </c>
      <c r="E448" s="22">
        <v>-6</v>
      </c>
      <c r="F448" s="28"/>
      <c r="G448" s="22" t="s">
        <v>489</v>
      </c>
      <c r="H448" s="22" t="s">
        <v>483</v>
      </c>
      <c r="I448" s="22"/>
      <c r="J448" s="22">
        <v>141</v>
      </c>
    </row>
    <row r="449" spans="1:10" x14ac:dyDescent="0.25">
      <c r="A449" s="22" t="b">
        <v>0</v>
      </c>
      <c r="B449" s="22" t="s">
        <v>2571</v>
      </c>
      <c r="C449" s="34">
        <v>45721</v>
      </c>
      <c r="D449" s="22" t="s">
        <v>63</v>
      </c>
      <c r="E449" s="22">
        <v>-6</v>
      </c>
      <c r="F449" s="28"/>
      <c r="G449" s="22" t="s">
        <v>489</v>
      </c>
      <c r="H449" s="22" t="s">
        <v>483</v>
      </c>
      <c r="I449" s="22"/>
      <c r="J449" s="22">
        <v>144</v>
      </c>
    </row>
    <row r="450" spans="1:10" x14ac:dyDescent="0.25">
      <c r="A450" s="22" t="b">
        <v>0</v>
      </c>
      <c r="B450" s="22" t="s">
        <v>2575</v>
      </c>
      <c r="C450" s="34">
        <v>45719</v>
      </c>
      <c r="D450" s="22" t="s">
        <v>3838</v>
      </c>
      <c r="E450" s="22">
        <v>-7.5</v>
      </c>
      <c r="F450" s="28"/>
      <c r="G450" s="22" t="s">
        <v>489</v>
      </c>
      <c r="H450" s="22" t="s">
        <v>483</v>
      </c>
      <c r="I450" s="22"/>
      <c r="J450" s="22">
        <v>148</v>
      </c>
    </row>
    <row r="451" spans="1:10" x14ac:dyDescent="0.25">
      <c r="A451" s="22" t="b">
        <v>0</v>
      </c>
      <c r="B451" s="22" t="s">
        <v>2576</v>
      </c>
      <c r="C451" s="34">
        <v>45718</v>
      </c>
      <c r="D451" s="22" t="s">
        <v>3836</v>
      </c>
      <c r="E451" s="22">
        <v>-4</v>
      </c>
      <c r="F451" s="28"/>
      <c r="G451" s="22" t="s">
        <v>489</v>
      </c>
      <c r="H451" s="22" t="s">
        <v>483</v>
      </c>
      <c r="I451" s="22"/>
      <c r="J451" s="22">
        <v>149</v>
      </c>
    </row>
    <row r="452" spans="1:10" x14ac:dyDescent="0.25">
      <c r="A452" s="22" t="b">
        <v>0</v>
      </c>
      <c r="B452" s="22" t="s">
        <v>2577</v>
      </c>
      <c r="C452" s="34">
        <v>45718</v>
      </c>
      <c r="D452" s="22" t="s">
        <v>3836</v>
      </c>
      <c r="E452" s="22">
        <v>-6</v>
      </c>
      <c r="F452" s="28"/>
      <c r="G452" s="22" t="s">
        <v>489</v>
      </c>
      <c r="H452" s="22" t="s">
        <v>483</v>
      </c>
      <c r="I452" s="22"/>
      <c r="J452" s="22">
        <v>150</v>
      </c>
    </row>
    <row r="453" spans="1:10" x14ac:dyDescent="0.25">
      <c r="A453" s="22" t="b">
        <v>0</v>
      </c>
      <c r="B453" s="22" t="s">
        <v>2585</v>
      </c>
      <c r="C453" s="34">
        <v>45716</v>
      </c>
      <c r="D453" s="22" t="s">
        <v>3833</v>
      </c>
      <c r="E453" s="22">
        <v>-7.5</v>
      </c>
      <c r="F453" s="28"/>
      <c r="G453" s="22" t="s">
        <v>489</v>
      </c>
      <c r="H453" s="22" t="s">
        <v>483</v>
      </c>
      <c r="I453" s="22"/>
      <c r="J453" s="22">
        <v>161</v>
      </c>
    </row>
    <row r="454" spans="1:10" x14ac:dyDescent="0.25">
      <c r="A454" s="22" t="b">
        <v>0</v>
      </c>
      <c r="B454" s="22" t="s">
        <v>2586</v>
      </c>
      <c r="C454" s="34">
        <v>45716</v>
      </c>
      <c r="D454" s="22" t="s">
        <v>63</v>
      </c>
      <c r="E454" s="22">
        <v>-6</v>
      </c>
      <c r="F454" s="28"/>
      <c r="G454" s="22" t="s">
        <v>489</v>
      </c>
      <c r="H454" s="22" t="s">
        <v>483</v>
      </c>
      <c r="I454" s="22"/>
      <c r="J454" s="22">
        <v>162</v>
      </c>
    </row>
    <row r="455" spans="1:10" x14ac:dyDescent="0.25">
      <c r="A455" s="22" t="b">
        <v>0</v>
      </c>
      <c r="B455" s="22" t="s">
        <v>2587</v>
      </c>
      <c r="C455" s="34">
        <v>45716</v>
      </c>
      <c r="D455" s="22" t="s">
        <v>63</v>
      </c>
      <c r="E455" s="22">
        <v>-6</v>
      </c>
      <c r="F455" s="28"/>
      <c r="G455" s="22" t="s">
        <v>489</v>
      </c>
      <c r="H455" s="22" t="s">
        <v>483</v>
      </c>
      <c r="I455" s="22"/>
      <c r="J455" s="22">
        <v>163</v>
      </c>
    </row>
    <row r="456" spans="1:10" x14ac:dyDescent="0.25">
      <c r="A456" s="22" t="b">
        <v>0</v>
      </c>
      <c r="B456" s="22" t="s">
        <v>2588</v>
      </c>
      <c r="C456" s="34">
        <v>45716</v>
      </c>
      <c r="D456" s="22" t="s">
        <v>63</v>
      </c>
      <c r="E456" s="22">
        <v>-6</v>
      </c>
      <c r="F456" s="28"/>
      <c r="G456" s="22" t="s">
        <v>489</v>
      </c>
      <c r="H456" s="22" t="s">
        <v>483</v>
      </c>
      <c r="I456" s="22"/>
      <c r="J456" s="22">
        <v>164</v>
      </c>
    </row>
    <row r="457" spans="1:10" x14ac:dyDescent="0.25">
      <c r="A457" s="22" t="b">
        <v>0</v>
      </c>
      <c r="B457" s="22" t="s">
        <v>2591</v>
      </c>
      <c r="C457" s="34">
        <v>45715</v>
      </c>
      <c r="D457" s="22" t="s">
        <v>3838</v>
      </c>
      <c r="E457" s="22">
        <v>-7</v>
      </c>
      <c r="F457" s="28"/>
      <c r="G457" s="22" t="s">
        <v>489</v>
      </c>
      <c r="H457" s="22" t="s">
        <v>483</v>
      </c>
      <c r="I457" s="22"/>
      <c r="J457" s="22">
        <v>167</v>
      </c>
    </row>
    <row r="458" spans="1:10" x14ac:dyDescent="0.25">
      <c r="A458" s="22" t="b">
        <v>0</v>
      </c>
      <c r="B458" s="22" t="s">
        <v>2592</v>
      </c>
      <c r="C458" s="34">
        <v>45715</v>
      </c>
      <c r="D458" s="22" t="s">
        <v>3838</v>
      </c>
      <c r="E458" s="22">
        <v>-7.5</v>
      </c>
      <c r="F458" s="28"/>
      <c r="G458" s="22" t="s">
        <v>489</v>
      </c>
      <c r="H458" s="22" t="s">
        <v>483</v>
      </c>
      <c r="I458" s="22"/>
      <c r="J458" s="22">
        <v>168</v>
      </c>
    </row>
    <row r="459" spans="1:10" x14ac:dyDescent="0.25">
      <c r="A459" s="22" t="b">
        <v>0</v>
      </c>
      <c r="B459" s="22" t="s">
        <v>2593</v>
      </c>
      <c r="C459" s="34">
        <v>45715</v>
      </c>
      <c r="D459" s="22" t="s">
        <v>3832</v>
      </c>
      <c r="E459" s="22">
        <v>-7.5</v>
      </c>
      <c r="F459" s="28"/>
      <c r="G459" s="22" t="s">
        <v>489</v>
      </c>
      <c r="H459" s="22" t="s">
        <v>483</v>
      </c>
      <c r="I459" s="22"/>
      <c r="J459" s="22">
        <v>169</v>
      </c>
    </row>
    <row r="460" spans="1:10" x14ac:dyDescent="0.25">
      <c r="A460" s="22" t="b">
        <v>0</v>
      </c>
      <c r="B460" s="22" t="s">
        <v>2601</v>
      </c>
      <c r="C460" s="34">
        <v>45714</v>
      </c>
      <c r="D460" s="22" t="s">
        <v>3833</v>
      </c>
      <c r="E460" s="22">
        <v>-7.5</v>
      </c>
      <c r="F460" s="28"/>
      <c r="G460" s="22" t="s">
        <v>489</v>
      </c>
      <c r="H460" s="22" t="s">
        <v>483</v>
      </c>
      <c r="I460" s="22"/>
      <c r="J460" s="22">
        <v>177</v>
      </c>
    </row>
    <row r="461" spans="1:10" x14ac:dyDescent="0.25">
      <c r="A461" s="22" t="b">
        <v>0</v>
      </c>
      <c r="B461" s="22" t="s">
        <v>2602</v>
      </c>
      <c r="C461" s="34">
        <v>45714</v>
      </c>
      <c r="D461" s="22" t="s">
        <v>3832</v>
      </c>
      <c r="E461" s="22">
        <v>-7.5</v>
      </c>
      <c r="F461" s="28"/>
      <c r="G461" s="22" t="s">
        <v>489</v>
      </c>
      <c r="H461" s="22" t="s">
        <v>483</v>
      </c>
      <c r="I461" s="22"/>
      <c r="J461" s="22">
        <v>178</v>
      </c>
    </row>
    <row r="462" spans="1:10" x14ac:dyDescent="0.25">
      <c r="A462" s="22" t="b">
        <v>0</v>
      </c>
      <c r="B462" s="22" t="s">
        <v>2606</v>
      </c>
      <c r="C462" s="34">
        <v>45712</v>
      </c>
      <c r="D462" s="22" t="s">
        <v>63</v>
      </c>
      <c r="E462" s="22">
        <v>-6</v>
      </c>
      <c r="F462" s="28"/>
      <c r="G462" s="22" t="s">
        <v>489</v>
      </c>
      <c r="H462" s="22" t="s">
        <v>483</v>
      </c>
      <c r="I462" s="22"/>
      <c r="J462" s="22">
        <v>186</v>
      </c>
    </row>
    <row r="463" spans="1:10" x14ac:dyDescent="0.25">
      <c r="A463" s="22" t="b">
        <v>0</v>
      </c>
      <c r="B463" s="22" t="s">
        <v>2607</v>
      </c>
      <c r="C463" s="34">
        <v>45712</v>
      </c>
      <c r="D463" s="22" t="s">
        <v>63</v>
      </c>
      <c r="E463" s="22">
        <v>-6</v>
      </c>
      <c r="F463" s="28"/>
      <c r="G463" s="22" t="s">
        <v>489</v>
      </c>
      <c r="H463" s="22" t="s">
        <v>483</v>
      </c>
      <c r="I463" s="22"/>
      <c r="J463" s="22">
        <v>187</v>
      </c>
    </row>
    <row r="464" spans="1:10" x14ac:dyDescent="0.25">
      <c r="A464" s="22" t="b">
        <v>0</v>
      </c>
      <c r="B464" s="22" t="s">
        <v>2608</v>
      </c>
      <c r="C464" s="34">
        <v>45712</v>
      </c>
      <c r="D464" s="22" t="s">
        <v>3832</v>
      </c>
      <c r="E464" s="22">
        <v>-7</v>
      </c>
      <c r="F464" s="28"/>
      <c r="G464" s="22" t="s">
        <v>489</v>
      </c>
      <c r="H464" s="22" t="s">
        <v>483</v>
      </c>
      <c r="I464" s="22"/>
      <c r="J464" s="22">
        <v>188</v>
      </c>
    </row>
    <row r="465" spans="1:10" x14ac:dyDescent="0.25">
      <c r="A465" s="22" t="b">
        <v>0</v>
      </c>
      <c r="B465" s="22" t="s">
        <v>2609</v>
      </c>
      <c r="C465" s="34">
        <v>45712</v>
      </c>
      <c r="D465" s="22" t="s">
        <v>3832</v>
      </c>
      <c r="E465" s="22">
        <v>-7.5</v>
      </c>
      <c r="F465" s="28"/>
      <c r="G465" s="22" t="s">
        <v>489</v>
      </c>
      <c r="H465" s="22" t="s">
        <v>483</v>
      </c>
      <c r="I465" s="22"/>
      <c r="J465" s="22">
        <v>189</v>
      </c>
    </row>
    <row r="466" spans="1:10" x14ac:dyDescent="0.25">
      <c r="A466" s="22" t="b">
        <v>0</v>
      </c>
      <c r="B466" s="22" t="s">
        <v>2610</v>
      </c>
      <c r="C466" s="34">
        <v>45712</v>
      </c>
      <c r="D466" s="22" t="s">
        <v>3832</v>
      </c>
      <c r="E466" s="22">
        <v>-7.5</v>
      </c>
      <c r="F466" s="28"/>
      <c r="G466" s="22" t="s">
        <v>489</v>
      </c>
      <c r="H466" s="22" t="s">
        <v>483</v>
      </c>
      <c r="I466" s="22"/>
      <c r="J466" s="22">
        <v>190</v>
      </c>
    </row>
    <row r="467" spans="1:10" x14ac:dyDescent="0.25">
      <c r="A467" s="22" t="b">
        <v>0</v>
      </c>
      <c r="B467" s="22" t="s">
        <v>2613</v>
      </c>
      <c r="C467" s="34">
        <v>45711</v>
      </c>
      <c r="D467" s="22" t="s">
        <v>63</v>
      </c>
      <c r="E467" s="22">
        <v>-6</v>
      </c>
      <c r="F467" s="28"/>
      <c r="G467" s="22" t="s">
        <v>489</v>
      </c>
      <c r="H467" s="22" t="s">
        <v>483</v>
      </c>
      <c r="I467" s="22"/>
      <c r="J467" s="22">
        <v>193</v>
      </c>
    </row>
    <row r="468" spans="1:10" x14ac:dyDescent="0.25">
      <c r="A468" s="22" t="b">
        <v>0</v>
      </c>
      <c r="B468" s="22" t="s">
        <v>2614</v>
      </c>
      <c r="C468" s="34">
        <v>45711</v>
      </c>
      <c r="D468" s="22" t="s">
        <v>3836</v>
      </c>
      <c r="E468" s="22">
        <v>-6</v>
      </c>
      <c r="F468" s="28"/>
      <c r="G468" s="22" t="s">
        <v>489</v>
      </c>
      <c r="H468" s="22" t="s">
        <v>483</v>
      </c>
      <c r="I468" s="22"/>
      <c r="J468" s="22">
        <v>194</v>
      </c>
    </row>
    <row r="469" spans="1:10" x14ac:dyDescent="0.25">
      <c r="A469" s="22" t="b">
        <v>0</v>
      </c>
      <c r="B469" s="22" t="s">
        <v>2621</v>
      </c>
      <c r="C469" s="34">
        <v>45709</v>
      </c>
      <c r="D469" s="22" t="s">
        <v>3852</v>
      </c>
      <c r="E469" s="22">
        <v>-11</v>
      </c>
      <c r="F469" s="28"/>
      <c r="G469" s="22" t="s">
        <v>489</v>
      </c>
      <c r="H469" s="22" t="s">
        <v>483</v>
      </c>
      <c r="I469" s="22"/>
      <c r="J469" s="22">
        <v>202</v>
      </c>
    </row>
    <row r="470" spans="1:10" x14ac:dyDescent="0.25">
      <c r="A470" s="22" t="b">
        <v>0</v>
      </c>
      <c r="B470" s="22" t="s">
        <v>2636</v>
      </c>
      <c r="C470" s="34">
        <v>45707</v>
      </c>
      <c r="D470" s="22" t="s">
        <v>3833</v>
      </c>
      <c r="E470" s="22">
        <v>-7</v>
      </c>
      <c r="F470" s="28"/>
      <c r="G470" s="22" t="s">
        <v>489</v>
      </c>
      <c r="H470" s="22" t="s">
        <v>483</v>
      </c>
      <c r="I470" s="22"/>
      <c r="J470" s="22">
        <v>220</v>
      </c>
    </row>
    <row r="471" spans="1:10" x14ac:dyDescent="0.25">
      <c r="A471" s="22" t="b">
        <v>0</v>
      </c>
      <c r="B471" s="22" t="s">
        <v>2637</v>
      </c>
      <c r="C471" s="34">
        <v>45707</v>
      </c>
      <c r="D471" s="22" t="s">
        <v>3833</v>
      </c>
      <c r="E471" s="22">
        <v>-7.5</v>
      </c>
      <c r="F471" s="28"/>
      <c r="G471" s="22" t="s">
        <v>489</v>
      </c>
      <c r="H471" s="22" t="s">
        <v>483</v>
      </c>
      <c r="I471" s="22"/>
      <c r="J471" s="22">
        <v>221</v>
      </c>
    </row>
    <row r="472" spans="1:10" x14ac:dyDescent="0.25">
      <c r="A472" s="22" t="b">
        <v>0</v>
      </c>
      <c r="B472" s="22" t="s">
        <v>2650</v>
      </c>
      <c r="C472" s="34">
        <v>45706</v>
      </c>
      <c r="D472" s="22" t="s">
        <v>3853</v>
      </c>
      <c r="E472" s="22">
        <v>-1.6</v>
      </c>
      <c r="F472" s="28"/>
      <c r="G472" s="22" t="s">
        <v>489</v>
      </c>
      <c r="H472" s="22" t="s">
        <v>483</v>
      </c>
      <c r="I472" s="22"/>
      <c r="J472" s="22">
        <v>235</v>
      </c>
    </row>
    <row r="473" spans="1:10" x14ac:dyDescent="0.25">
      <c r="A473" s="22" t="b">
        <v>0</v>
      </c>
      <c r="B473" s="22" t="s">
        <v>2653</v>
      </c>
      <c r="C473" s="34">
        <v>45706</v>
      </c>
      <c r="D473" s="22" t="s">
        <v>63</v>
      </c>
      <c r="E473" s="22">
        <v>-6</v>
      </c>
      <c r="F473" s="28"/>
      <c r="G473" s="22" t="s">
        <v>489</v>
      </c>
      <c r="H473" s="22" t="s">
        <v>483</v>
      </c>
      <c r="I473" s="22"/>
      <c r="J473" s="22">
        <v>238</v>
      </c>
    </row>
    <row r="474" spans="1:10" x14ac:dyDescent="0.25">
      <c r="A474" s="22" t="b">
        <v>0</v>
      </c>
      <c r="B474" s="22" t="s">
        <v>2654</v>
      </c>
      <c r="C474" s="34">
        <v>45706</v>
      </c>
      <c r="D474" s="22" t="s">
        <v>3832</v>
      </c>
      <c r="E474" s="22">
        <v>-11</v>
      </c>
      <c r="F474" s="28"/>
      <c r="G474" s="22" t="s">
        <v>489</v>
      </c>
      <c r="H474" s="22" t="s">
        <v>483</v>
      </c>
      <c r="I474" s="22"/>
      <c r="J474" s="22">
        <v>239</v>
      </c>
    </row>
    <row r="475" spans="1:10" x14ac:dyDescent="0.25">
      <c r="A475" s="22" t="b">
        <v>0</v>
      </c>
      <c r="B475" s="22" t="s">
        <v>2655</v>
      </c>
      <c r="C475" s="34">
        <v>45706</v>
      </c>
      <c r="D475" s="22" t="s">
        <v>3832</v>
      </c>
      <c r="E475" s="22">
        <v>-7.5</v>
      </c>
      <c r="F475" s="28"/>
      <c r="G475" s="22" t="s">
        <v>489</v>
      </c>
      <c r="H475" s="22" t="s">
        <v>483</v>
      </c>
      <c r="I475" s="22"/>
      <c r="J475" s="22">
        <v>240</v>
      </c>
    </row>
    <row r="476" spans="1:10" x14ac:dyDescent="0.25">
      <c r="A476" s="22" t="b">
        <v>0</v>
      </c>
      <c r="B476" s="22" t="s">
        <v>2659</v>
      </c>
      <c r="C476" s="34">
        <v>45705</v>
      </c>
      <c r="D476" s="22" t="s">
        <v>63</v>
      </c>
      <c r="E476" s="22">
        <v>-6</v>
      </c>
      <c r="F476" s="28"/>
      <c r="G476" s="22" t="s">
        <v>489</v>
      </c>
      <c r="H476" s="22" t="s">
        <v>483</v>
      </c>
      <c r="I476" s="22"/>
      <c r="J476" s="22">
        <v>245</v>
      </c>
    </row>
    <row r="477" spans="1:10" x14ac:dyDescent="0.25">
      <c r="A477" s="22" t="b">
        <v>0</v>
      </c>
      <c r="B477" s="22" t="s">
        <v>2660</v>
      </c>
      <c r="C477" s="34">
        <v>45705</v>
      </c>
      <c r="D477" s="22" t="s">
        <v>63</v>
      </c>
      <c r="E477" s="22">
        <v>-6</v>
      </c>
      <c r="F477" s="28"/>
      <c r="G477" s="22" t="s">
        <v>489</v>
      </c>
      <c r="H477" s="22" t="s">
        <v>483</v>
      </c>
      <c r="I477" s="22"/>
      <c r="J477" s="22">
        <v>246</v>
      </c>
    </row>
    <row r="478" spans="1:10" x14ac:dyDescent="0.25">
      <c r="A478" s="22" t="b">
        <v>0</v>
      </c>
      <c r="B478" s="22" t="s">
        <v>2667</v>
      </c>
      <c r="C478" s="34">
        <v>45704</v>
      </c>
      <c r="D478" s="22" t="s">
        <v>31</v>
      </c>
      <c r="E478" s="22">
        <v>-19.899999999999999</v>
      </c>
      <c r="F478" s="28"/>
      <c r="G478" s="22" t="s">
        <v>489</v>
      </c>
      <c r="H478" s="22" t="s">
        <v>483</v>
      </c>
      <c r="I478" s="22"/>
      <c r="J478" s="22">
        <v>253</v>
      </c>
    </row>
    <row r="479" spans="1:10" x14ac:dyDescent="0.25">
      <c r="A479" s="22" t="b">
        <v>0</v>
      </c>
      <c r="B479" s="22" t="s">
        <v>2670</v>
      </c>
      <c r="C479" s="34">
        <v>45703</v>
      </c>
      <c r="D479" s="22" t="s">
        <v>3854</v>
      </c>
      <c r="E479" s="22">
        <v>-6</v>
      </c>
      <c r="F479" s="28"/>
      <c r="G479" s="22" t="s">
        <v>489</v>
      </c>
      <c r="H479" s="22" t="s">
        <v>483</v>
      </c>
      <c r="I479" s="22"/>
      <c r="J479" s="22">
        <v>256</v>
      </c>
    </row>
    <row r="480" spans="1:10" x14ac:dyDescent="0.25">
      <c r="A480" s="22" t="b">
        <v>0</v>
      </c>
      <c r="B480" s="22" t="s">
        <v>2677</v>
      </c>
      <c r="C480" s="34">
        <v>45702</v>
      </c>
      <c r="D480" s="22" t="s">
        <v>63</v>
      </c>
      <c r="E480" s="22">
        <v>-6</v>
      </c>
      <c r="F480" s="28"/>
      <c r="G480" s="22" t="s">
        <v>489</v>
      </c>
      <c r="H480" s="22" t="s">
        <v>483</v>
      </c>
      <c r="I480" s="22"/>
      <c r="J480" s="22">
        <v>264</v>
      </c>
    </row>
    <row r="481" spans="1:10" x14ac:dyDescent="0.25">
      <c r="A481" s="22" t="b">
        <v>0</v>
      </c>
      <c r="B481" s="22" t="s">
        <v>403</v>
      </c>
      <c r="C481" s="22" t="s">
        <v>2939</v>
      </c>
      <c r="D481" s="22" t="s">
        <v>63</v>
      </c>
      <c r="E481" s="22">
        <v>-7</v>
      </c>
      <c r="F481" s="28"/>
      <c r="G481" s="22" t="s">
        <v>489</v>
      </c>
      <c r="H481" s="22" t="s">
        <v>483</v>
      </c>
      <c r="I481" s="22"/>
      <c r="J481" s="22">
        <v>290</v>
      </c>
    </row>
    <row r="482" spans="1:10" x14ac:dyDescent="0.25">
      <c r="A482" s="22" t="b">
        <v>0</v>
      </c>
      <c r="B482" s="22" t="s">
        <v>404</v>
      </c>
      <c r="C482" s="22" t="s">
        <v>2939</v>
      </c>
      <c r="D482" s="22" t="s">
        <v>63</v>
      </c>
      <c r="E482" s="22">
        <v>-7</v>
      </c>
      <c r="F482" s="28"/>
      <c r="G482" s="22" t="s">
        <v>489</v>
      </c>
      <c r="H482" s="22" t="s">
        <v>483</v>
      </c>
      <c r="I482" s="22"/>
      <c r="J482" s="22">
        <v>291</v>
      </c>
    </row>
    <row r="483" spans="1:10" x14ac:dyDescent="0.25">
      <c r="A483" s="22" t="b">
        <v>0</v>
      </c>
      <c r="B483" s="22" t="s">
        <v>414</v>
      </c>
      <c r="C483" s="22" t="s">
        <v>2939</v>
      </c>
      <c r="D483" s="22" t="s">
        <v>63</v>
      </c>
      <c r="E483" s="22">
        <v>-6</v>
      </c>
      <c r="F483" s="28"/>
      <c r="G483" s="22" t="s">
        <v>489</v>
      </c>
      <c r="H483" s="22" t="s">
        <v>483</v>
      </c>
      <c r="I483" s="22"/>
      <c r="J483" s="22">
        <v>299</v>
      </c>
    </row>
    <row r="484" spans="1:10" x14ac:dyDescent="0.25">
      <c r="A484" s="22" t="b">
        <v>0</v>
      </c>
      <c r="B484" s="22" t="s">
        <v>424</v>
      </c>
      <c r="C484" s="22" t="s">
        <v>2939</v>
      </c>
      <c r="D484" s="22" t="s">
        <v>63</v>
      </c>
      <c r="E484" s="22">
        <v>-6</v>
      </c>
      <c r="F484" s="28"/>
      <c r="G484" s="22" t="s">
        <v>489</v>
      </c>
      <c r="H484" s="22" t="s">
        <v>483</v>
      </c>
      <c r="I484" s="22"/>
      <c r="J484" s="22">
        <v>306</v>
      </c>
    </row>
    <row r="485" spans="1:10" x14ac:dyDescent="0.25">
      <c r="A485" s="22" t="b">
        <v>0</v>
      </c>
      <c r="B485" s="22" t="s">
        <v>427</v>
      </c>
      <c r="C485" s="22" t="s">
        <v>2939</v>
      </c>
      <c r="D485" s="22" t="s">
        <v>63</v>
      </c>
      <c r="E485" s="22">
        <v>-6</v>
      </c>
      <c r="F485" s="28"/>
      <c r="G485" s="22" t="s">
        <v>489</v>
      </c>
      <c r="H485" s="22" t="s">
        <v>483</v>
      </c>
      <c r="I485" s="22"/>
      <c r="J485" s="22">
        <v>308</v>
      </c>
    </row>
    <row r="486" spans="1:10" x14ac:dyDescent="0.25">
      <c r="A486" s="22" t="b">
        <v>0</v>
      </c>
      <c r="B486" s="22" t="s">
        <v>428</v>
      </c>
      <c r="C486" s="22" t="s">
        <v>2939</v>
      </c>
      <c r="D486" s="22" t="s">
        <v>63</v>
      </c>
      <c r="E486" s="22">
        <v>-6</v>
      </c>
      <c r="F486" s="28"/>
      <c r="G486" s="22" t="s">
        <v>489</v>
      </c>
      <c r="H486" s="22" t="s">
        <v>483</v>
      </c>
      <c r="I486" s="22"/>
      <c r="J486" s="22">
        <v>309</v>
      </c>
    </row>
    <row r="487" spans="1:10" x14ac:dyDescent="0.25">
      <c r="A487" s="22" t="b">
        <v>0</v>
      </c>
      <c r="B487" s="22" t="s">
        <v>441</v>
      </c>
      <c r="C487" s="22" t="s">
        <v>2939</v>
      </c>
      <c r="D487" s="22" t="s">
        <v>63</v>
      </c>
      <c r="E487" s="22">
        <v>-6</v>
      </c>
      <c r="F487" s="28"/>
      <c r="G487" s="22" t="s">
        <v>489</v>
      </c>
      <c r="H487" s="22" t="s">
        <v>483</v>
      </c>
      <c r="I487" s="22"/>
      <c r="J487" s="22">
        <v>318</v>
      </c>
    </row>
    <row r="488" spans="1:10" x14ac:dyDescent="0.25">
      <c r="A488" s="22" t="b">
        <v>0</v>
      </c>
      <c r="B488" s="22" t="s">
        <v>443</v>
      </c>
      <c r="C488" s="22" t="s">
        <v>2939</v>
      </c>
      <c r="D488" s="22" t="s">
        <v>63</v>
      </c>
      <c r="E488" s="22">
        <v>-6</v>
      </c>
      <c r="F488" s="28"/>
      <c r="G488" s="22" t="s">
        <v>489</v>
      </c>
      <c r="H488" s="22" t="s">
        <v>483</v>
      </c>
      <c r="I488" s="22"/>
      <c r="J488" s="22">
        <v>320</v>
      </c>
    </row>
    <row r="489" spans="1:10" x14ac:dyDescent="0.25">
      <c r="A489" s="22" t="b">
        <v>0</v>
      </c>
      <c r="B489" s="22" t="s">
        <v>444</v>
      </c>
      <c r="C489" s="22" t="s">
        <v>2939</v>
      </c>
      <c r="D489" s="22" t="s">
        <v>63</v>
      </c>
      <c r="E489" s="22">
        <v>-6</v>
      </c>
      <c r="F489" s="28"/>
      <c r="G489" s="22" t="s">
        <v>489</v>
      </c>
      <c r="H489" s="22" t="s">
        <v>483</v>
      </c>
      <c r="I489" s="22"/>
      <c r="J489" s="22">
        <v>321</v>
      </c>
    </row>
    <row r="490" spans="1:10" x14ac:dyDescent="0.25">
      <c r="A490" s="22" t="b">
        <v>0</v>
      </c>
      <c r="B490" s="22" t="s">
        <v>2740</v>
      </c>
      <c r="C490" s="22" t="s">
        <v>2939</v>
      </c>
      <c r="D490" s="22" t="s">
        <v>120</v>
      </c>
      <c r="E490" s="22">
        <v>-1.1399999999999999</v>
      </c>
      <c r="F490" s="28"/>
      <c r="G490" s="22" t="s">
        <v>489</v>
      </c>
      <c r="H490" s="22" t="s">
        <v>483</v>
      </c>
      <c r="I490" s="22"/>
      <c r="J490" s="22">
        <v>330</v>
      </c>
    </row>
    <row r="491" spans="1:10" x14ac:dyDescent="0.25">
      <c r="A491" s="22" t="b">
        <v>0</v>
      </c>
      <c r="B491" s="22" t="s">
        <v>2741</v>
      </c>
      <c r="C491" s="22" t="s">
        <v>2939</v>
      </c>
      <c r="D491" s="22" t="s">
        <v>120</v>
      </c>
      <c r="E491" s="22">
        <v>-2.31</v>
      </c>
      <c r="F491" s="28"/>
      <c r="G491" s="22" t="s">
        <v>489</v>
      </c>
      <c r="H491" s="22" t="s">
        <v>483</v>
      </c>
      <c r="I491" s="22"/>
      <c r="J491" s="22">
        <v>331</v>
      </c>
    </row>
    <row r="492" spans="1:10" x14ac:dyDescent="0.25">
      <c r="A492" s="22" t="b">
        <v>0</v>
      </c>
      <c r="B492" s="22" t="s">
        <v>2745</v>
      </c>
      <c r="C492" s="22" t="s">
        <v>2939</v>
      </c>
      <c r="D492" s="22" t="s">
        <v>63</v>
      </c>
      <c r="E492" s="22">
        <v>-6</v>
      </c>
      <c r="F492" s="28"/>
      <c r="G492" s="22" t="s">
        <v>489</v>
      </c>
      <c r="H492" s="22" t="s">
        <v>483</v>
      </c>
      <c r="I492" s="22"/>
      <c r="J492" s="22">
        <v>335</v>
      </c>
    </row>
    <row r="493" spans="1:10" x14ac:dyDescent="0.25">
      <c r="A493" s="22" t="b">
        <v>0</v>
      </c>
      <c r="B493" s="22" t="s">
        <v>2746</v>
      </c>
      <c r="C493" s="22" t="s">
        <v>2939</v>
      </c>
      <c r="D493" s="22" t="s">
        <v>63</v>
      </c>
      <c r="E493" s="22">
        <v>-6</v>
      </c>
      <c r="F493" s="28"/>
      <c r="G493" s="22" t="s">
        <v>489</v>
      </c>
      <c r="H493" s="22" t="s">
        <v>483</v>
      </c>
      <c r="I493" s="22"/>
      <c r="J493" s="22">
        <v>336</v>
      </c>
    </row>
    <row r="494" spans="1:10" x14ac:dyDescent="0.25">
      <c r="A494" s="22" t="b">
        <v>0</v>
      </c>
      <c r="B494" s="22" t="s">
        <v>2748</v>
      </c>
      <c r="C494" s="22" t="s">
        <v>2939</v>
      </c>
      <c r="D494" s="22" t="s">
        <v>3833</v>
      </c>
      <c r="E494" s="22">
        <v>-7.5</v>
      </c>
      <c r="F494" s="28"/>
      <c r="G494" s="22" t="s">
        <v>489</v>
      </c>
      <c r="H494" s="22" t="s">
        <v>483</v>
      </c>
      <c r="I494" s="22"/>
      <c r="J494" s="22">
        <v>339</v>
      </c>
    </row>
    <row r="495" spans="1:10" x14ac:dyDescent="0.25">
      <c r="A495" s="22" t="b">
        <v>0</v>
      </c>
      <c r="B495" s="22" t="s">
        <v>2749</v>
      </c>
      <c r="C495" s="22" t="s">
        <v>2939</v>
      </c>
      <c r="D495" s="22" t="s">
        <v>63</v>
      </c>
      <c r="E495" s="22">
        <v>-6</v>
      </c>
      <c r="F495" s="28"/>
      <c r="G495" s="22" t="s">
        <v>489</v>
      </c>
      <c r="H495" s="22" t="s">
        <v>483</v>
      </c>
      <c r="I495" s="22"/>
      <c r="J495" s="22">
        <v>340</v>
      </c>
    </row>
    <row r="496" spans="1:10" x14ac:dyDescent="0.25">
      <c r="A496" s="22" t="b">
        <v>0</v>
      </c>
      <c r="B496" s="22" t="s">
        <v>2751</v>
      </c>
      <c r="C496" s="22" t="s">
        <v>2939</v>
      </c>
      <c r="D496" s="22" t="s">
        <v>206</v>
      </c>
      <c r="E496" s="22">
        <v>-7.5</v>
      </c>
      <c r="F496" s="28"/>
      <c r="G496" s="22" t="s">
        <v>489</v>
      </c>
      <c r="H496" s="22" t="s">
        <v>483</v>
      </c>
      <c r="I496" s="22"/>
      <c r="J496" s="22">
        <v>344</v>
      </c>
    </row>
    <row r="497" spans="1:10" x14ac:dyDescent="0.25">
      <c r="A497" s="22" t="b">
        <v>0</v>
      </c>
      <c r="B497" s="22" t="s">
        <v>2752</v>
      </c>
      <c r="C497" s="22" t="s">
        <v>2939</v>
      </c>
      <c r="D497" s="22" t="s">
        <v>206</v>
      </c>
      <c r="E497" s="22">
        <v>-7</v>
      </c>
      <c r="F497" s="28"/>
      <c r="G497" s="22" t="s">
        <v>489</v>
      </c>
      <c r="H497" s="22" t="s">
        <v>483</v>
      </c>
      <c r="I497" s="22"/>
      <c r="J497" s="22">
        <v>345</v>
      </c>
    </row>
    <row r="498" spans="1:10" x14ac:dyDescent="0.25">
      <c r="A498" s="22" t="b">
        <v>0</v>
      </c>
      <c r="B498" s="22" t="s">
        <v>2755</v>
      </c>
      <c r="C498" s="22" t="s">
        <v>2939</v>
      </c>
      <c r="D498" s="22" t="s">
        <v>63</v>
      </c>
      <c r="E498" s="22">
        <v>-6</v>
      </c>
      <c r="F498" s="28"/>
      <c r="G498" s="22" t="s">
        <v>489</v>
      </c>
      <c r="H498" s="22" t="s">
        <v>483</v>
      </c>
      <c r="I498" s="22"/>
      <c r="J498" s="22">
        <v>349</v>
      </c>
    </row>
    <row r="499" spans="1:10" x14ac:dyDescent="0.25">
      <c r="A499" s="22" t="b">
        <v>0</v>
      </c>
      <c r="B499" s="22" t="s">
        <v>2756</v>
      </c>
      <c r="C499" s="22" t="s">
        <v>2939</v>
      </c>
      <c r="D499" s="22" t="s">
        <v>3851</v>
      </c>
      <c r="E499" s="22">
        <v>-2</v>
      </c>
      <c r="F499" s="28"/>
      <c r="G499" s="22" t="s">
        <v>489</v>
      </c>
      <c r="H499" s="22" t="s">
        <v>483</v>
      </c>
      <c r="I499" s="22"/>
      <c r="J499" s="22">
        <v>350</v>
      </c>
    </row>
    <row r="500" spans="1:10" x14ac:dyDescent="0.25">
      <c r="A500" s="22" t="b">
        <v>0</v>
      </c>
      <c r="B500" s="22" t="s">
        <v>2762</v>
      </c>
      <c r="C500" s="22" t="s">
        <v>2939</v>
      </c>
      <c r="D500" s="22" t="s">
        <v>63</v>
      </c>
      <c r="E500" s="22">
        <v>-6</v>
      </c>
      <c r="F500" s="28"/>
      <c r="G500" s="22" t="s">
        <v>489</v>
      </c>
      <c r="H500" s="22" t="s">
        <v>483</v>
      </c>
      <c r="I500" s="22"/>
      <c r="J500" s="22">
        <v>356</v>
      </c>
    </row>
    <row r="501" spans="1:10" x14ac:dyDescent="0.25">
      <c r="A501" s="22" t="b">
        <v>0</v>
      </c>
      <c r="B501" s="22" t="s">
        <v>2763</v>
      </c>
      <c r="C501" s="22" t="s">
        <v>2939</v>
      </c>
      <c r="D501" s="22" t="s">
        <v>63</v>
      </c>
      <c r="E501" s="22">
        <v>-6</v>
      </c>
      <c r="F501" s="28"/>
      <c r="G501" s="22" t="s">
        <v>489</v>
      </c>
      <c r="H501" s="22" t="s">
        <v>483</v>
      </c>
      <c r="I501" s="22"/>
      <c r="J501" s="22">
        <v>357</v>
      </c>
    </row>
    <row r="502" spans="1:10" x14ac:dyDescent="0.25">
      <c r="A502" s="22" t="b">
        <v>0</v>
      </c>
      <c r="B502" s="22" t="s">
        <v>2766</v>
      </c>
      <c r="C502" s="22" t="s">
        <v>2939</v>
      </c>
      <c r="D502" s="22" t="s">
        <v>63</v>
      </c>
      <c r="E502" s="22">
        <v>-6</v>
      </c>
      <c r="F502" s="28"/>
      <c r="G502" s="22" t="s">
        <v>489</v>
      </c>
      <c r="H502" s="22" t="s">
        <v>483</v>
      </c>
      <c r="I502" s="22"/>
      <c r="J502" s="22">
        <v>361</v>
      </c>
    </row>
    <row r="503" spans="1:10" x14ac:dyDescent="0.25">
      <c r="A503" s="22" t="b">
        <v>0</v>
      </c>
      <c r="B503" s="22" t="s">
        <v>2769</v>
      </c>
      <c r="C503" s="22" t="s">
        <v>2939</v>
      </c>
      <c r="D503" s="22" t="s">
        <v>63</v>
      </c>
      <c r="E503" s="22">
        <v>-6</v>
      </c>
      <c r="F503" s="28"/>
      <c r="G503" s="22" t="s">
        <v>489</v>
      </c>
      <c r="H503" s="22" t="s">
        <v>483</v>
      </c>
      <c r="I503" s="22"/>
      <c r="J503" s="22">
        <v>368</v>
      </c>
    </row>
    <row r="504" spans="1:10" x14ac:dyDescent="0.25">
      <c r="A504" s="22" t="b">
        <v>0</v>
      </c>
      <c r="B504" s="22" t="s">
        <v>28</v>
      </c>
      <c r="C504" s="34">
        <v>46072</v>
      </c>
      <c r="D504" s="22" t="s">
        <v>31</v>
      </c>
      <c r="E504" s="22">
        <v>-8</v>
      </c>
      <c r="F504" s="22" t="s">
        <v>489</v>
      </c>
      <c r="G504" s="22" t="s">
        <v>483</v>
      </c>
      <c r="H504" s="22"/>
      <c r="I504" s="22">
        <v>2</v>
      </c>
    </row>
    <row r="505" spans="1:10" x14ac:dyDescent="0.25">
      <c r="A505" s="22" t="b">
        <v>0</v>
      </c>
      <c r="B505" s="22" t="s">
        <v>48</v>
      </c>
      <c r="C505" s="34">
        <v>46071</v>
      </c>
      <c r="D505" s="22" t="s">
        <v>31</v>
      </c>
      <c r="E505" s="22">
        <v>-14.9</v>
      </c>
      <c r="F505" s="22" t="s">
        <v>489</v>
      </c>
      <c r="G505" s="22" t="s">
        <v>483</v>
      </c>
      <c r="H505" s="22"/>
      <c r="I505" s="22">
        <v>6</v>
      </c>
    </row>
    <row r="506" spans="1:10" x14ac:dyDescent="0.25">
      <c r="A506" s="22" t="b">
        <v>0</v>
      </c>
      <c r="B506" s="22" t="s">
        <v>61</v>
      </c>
      <c r="C506" s="34">
        <v>46070</v>
      </c>
      <c r="D506" s="22" t="s">
        <v>31</v>
      </c>
      <c r="E506" s="22">
        <v>-8</v>
      </c>
      <c r="F506" s="22" t="s">
        <v>489</v>
      </c>
      <c r="G506" s="22" t="s">
        <v>483</v>
      </c>
      <c r="H506" s="22"/>
      <c r="I506" s="22">
        <v>11</v>
      </c>
    </row>
    <row r="507" spans="1:10" x14ac:dyDescent="0.25">
      <c r="A507" s="22" t="b">
        <v>0</v>
      </c>
      <c r="B507" s="22" t="s">
        <v>62</v>
      </c>
      <c r="C507" s="34">
        <v>46070</v>
      </c>
      <c r="D507" s="22" t="s">
        <v>63</v>
      </c>
      <c r="E507" s="22">
        <v>-7</v>
      </c>
      <c r="F507" s="22" t="s">
        <v>489</v>
      </c>
      <c r="G507" s="22" t="s">
        <v>483</v>
      </c>
      <c r="H507" s="22"/>
      <c r="I507" s="22">
        <v>12</v>
      </c>
    </row>
    <row r="508" spans="1:10" x14ac:dyDescent="0.25">
      <c r="A508" s="22" t="b">
        <v>0</v>
      </c>
      <c r="B508" s="22" t="s">
        <v>83</v>
      </c>
      <c r="C508" s="34">
        <v>46069</v>
      </c>
      <c r="D508" s="22" t="s">
        <v>31</v>
      </c>
      <c r="E508" s="22">
        <v>-8</v>
      </c>
      <c r="F508" s="22" t="s">
        <v>489</v>
      </c>
      <c r="G508" s="22" t="s">
        <v>483</v>
      </c>
      <c r="H508" s="22"/>
      <c r="I508" s="22">
        <v>22</v>
      </c>
    </row>
    <row r="509" spans="1:10" x14ac:dyDescent="0.25">
      <c r="A509" s="22" t="b">
        <v>0</v>
      </c>
      <c r="B509" s="22" t="s">
        <v>89</v>
      </c>
      <c r="C509" s="34">
        <v>46068</v>
      </c>
      <c r="D509" s="22" t="s">
        <v>31</v>
      </c>
      <c r="E509" s="22">
        <v>-14.9</v>
      </c>
      <c r="F509" s="22" t="s">
        <v>489</v>
      </c>
      <c r="G509" s="22" t="s">
        <v>483</v>
      </c>
      <c r="H509" s="22"/>
      <c r="I509" s="22">
        <v>25</v>
      </c>
    </row>
    <row r="510" spans="1:10" x14ac:dyDescent="0.25">
      <c r="A510" s="22" t="b">
        <v>0</v>
      </c>
      <c r="B510" s="22" t="s">
        <v>92</v>
      </c>
      <c r="C510" s="34">
        <v>46068</v>
      </c>
      <c r="D510" s="22" t="s">
        <v>63</v>
      </c>
      <c r="E510" s="22">
        <v>-7</v>
      </c>
      <c r="F510" s="22" t="s">
        <v>489</v>
      </c>
      <c r="G510" s="22" t="s">
        <v>483</v>
      </c>
      <c r="H510" s="22"/>
      <c r="I510" s="22">
        <v>27</v>
      </c>
    </row>
    <row r="511" spans="1:10" x14ac:dyDescent="0.25">
      <c r="A511" s="22" t="b">
        <v>0</v>
      </c>
      <c r="B511" s="22" t="s">
        <v>119</v>
      </c>
      <c r="C511" s="34">
        <v>46065</v>
      </c>
      <c r="D511" s="22" t="s">
        <v>120</v>
      </c>
      <c r="E511" s="22">
        <v>-3.23</v>
      </c>
      <c r="F511" s="22" t="s">
        <v>489</v>
      </c>
      <c r="G511" s="22" t="s">
        <v>483</v>
      </c>
      <c r="H511" s="22"/>
      <c r="I511" s="22">
        <v>40</v>
      </c>
    </row>
    <row r="512" spans="1:10" x14ac:dyDescent="0.25">
      <c r="A512" s="22" t="b">
        <v>0</v>
      </c>
      <c r="B512" s="22" t="s">
        <v>121</v>
      </c>
      <c r="C512" s="34">
        <v>46065</v>
      </c>
      <c r="D512" s="22" t="s">
        <v>120</v>
      </c>
      <c r="E512" s="22">
        <v>-1.55</v>
      </c>
      <c r="F512" s="22" t="s">
        <v>489</v>
      </c>
      <c r="G512" s="22" t="s">
        <v>483</v>
      </c>
      <c r="H512" s="22"/>
      <c r="I512" s="22">
        <v>41</v>
      </c>
    </row>
    <row r="513" spans="1:9" x14ac:dyDescent="0.25">
      <c r="A513" s="22" t="b">
        <v>0</v>
      </c>
      <c r="B513" s="22" t="s">
        <v>169</v>
      </c>
      <c r="C513" s="34">
        <v>46062</v>
      </c>
      <c r="D513" s="22" t="s">
        <v>170</v>
      </c>
      <c r="E513" s="22">
        <v>-7</v>
      </c>
      <c r="F513" s="22" t="s">
        <v>489</v>
      </c>
      <c r="G513" s="22" t="s">
        <v>483</v>
      </c>
      <c r="H513" s="22"/>
      <c r="I513" s="22">
        <v>62</v>
      </c>
    </row>
    <row r="514" spans="1:9" x14ac:dyDescent="0.25">
      <c r="A514" s="22" t="b">
        <v>0</v>
      </c>
      <c r="B514" s="22" t="s">
        <v>172</v>
      </c>
      <c r="C514" s="34">
        <v>46061</v>
      </c>
      <c r="D514" s="22" t="s">
        <v>63</v>
      </c>
      <c r="E514" s="22">
        <v>-7</v>
      </c>
      <c r="F514" s="22" t="s">
        <v>489</v>
      </c>
      <c r="G514" s="22" t="s">
        <v>483</v>
      </c>
      <c r="H514" s="22"/>
      <c r="I514" s="22">
        <v>64</v>
      </c>
    </row>
    <row r="515" spans="1:9" x14ac:dyDescent="0.25">
      <c r="A515" s="22" t="b">
        <v>0</v>
      </c>
      <c r="B515" s="22" t="s">
        <v>173</v>
      </c>
      <c r="C515" s="34">
        <v>46061</v>
      </c>
      <c r="D515" s="22" t="s">
        <v>63</v>
      </c>
      <c r="E515" s="22">
        <v>-7</v>
      </c>
      <c r="F515" s="22" t="s">
        <v>489</v>
      </c>
      <c r="G515" s="22" t="s">
        <v>483</v>
      </c>
      <c r="H515" s="22"/>
      <c r="I515" s="22">
        <v>65</v>
      </c>
    </row>
    <row r="516" spans="1:9" x14ac:dyDescent="0.25">
      <c r="A516" s="22" t="b">
        <v>0</v>
      </c>
      <c r="B516" s="22" t="s">
        <v>181</v>
      </c>
      <c r="C516" s="34">
        <v>46060</v>
      </c>
      <c r="D516" s="22" t="s">
        <v>120</v>
      </c>
      <c r="E516" s="22">
        <v>-1.72</v>
      </c>
      <c r="F516" s="22" t="s">
        <v>489</v>
      </c>
      <c r="G516" s="22" t="s">
        <v>483</v>
      </c>
      <c r="H516" s="22"/>
      <c r="I516" s="22">
        <v>68</v>
      </c>
    </row>
    <row r="517" spans="1:9" x14ac:dyDescent="0.25">
      <c r="A517" s="22" t="b">
        <v>0</v>
      </c>
      <c r="B517" s="22" t="s">
        <v>188</v>
      </c>
      <c r="C517" s="34">
        <v>46059</v>
      </c>
      <c r="D517" s="22" t="s">
        <v>120</v>
      </c>
      <c r="E517" s="22">
        <v>-1.64</v>
      </c>
      <c r="F517" s="22" t="s">
        <v>489</v>
      </c>
      <c r="G517" s="22" t="s">
        <v>483</v>
      </c>
      <c r="H517" s="22"/>
      <c r="I517" s="22">
        <v>71</v>
      </c>
    </row>
    <row r="518" spans="1:9" x14ac:dyDescent="0.25">
      <c r="A518" s="22" t="b">
        <v>0</v>
      </c>
      <c r="B518" s="22" t="s">
        <v>189</v>
      </c>
      <c r="C518" s="34">
        <v>46059</v>
      </c>
      <c r="D518" s="22" t="s">
        <v>120</v>
      </c>
      <c r="E518" s="22">
        <v>-1.18</v>
      </c>
      <c r="F518" s="22" t="s">
        <v>489</v>
      </c>
      <c r="G518" s="22" t="s">
        <v>483</v>
      </c>
      <c r="H518" s="22"/>
      <c r="I518" s="22">
        <v>72</v>
      </c>
    </row>
    <row r="519" spans="1:9" x14ac:dyDescent="0.25">
      <c r="A519" s="22" t="b">
        <v>0</v>
      </c>
      <c r="B519" s="22" t="s">
        <v>203</v>
      </c>
      <c r="C519" s="34">
        <v>46058</v>
      </c>
      <c r="D519" s="22" t="s">
        <v>204</v>
      </c>
      <c r="E519" s="22">
        <v>-10</v>
      </c>
      <c r="F519" s="22" t="s">
        <v>489</v>
      </c>
      <c r="G519" s="22" t="s">
        <v>483</v>
      </c>
      <c r="H519" s="22"/>
      <c r="I519" s="22">
        <v>79</v>
      </c>
    </row>
    <row r="520" spans="1:9" x14ac:dyDescent="0.25">
      <c r="A520" s="22" t="b">
        <v>0</v>
      </c>
      <c r="B520" s="22" t="s">
        <v>205</v>
      </c>
      <c r="C520" s="34">
        <v>46058</v>
      </c>
      <c r="D520" s="22" t="s">
        <v>206</v>
      </c>
      <c r="E520" s="22">
        <v>-8</v>
      </c>
      <c r="F520" s="22" t="s">
        <v>489</v>
      </c>
      <c r="G520" s="22" t="s">
        <v>483</v>
      </c>
      <c r="H520" s="22"/>
      <c r="I520" s="22">
        <v>80</v>
      </c>
    </row>
    <row r="521" spans="1:9" x14ac:dyDescent="0.25">
      <c r="A521" s="22" t="b">
        <v>0</v>
      </c>
      <c r="B521" s="22" t="s">
        <v>262</v>
      </c>
      <c r="C521" s="34">
        <v>46052</v>
      </c>
      <c r="D521" s="22" t="s">
        <v>63</v>
      </c>
      <c r="E521" s="22">
        <v>-7</v>
      </c>
      <c r="F521" s="22" t="s">
        <v>489</v>
      </c>
      <c r="G521" s="22" t="s">
        <v>483</v>
      </c>
      <c r="H521" s="22"/>
      <c r="I521" s="22">
        <v>110</v>
      </c>
    </row>
    <row r="522" spans="1:9" x14ac:dyDescent="0.25">
      <c r="A522" s="22" t="b">
        <v>0</v>
      </c>
      <c r="B522" s="22" t="s">
        <v>291</v>
      </c>
      <c r="C522" s="34">
        <v>46048</v>
      </c>
      <c r="D522" s="22" t="s">
        <v>292</v>
      </c>
      <c r="E522" s="22">
        <v>-60</v>
      </c>
      <c r="F522" s="22" t="s">
        <v>489</v>
      </c>
      <c r="G522" s="22" t="s">
        <v>483</v>
      </c>
      <c r="H522" s="22"/>
      <c r="I522" s="22">
        <v>123</v>
      </c>
    </row>
    <row r="523" spans="1:9" x14ac:dyDescent="0.25">
      <c r="A523" s="22" t="b">
        <v>0</v>
      </c>
      <c r="B523" s="22" t="s">
        <v>296</v>
      </c>
      <c r="C523" s="34">
        <v>46047</v>
      </c>
      <c r="D523" s="22" t="s">
        <v>63</v>
      </c>
      <c r="E523" s="22">
        <v>-7</v>
      </c>
      <c r="F523" s="22" t="s">
        <v>489</v>
      </c>
      <c r="G523" s="22" t="s">
        <v>483</v>
      </c>
      <c r="H523" s="22"/>
      <c r="I523" s="22">
        <v>126</v>
      </c>
    </row>
    <row r="524" spans="1:9" x14ac:dyDescent="0.25">
      <c r="A524" s="22" t="b">
        <v>0</v>
      </c>
      <c r="B524" s="22" t="s">
        <v>304</v>
      </c>
      <c r="C524" s="34">
        <v>46045</v>
      </c>
      <c r="D524" s="22" t="s">
        <v>204</v>
      </c>
      <c r="E524" s="22">
        <v>-10</v>
      </c>
      <c r="F524" s="22" t="s">
        <v>489</v>
      </c>
      <c r="G524" s="22" t="s">
        <v>483</v>
      </c>
      <c r="H524" s="22"/>
      <c r="I524" s="22">
        <v>130</v>
      </c>
    </row>
    <row r="525" spans="1:9" x14ac:dyDescent="0.25">
      <c r="A525" s="22" t="b">
        <v>0</v>
      </c>
      <c r="B525" s="22" t="s">
        <v>346</v>
      </c>
      <c r="C525" s="34">
        <v>46039</v>
      </c>
      <c r="D525" s="22" t="s">
        <v>347</v>
      </c>
      <c r="E525" s="22">
        <v>-8</v>
      </c>
      <c r="F525" s="22" t="s">
        <v>489</v>
      </c>
      <c r="G525" s="22" t="s">
        <v>483</v>
      </c>
      <c r="H525" s="22"/>
      <c r="I525" s="22">
        <v>150</v>
      </c>
    </row>
    <row r="526" spans="1:9" x14ac:dyDescent="0.25">
      <c r="A526" s="22" t="b">
        <v>0</v>
      </c>
      <c r="B526" s="22" t="s">
        <v>348</v>
      </c>
      <c r="C526" s="34">
        <v>46039</v>
      </c>
      <c r="D526" s="22" t="s">
        <v>63</v>
      </c>
      <c r="E526" s="22">
        <v>-7</v>
      </c>
      <c r="F526" s="22" t="s">
        <v>489</v>
      </c>
      <c r="G526" s="22" t="s">
        <v>483</v>
      </c>
      <c r="H526" s="22"/>
      <c r="I526" s="22">
        <v>151</v>
      </c>
    </row>
    <row r="527" spans="1:9" x14ac:dyDescent="0.25">
      <c r="A527" s="22" t="b">
        <v>0</v>
      </c>
      <c r="B527" s="22" t="s">
        <v>349</v>
      </c>
      <c r="C527" s="34">
        <v>46038</v>
      </c>
      <c r="D527" s="22" t="s">
        <v>63</v>
      </c>
      <c r="E527" s="22">
        <v>-7</v>
      </c>
      <c r="F527" s="22" t="s">
        <v>489</v>
      </c>
      <c r="G527" s="22" t="s">
        <v>483</v>
      </c>
      <c r="H527" s="22"/>
      <c r="I527" s="22">
        <v>152</v>
      </c>
    </row>
    <row r="528" spans="1:9" x14ac:dyDescent="0.25">
      <c r="A528" s="22" t="b">
        <v>0</v>
      </c>
      <c r="B528" s="22" t="s">
        <v>380</v>
      </c>
      <c r="C528" s="34">
        <v>46035</v>
      </c>
      <c r="D528" s="22" t="s">
        <v>63</v>
      </c>
      <c r="E528" s="22">
        <v>-7</v>
      </c>
      <c r="F528" s="22" t="s">
        <v>489</v>
      </c>
      <c r="G528" s="22" t="s">
        <v>483</v>
      </c>
      <c r="H528" s="22"/>
      <c r="I528" s="22">
        <v>171</v>
      </c>
    </row>
    <row r="529" spans="1:9" x14ac:dyDescent="0.25">
      <c r="A529" s="22" t="b">
        <v>0</v>
      </c>
      <c r="B529" s="22" t="s">
        <v>385</v>
      </c>
      <c r="C529" s="34">
        <v>46034</v>
      </c>
      <c r="D529" s="22" t="s">
        <v>347</v>
      </c>
      <c r="E529" s="22">
        <v>-12.5</v>
      </c>
      <c r="F529" s="22" t="s">
        <v>489</v>
      </c>
      <c r="G529" s="22" t="s">
        <v>483</v>
      </c>
      <c r="H529" s="22"/>
      <c r="I529" s="22">
        <v>175</v>
      </c>
    </row>
    <row r="530" spans="1:9" x14ac:dyDescent="0.25">
      <c r="A530" s="22" t="b">
        <v>0</v>
      </c>
      <c r="B530" s="22" t="s">
        <v>386</v>
      </c>
      <c r="C530" s="34">
        <v>46033</v>
      </c>
      <c r="D530" s="22" t="s">
        <v>63</v>
      </c>
      <c r="E530" s="22">
        <v>-7</v>
      </c>
      <c r="F530" s="22" t="s">
        <v>489</v>
      </c>
      <c r="G530" s="22" t="s">
        <v>483</v>
      </c>
      <c r="H530" s="22"/>
      <c r="I530" s="22">
        <v>176</v>
      </c>
    </row>
  </sheetData>
  <dataValidations count="1">
    <dataValidation type="list" allowBlank="1" showErrorMessage="1" sqref="I2:I503 H504:H530" xr:uid="{00000000-0002-0000-12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L1"/>
  <sheetViews>
    <sheetView tabSelected="1" workbookViewId="0"/>
  </sheetViews>
  <sheetFormatPr defaultColWidth="12.6640625" defaultRowHeight="15.75" customHeight="1" x14ac:dyDescent="0.25"/>
  <sheetData>
    <row r="1" spans="1:12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479</v>
      </c>
      <c r="K1" s="22" t="s">
        <v>480</v>
      </c>
      <c r="L1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K19"/>
  <sheetViews>
    <sheetView workbookViewId="0"/>
  </sheetViews>
  <sheetFormatPr defaultColWidth="12.6640625" defaultRowHeight="15.75" customHeight="1" x14ac:dyDescent="0.25"/>
  <cols>
    <col min="4" max="4" width="47.664062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 t="s">
        <v>480</v>
      </c>
    </row>
    <row r="2" spans="1:11" x14ac:dyDescent="0.25">
      <c r="A2" s="22" t="b">
        <v>0</v>
      </c>
      <c r="B2" s="22" t="s">
        <v>1465</v>
      </c>
      <c r="C2" s="34">
        <v>45979</v>
      </c>
      <c r="D2" s="22" t="s">
        <v>3855</v>
      </c>
      <c r="E2" s="22">
        <v>500</v>
      </c>
      <c r="F2" s="28"/>
      <c r="G2" s="22" t="s">
        <v>482</v>
      </c>
      <c r="H2" s="22" t="s">
        <v>483</v>
      </c>
      <c r="I2" s="22"/>
      <c r="K2" s="22">
        <v>192</v>
      </c>
    </row>
    <row r="3" spans="1:11" x14ac:dyDescent="0.25">
      <c r="A3" s="22" t="b">
        <v>0</v>
      </c>
      <c r="B3" s="22" t="s">
        <v>1485</v>
      </c>
      <c r="C3" s="34">
        <v>45973</v>
      </c>
      <c r="D3" s="22" t="s">
        <v>3855</v>
      </c>
      <c r="E3" s="22">
        <v>1500</v>
      </c>
      <c r="F3" s="28"/>
      <c r="G3" s="22" t="s">
        <v>482</v>
      </c>
      <c r="H3" s="22" t="s">
        <v>483</v>
      </c>
      <c r="I3" s="22"/>
      <c r="K3" s="22">
        <v>215</v>
      </c>
    </row>
    <row r="4" spans="1:11" x14ac:dyDescent="0.25">
      <c r="A4" s="22" t="b">
        <v>0</v>
      </c>
      <c r="B4" s="22" t="s">
        <v>2331</v>
      </c>
      <c r="C4" s="34">
        <v>45881</v>
      </c>
      <c r="D4" s="22" t="s">
        <v>3856</v>
      </c>
      <c r="E4" s="22">
        <v>-1940.2</v>
      </c>
      <c r="F4" s="28"/>
      <c r="G4" s="22" t="s">
        <v>489</v>
      </c>
      <c r="H4" s="22" t="s">
        <v>483</v>
      </c>
      <c r="I4" s="22"/>
      <c r="K4" s="22">
        <v>21</v>
      </c>
    </row>
    <row r="5" spans="1:11" x14ac:dyDescent="0.25">
      <c r="A5" s="22" t="b">
        <v>0</v>
      </c>
      <c r="B5" s="22" t="s">
        <v>2419</v>
      </c>
      <c r="C5" s="34">
        <v>45917</v>
      </c>
      <c r="D5" s="22" t="s">
        <v>3857</v>
      </c>
      <c r="E5" s="22">
        <v>-3500.2</v>
      </c>
      <c r="F5" s="28"/>
      <c r="G5" s="22" t="s">
        <v>489</v>
      </c>
      <c r="H5" s="22" t="s">
        <v>483</v>
      </c>
      <c r="I5" s="22"/>
      <c r="K5" s="22">
        <v>508</v>
      </c>
    </row>
    <row r="6" spans="1:11" x14ac:dyDescent="0.25">
      <c r="A6" s="22" t="b">
        <v>0</v>
      </c>
      <c r="B6" s="22" t="s">
        <v>2420</v>
      </c>
      <c r="C6" s="34">
        <v>45905</v>
      </c>
      <c r="D6" s="22" t="s">
        <v>3858</v>
      </c>
      <c r="E6" s="22">
        <v>-2403.1999999999998</v>
      </c>
      <c r="F6" s="28"/>
      <c r="G6" s="22" t="s">
        <v>489</v>
      </c>
      <c r="H6" s="22" t="s">
        <v>483</v>
      </c>
      <c r="I6" s="22"/>
      <c r="K6" s="22">
        <v>628</v>
      </c>
    </row>
    <row r="7" spans="1:11" x14ac:dyDescent="0.25">
      <c r="A7" s="22" t="b">
        <v>0</v>
      </c>
      <c r="B7" s="22" t="s">
        <v>2428</v>
      </c>
      <c r="C7" s="34">
        <v>45987</v>
      </c>
      <c r="D7" s="22" t="s">
        <v>3859</v>
      </c>
      <c r="E7" s="22">
        <v>-326.2</v>
      </c>
      <c r="F7" s="28"/>
      <c r="G7" s="22" t="s">
        <v>489</v>
      </c>
      <c r="H7" s="22" t="s">
        <v>483</v>
      </c>
      <c r="I7" s="22"/>
      <c r="K7" s="22">
        <v>142</v>
      </c>
    </row>
    <row r="8" spans="1:11" x14ac:dyDescent="0.25">
      <c r="A8" s="22" t="b">
        <v>0</v>
      </c>
      <c r="B8" s="22" t="s">
        <v>2433</v>
      </c>
      <c r="C8" s="34">
        <v>45910</v>
      </c>
      <c r="D8" s="22" t="s">
        <v>3860</v>
      </c>
      <c r="E8" s="22">
        <v>-960.2</v>
      </c>
      <c r="F8" s="28"/>
      <c r="G8" s="22" t="s">
        <v>489</v>
      </c>
      <c r="H8" s="22" t="s">
        <v>483</v>
      </c>
      <c r="I8" s="22"/>
      <c r="K8" s="22">
        <v>581</v>
      </c>
    </row>
    <row r="9" spans="1:11" x14ac:dyDescent="0.25">
      <c r="A9" s="22" t="b">
        <v>0</v>
      </c>
      <c r="B9" s="22" t="s">
        <v>1326</v>
      </c>
      <c r="C9" s="34">
        <v>46008</v>
      </c>
      <c r="D9" s="22" t="s">
        <v>2951</v>
      </c>
      <c r="E9" s="22">
        <v>200</v>
      </c>
      <c r="F9" s="28"/>
      <c r="G9" s="22" t="s">
        <v>482</v>
      </c>
      <c r="H9" s="22" t="s">
        <v>483</v>
      </c>
      <c r="I9" s="22"/>
      <c r="K9" s="22">
        <v>3</v>
      </c>
    </row>
    <row r="10" spans="1:11" x14ac:dyDescent="0.25">
      <c r="A10" s="22" t="b">
        <v>0</v>
      </c>
      <c r="B10" s="22" t="s">
        <v>2218</v>
      </c>
      <c r="C10" s="34">
        <v>45751</v>
      </c>
      <c r="D10" s="22" t="s">
        <v>2965</v>
      </c>
      <c r="E10" s="22">
        <v>-295.2</v>
      </c>
      <c r="F10" s="28"/>
      <c r="G10" s="22" t="s">
        <v>489</v>
      </c>
      <c r="H10" s="22" t="s">
        <v>483</v>
      </c>
      <c r="I10" s="22"/>
    </row>
    <row r="11" spans="1:11" x14ac:dyDescent="0.25">
      <c r="A11" s="22" t="b">
        <v>0</v>
      </c>
      <c r="B11" s="22" t="s">
        <v>2410</v>
      </c>
      <c r="C11" s="34">
        <v>45885</v>
      </c>
      <c r="D11" s="22" t="s">
        <v>3861</v>
      </c>
      <c r="E11" s="22">
        <v>-365.2</v>
      </c>
      <c r="F11" s="28"/>
      <c r="G11" s="22" t="s">
        <v>489</v>
      </c>
      <c r="H11" s="22" t="s">
        <v>483</v>
      </c>
      <c r="I11" s="22"/>
    </row>
    <row r="12" spans="1:11" x14ac:dyDescent="0.25">
      <c r="A12" s="22" t="b">
        <v>0</v>
      </c>
      <c r="B12" s="22" t="s">
        <v>2403</v>
      </c>
      <c r="C12" s="34">
        <v>45890</v>
      </c>
      <c r="D12" s="22" t="s">
        <v>3861</v>
      </c>
      <c r="E12" s="22">
        <v>-40.99</v>
      </c>
      <c r="F12" s="28"/>
      <c r="G12" s="22" t="s">
        <v>489</v>
      </c>
      <c r="H12" s="22" t="s">
        <v>483</v>
      </c>
      <c r="I12" s="22"/>
    </row>
    <row r="13" spans="1:11" x14ac:dyDescent="0.25">
      <c r="A13" s="22" t="b">
        <v>0</v>
      </c>
      <c r="B13" s="22" t="s">
        <v>2397</v>
      </c>
      <c r="C13" s="34">
        <v>45896</v>
      </c>
      <c r="D13" s="22" t="s">
        <v>3862</v>
      </c>
      <c r="E13" s="22">
        <v>-1375.2</v>
      </c>
      <c r="F13" s="28"/>
      <c r="G13" s="22" t="s">
        <v>489</v>
      </c>
      <c r="H13" s="22" t="s">
        <v>483</v>
      </c>
      <c r="I13" s="22"/>
    </row>
    <row r="14" spans="1:11" x14ac:dyDescent="0.25">
      <c r="A14" s="22" t="b">
        <v>0</v>
      </c>
      <c r="B14" s="22" t="s">
        <v>2389</v>
      </c>
      <c r="C14" s="34">
        <v>45902</v>
      </c>
      <c r="D14" s="22" t="s">
        <v>3863</v>
      </c>
      <c r="E14" s="22">
        <v>-310.2</v>
      </c>
      <c r="F14" s="28"/>
      <c r="G14" s="22" t="s">
        <v>489</v>
      </c>
      <c r="H14" s="22" t="s">
        <v>483</v>
      </c>
      <c r="I14" s="22"/>
    </row>
    <row r="15" spans="1:11" x14ac:dyDescent="0.25">
      <c r="A15" s="22" t="b">
        <v>0</v>
      </c>
      <c r="B15" s="22" t="s">
        <v>2390</v>
      </c>
      <c r="C15" s="34">
        <v>45902</v>
      </c>
      <c r="D15" s="22" t="s">
        <v>3864</v>
      </c>
      <c r="E15" s="22">
        <v>-220.2</v>
      </c>
      <c r="F15" s="28"/>
      <c r="G15" s="22" t="s">
        <v>489</v>
      </c>
      <c r="H15" s="22" t="s">
        <v>483</v>
      </c>
      <c r="I15" s="22"/>
    </row>
    <row r="16" spans="1:11" x14ac:dyDescent="0.25">
      <c r="A16" s="22" t="b">
        <v>0</v>
      </c>
      <c r="B16" s="22" t="s">
        <v>2380</v>
      </c>
      <c r="C16" s="34">
        <v>45904</v>
      </c>
      <c r="D16" s="22" t="s">
        <v>3862</v>
      </c>
      <c r="E16" s="22">
        <v>-300.2</v>
      </c>
      <c r="F16" s="28"/>
      <c r="G16" s="22" t="s">
        <v>489</v>
      </c>
      <c r="H16" s="22" t="s">
        <v>483</v>
      </c>
      <c r="I16" s="22"/>
    </row>
    <row r="17" spans="1:9" x14ac:dyDescent="0.25">
      <c r="A17" s="22" t="b">
        <v>0</v>
      </c>
      <c r="B17" s="22" t="s">
        <v>2379</v>
      </c>
      <c r="C17" s="34">
        <v>45905</v>
      </c>
      <c r="D17" s="22" t="s">
        <v>3865</v>
      </c>
      <c r="E17" s="22">
        <v>-190.2</v>
      </c>
      <c r="F17" s="28"/>
      <c r="G17" s="22" t="s">
        <v>489</v>
      </c>
      <c r="H17" s="22" t="s">
        <v>483</v>
      </c>
      <c r="I17" s="22"/>
    </row>
    <row r="18" spans="1:9" x14ac:dyDescent="0.25">
      <c r="A18" s="22" t="b">
        <v>0</v>
      </c>
      <c r="B18" s="22" t="s">
        <v>2369</v>
      </c>
      <c r="C18" s="34">
        <v>45909</v>
      </c>
      <c r="D18" s="22" t="s">
        <v>3865</v>
      </c>
      <c r="E18" s="22">
        <v>-30</v>
      </c>
      <c r="F18" s="28"/>
      <c r="G18" s="22" t="s">
        <v>489</v>
      </c>
      <c r="H18" s="22" t="s">
        <v>483</v>
      </c>
      <c r="I18" s="22"/>
    </row>
    <row r="19" spans="1:9" x14ac:dyDescent="0.25">
      <c r="A19" s="22" t="b">
        <v>0</v>
      </c>
      <c r="B19" s="22" t="s">
        <v>2370</v>
      </c>
      <c r="C19" s="34">
        <v>45909</v>
      </c>
      <c r="D19" s="22" t="s">
        <v>3866</v>
      </c>
      <c r="E19" s="22">
        <v>-300</v>
      </c>
      <c r="F19" s="28"/>
      <c r="G19" s="22" t="s">
        <v>489</v>
      </c>
      <c r="H19" s="22" t="s">
        <v>483</v>
      </c>
      <c r="I19" s="22"/>
    </row>
  </sheetData>
  <dataValidations count="1">
    <dataValidation type="list" allowBlank="1" showErrorMessage="1" sqref="I2:I19" xr:uid="{00000000-0002-0000-1400-000000000000}">
      <formula1>"JOBS IN,WX21VZN IN,EQV IN,KM20YYX IN,MISC PAYMENT IN,JOBS OUT,WX21VZN OUT,EQV OUT,MISC PAYMENT OUT,EXPENSES,FUEL,PARKING,WATER + OTHER,WALEED EXPENSE,IMRAN EXPENSE,WAYZ MOTORS"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K1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4" max="4" width="36.77734375" customWidth="1"/>
  </cols>
  <sheetData>
    <row r="1" spans="1:11" x14ac:dyDescent="0.25">
      <c r="A1" s="22" t="s">
        <v>475</v>
      </c>
      <c r="B1" s="22" t="s">
        <v>476</v>
      </c>
      <c r="C1" s="22" t="s">
        <v>454</v>
      </c>
      <c r="D1" s="22" t="s">
        <v>5</v>
      </c>
      <c r="E1" s="22" t="s">
        <v>14</v>
      </c>
      <c r="F1" s="22" t="s">
        <v>477</v>
      </c>
      <c r="G1" s="22" t="s">
        <v>478</v>
      </c>
      <c r="H1" s="22" t="s">
        <v>479</v>
      </c>
      <c r="I1" s="22" t="s">
        <v>480</v>
      </c>
      <c r="J1" s="22" t="s">
        <v>480</v>
      </c>
      <c r="K1" s="22" t="s">
        <v>480</v>
      </c>
    </row>
    <row r="2" spans="1:11" x14ac:dyDescent="0.25">
      <c r="A2" s="22" t="b">
        <v>0</v>
      </c>
      <c r="B2" s="22" t="s">
        <v>2329</v>
      </c>
      <c r="C2" s="34">
        <v>45774</v>
      </c>
      <c r="D2" s="22" t="s">
        <v>3867</v>
      </c>
      <c r="E2" s="22">
        <v>-1730.2</v>
      </c>
      <c r="F2" s="28">
        <v>-288.37</v>
      </c>
      <c r="G2" s="22" t="s">
        <v>489</v>
      </c>
      <c r="H2" s="22" t="s">
        <v>483</v>
      </c>
      <c r="I2" s="22"/>
    </row>
    <row r="3" spans="1:11" x14ac:dyDescent="0.25">
      <c r="A3" s="22" t="b">
        <v>0</v>
      </c>
      <c r="B3" s="22" t="s">
        <v>2327</v>
      </c>
      <c r="C3" s="34">
        <v>45805</v>
      </c>
      <c r="D3" s="22" t="s">
        <v>3868</v>
      </c>
      <c r="E3" s="22">
        <v>-300.2</v>
      </c>
      <c r="F3" s="28">
        <v>-50.03</v>
      </c>
      <c r="G3" s="22" t="s">
        <v>489</v>
      </c>
      <c r="H3" s="22" t="s">
        <v>483</v>
      </c>
      <c r="I3" s="22"/>
    </row>
    <row r="4" spans="1:11" x14ac:dyDescent="0.25">
      <c r="A4" s="22" t="b">
        <v>0</v>
      </c>
      <c r="B4" s="22" t="s">
        <v>2328</v>
      </c>
      <c r="C4" s="34">
        <v>45805</v>
      </c>
      <c r="D4" s="22" t="s">
        <v>3869</v>
      </c>
      <c r="E4" s="22">
        <v>-1730.2</v>
      </c>
      <c r="F4" s="28">
        <v>-288.37</v>
      </c>
      <c r="G4" s="22" t="s">
        <v>489</v>
      </c>
      <c r="H4" s="22" t="s">
        <v>483</v>
      </c>
      <c r="I4" s="22"/>
    </row>
    <row r="5" spans="1:11" x14ac:dyDescent="0.25">
      <c r="A5" s="22" t="b">
        <v>0</v>
      </c>
      <c r="B5" s="22" t="s">
        <v>2326</v>
      </c>
      <c r="C5" s="34">
        <v>45815</v>
      </c>
      <c r="D5" s="22" t="s">
        <v>3868</v>
      </c>
      <c r="E5" s="22">
        <v>-300.2</v>
      </c>
      <c r="F5" s="28">
        <v>-50.03</v>
      </c>
      <c r="G5" s="22" t="s">
        <v>489</v>
      </c>
      <c r="H5" s="22" t="s">
        <v>483</v>
      </c>
      <c r="I5" s="22"/>
    </row>
    <row r="6" spans="1:11" x14ac:dyDescent="0.25">
      <c r="A6" s="22" t="b">
        <v>0</v>
      </c>
      <c r="B6" s="22" t="s">
        <v>2323</v>
      </c>
      <c r="C6" s="34">
        <v>45875</v>
      </c>
      <c r="D6" s="22" t="s">
        <v>3870</v>
      </c>
      <c r="E6" s="22">
        <v>-1730.2</v>
      </c>
      <c r="F6" s="28">
        <v>-288.37</v>
      </c>
      <c r="G6" s="22" t="s">
        <v>489</v>
      </c>
      <c r="H6" s="22" t="s">
        <v>483</v>
      </c>
      <c r="I6" s="22"/>
    </row>
    <row r="7" spans="1:11" x14ac:dyDescent="0.25">
      <c r="A7" s="22" t="b">
        <v>0</v>
      </c>
      <c r="B7" s="22" t="s">
        <v>2324</v>
      </c>
      <c r="C7" s="34">
        <v>45875</v>
      </c>
      <c r="D7" s="22" t="s">
        <v>3871</v>
      </c>
      <c r="E7" s="22">
        <v>-1730.2</v>
      </c>
      <c r="F7" s="28">
        <v>-288.37</v>
      </c>
      <c r="G7" s="22" t="s">
        <v>489</v>
      </c>
      <c r="H7" s="22" t="s">
        <v>483</v>
      </c>
      <c r="I7" s="22"/>
    </row>
    <row r="8" spans="1:11" x14ac:dyDescent="0.25">
      <c r="A8" s="22" t="b">
        <v>0</v>
      </c>
      <c r="B8" s="22" t="s">
        <v>2325</v>
      </c>
      <c r="C8" s="34">
        <v>45875</v>
      </c>
      <c r="D8" s="22" t="s">
        <v>3868</v>
      </c>
      <c r="E8" s="22">
        <v>-500.2</v>
      </c>
      <c r="F8" s="28">
        <v>-83.37</v>
      </c>
      <c r="G8" s="22" t="s">
        <v>489</v>
      </c>
      <c r="H8" s="22" t="s">
        <v>483</v>
      </c>
      <c r="I8" s="22"/>
    </row>
    <row r="9" spans="1:11" x14ac:dyDescent="0.25">
      <c r="A9" s="22" t="b">
        <v>0</v>
      </c>
      <c r="B9" s="22" t="s">
        <v>2687</v>
      </c>
      <c r="C9" s="34">
        <v>45736</v>
      </c>
      <c r="D9" s="22" t="s">
        <v>3872</v>
      </c>
      <c r="E9" s="22">
        <v>-1740.2</v>
      </c>
      <c r="F9" s="28">
        <v>-290.02999999999997</v>
      </c>
      <c r="G9" s="22" t="s">
        <v>489</v>
      </c>
      <c r="H9" s="22" t="s">
        <v>483</v>
      </c>
      <c r="I9" s="22"/>
    </row>
    <row r="10" spans="1:11" x14ac:dyDescent="0.25">
      <c r="A10" s="22" t="b">
        <v>0</v>
      </c>
      <c r="B10" s="22" t="s">
        <v>2688</v>
      </c>
      <c r="C10" s="34">
        <v>45702</v>
      </c>
      <c r="D10" s="22" t="s">
        <v>3873</v>
      </c>
      <c r="E10" s="22">
        <v>-1730.2</v>
      </c>
      <c r="F10" s="28">
        <v>-288.37</v>
      </c>
      <c r="G10" s="22" t="s">
        <v>489</v>
      </c>
      <c r="H10" s="22" t="s">
        <v>483</v>
      </c>
      <c r="I10" s="22"/>
      <c r="J10" s="22">
        <v>259</v>
      </c>
    </row>
    <row r="11" spans="1:11" x14ac:dyDescent="0.25">
      <c r="A11" s="22" t="b">
        <v>0</v>
      </c>
      <c r="B11" s="22" t="s">
        <v>2689</v>
      </c>
      <c r="C11" s="34">
        <v>45702</v>
      </c>
      <c r="D11" s="22" t="s">
        <v>3874</v>
      </c>
      <c r="E11" s="22">
        <v>-887.7</v>
      </c>
      <c r="F11" s="28">
        <v>-147.94999999999999</v>
      </c>
      <c r="G11" s="22" t="s">
        <v>489</v>
      </c>
      <c r="H11" s="22" t="s">
        <v>483</v>
      </c>
      <c r="I11" s="22"/>
      <c r="J11" s="22">
        <v>265</v>
      </c>
    </row>
    <row r="12" spans="1:11" x14ac:dyDescent="0.25">
      <c r="A12" s="22" t="b">
        <v>0</v>
      </c>
      <c r="B12" s="22" t="s">
        <v>2690</v>
      </c>
      <c r="C12" s="34">
        <v>45701</v>
      </c>
      <c r="D12" s="22" t="s">
        <v>3875</v>
      </c>
      <c r="E12" s="22">
        <v>-1481.2</v>
      </c>
      <c r="F12" s="28">
        <v>-246.87</v>
      </c>
      <c r="G12" s="22" t="s">
        <v>489</v>
      </c>
      <c r="H12" s="22" t="s">
        <v>483</v>
      </c>
      <c r="I12" s="22"/>
      <c r="J12" s="22">
        <v>269</v>
      </c>
    </row>
    <row r="13" spans="1:11" x14ac:dyDescent="0.25">
      <c r="A13" s="22" t="b">
        <v>0</v>
      </c>
      <c r="B13" s="22" t="s">
        <v>2691</v>
      </c>
      <c r="C13" s="34">
        <v>45701</v>
      </c>
      <c r="D13" s="22" t="s">
        <v>3876</v>
      </c>
      <c r="E13" s="22">
        <v>-3752.96</v>
      </c>
      <c r="F13" s="28">
        <v>-625.49</v>
      </c>
      <c r="G13" s="22" t="s">
        <v>489</v>
      </c>
      <c r="H13" s="22" t="s">
        <v>483</v>
      </c>
      <c r="I13" s="22"/>
      <c r="J13" s="22">
        <v>270</v>
      </c>
    </row>
    <row r="14" spans="1:11" x14ac:dyDescent="0.25">
      <c r="A14" s="22" t="b">
        <v>0</v>
      </c>
      <c r="B14" s="22" t="s">
        <v>192</v>
      </c>
      <c r="C14" s="34">
        <v>46058</v>
      </c>
      <c r="D14" s="22" t="s">
        <v>3877</v>
      </c>
      <c r="E14" s="22">
        <v>-1496.2</v>
      </c>
      <c r="F14" s="22" t="s">
        <v>489</v>
      </c>
      <c r="G14" s="22" t="s">
        <v>483</v>
      </c>
      <c r="H14" s="22"/>
      <c r="I14" s="22">
        <v>74</v>
      </c>
    </row>
    <row r="15" spans="1:11" x14ac:dyDescent="0.25">
      <c r="A15" s="22" t="b">
        <v>0</v>
      </c>
      <c r="B15" s="22" t="s">
        <v>195</v>
      </c>
      <c r="C15" s="34">
        <v>46058</v>
      </c>
      <c r="D15" s="22" t="s">
        <v>3878</v>
      </c>
      <c r="E15" s="22">
        <v>-1730.2</v>
      </c>
      <c r="F15" s="22" t="s">
        <v>489</v>
      </c>
      <c r="G15" s="22" t="s">
        <v>483</v>
      </c>
      <c r="H15" s="22"/>
      <c r="I15" s="22">
        <v>75</v>
      </c>
    </row>
    <row r="16" spans="1:11" x14ac:dyDescent="0.25">
      <c r="A16" s="22" t="b">
        <v>0</v>
      </c>
      <c r="B16" s="22" t="s">
        <v>197</v>
      </c>
      <c r="C16" s="34">
        <v>46058</v>
      </c>
      <c r="D16" s="22" t="s">
        <v>3879</v>
      </c>
      <c r="E16" s="22">
        <v>-1481.2</v>
      </c>
      <c r="F16" s="22" t="s">
        <v>489</v>
      </c>
      <c r="G16" s="22" t="s">
        <v>483</v>
      </c>
      <c r="H16" s="22"/>
      <c r="I16" s="22">
        <v>76</v>
      </c>
    </row>
    <row r="17" spans="1:9" x14ac:dyDescent="0.25">
      <c r="A17" s="22" t="b">
        <v>0</v>
      </c>
      <c r="B17" s="22" t="s">
        <v>317</v>
      </c>
      <c r="C17" s="34">
        <v>46044</v>
      </c>
      <c r="D17" s="22" t="s">
        <v>3880</v>
      </c>
      <c r="E17" s="22">
        <v>-11840.2</v>
      </c>
      <c r="F17" s="22" t="s">
        <v>489</v>
      </c>
      <c r="G17" s="22" t="s">
        <v>483</v>
      </c>
      <c r="H17" s="22"/>
      <c r="I17" s="22">
        <v>138</v>
      </c>
    </row>
    <row r="18" spans="1:9" x14ac:dyDescent="0.25">
      <c r="A18" s="22" t="b">
        <v>0</v>
      </c>
      <c r="B18" s="22" t="s">
        <v>392</v>
      </c>
      <c r="C18" s="34">
        <v>46030</v>
      </c>
      <c r="D18" s="22" t="s">
        <v>3881</v>
      </c>
      <c r="E18" s="22">
        <v>-3260</v>
      </c>
      <c r="F18" s="22" t="s">
        <v>489</v>
      </c>
      <c r="G18" s="22" t="s">
        <v>483</v>
      </c>
      <c r="H18" s="22"/>
      <c r="I18" s="22">
        <v>180</v>
      </c>
    </row>
  </sheetData>
  <dataValidations count="1">
    <dataValidation type="list" allowBlank="1" showErrorMessage="1" sqref="I2:I13 H14:H18" xr:uid="{00000000-0002-0000-1500-000000000000}">
      <formula1>"JOBS IN,WX21VZN IN,EQV IN,KM20YYX IN,MISC PAYMENT IN,JOBS OUT,WX21VZN OUT,EQV OUT,MISC PAYMENT OUT,EXPENSES,FUEL,PARKING,WATER + OTHER,WALEED EXPENSE,IMRAN EXPENSE,WAYZ MOTORS,1ST NATIONWIDE,1ST NATIONWIDE"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RAW_IMPORT</vt:lpstr>
      <vt:lpstr>Dashboard</vt:lpstr>
      <vt:lpstr>Incoming</vt:lpstr>
      <vt:lpstr>Outgoing</vt:lpstr>
      <vt:lpstr>Move_Log</vt:lpstr>
      <vt:lpstr>JOBS IN</vt:lpstr>
      <vt:lpstr>JOBS OUT</vt:lpstr>
      <vt:lpstr>MISC PAYMENT IN</vt:lpstr>
      <vt:lpstr>EXPENSES</vt:lpstr>
      <vt:lpstr>MISC PAYMENT OUT</vt:lpstr>
      <vt:lpstr>FUEL</vt:lpstr>
      <vt:lpstr>WALEED EXPENSE</vt:lpstr>
      <vt:lpstr>IMRAN EXPENSE</vt:lpstr>
      <vt:lpstr>WX21VZN IN</vt:lpstr>
      <vt:lpstr>EQV IN</vt:lpstr>
      <vt:lpstr>KM20YYX IN</vt:lpstr>
      <vt:lpstr>WX21VZN OUT</vt:lpstr>
      <vt:lpstr>EQV OUT</vt:lpstr>
      <vt:lpstr>PARKING</vt:lpstr>
      <vt:lpstr>WATER + OTHER</vt:lpstr>
      <vt:lpstr>WAYZ MOTORS</vt:lpstr>
      <vt:lpstr>1ST NATIONWIDE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2026-05-03T18:17:05Z</dcterms:modified>
</cp:coreProperties>
</file>